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aven Analytics\Statistic For Data Analysis\StatisticsforDataAnalysis-221118-112009\Projects\"/>
    </mc:Choice>
  </mc:AlternateContent>
  <xr:revisionPtr revIDLastSave="0" documentId="13_ncr:1_{C20FA93B-1855-40AE-9510-4560E86E29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2" r:id="rId1"/>
    <sheet name="Raw Data" sheetId="3" r:id="rId2"/>
    <sheet name="Analysis" sheetId="4" r:id="rId3"/>
    <sheet name="Sumarry" sheetId="5" r:id="rId4"/>
  </sheet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4" l="1"/>
  <c r="D66" i="4"/>
  <c r="B66" i="4"/>
  <c r="C64" i="4"/>
  <c r="D64" i="4"/>
  <c r="B64" i="4"/>
  <c r="C63" i="4"/>
  <c r="D63" i="4"/>
  <c r="B63" i="4"/>
  <c r="B10" i="4"/>
  <c r="B9" i="4"/>
  <c r="B8" i="4"/>
  <c r="B7" i="4"/>
  <c r="B6" i="4"/>
  <c r="B5" i="4"/>
  <c r="B42" i="4" s="1"/>
  <c r="B43" i="4" s="1" a="1"/>
  <c r="B43" i="4" s="1"/>
  <c r="B4" i="4"/>
  <c r="A39" i="4" l="1"/>
  <c r="B46" i="4"/>
  <c r="B47" i="4" s="1" a="1"/>
  <c r="B4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<sst xmlns="http://schemas.openxmlformats.org/spreadsheetml/2006/main" count="108" uniqueCount="101">
  <si>
    <t>Weight (Kg)</t>
  </si>
  <si>
    <t>Weight (g)</t>
  </si>
  <si>
    <t>0.709-1.209</t>
  </si>
  <si>
    <t>1.209-1.709</t>
  </si>
  <si>
    <t>1.709-2.209</t>
  </si>
  <si>
    <t>2.209-2.709</t>
  </si>
  <si>
    <t>2.709-3.209</t>
  </si>
  <si>
    <t>3.209-3.709</t>
  </si>
  <si>
    <t>3.709-4.209</t>
  </si>
  <si>
    <t>4.209-4.709</t>
  </si>
  <si>
    <t>4.709-5.209</t>
  </si>
  <si>
    <t>EMPIRICAL RULE</t>
  </si>
  <si>
    <t>Std Dev from the Mean:</t>
  </si>
  <si>
    <t>Lower:</t>
  </si>
  <si>
    <t>Upper:</t>
  </si>
  <si>
    <t>Empirical Rule:</t>
  </si>
  <si>
    <t>Sample:</t>
  </si>
  <si>
    <t>Value at Top 1% :</t>
  </si>
  <si>
    <t>Value at Bottom 1% :</t>
  </si>
  <si>
    <t>Weight:</t>
  </si>
  <si>
    <t>Birth :</t>
  </si>
  <si>
    <t>Weight :</t>
  </si>
  <si>
    <t xml:space="preserve">Birth : </t>
  </si>
  <si>
    <t>Probabilitty of  ≤ 2.5 Kg :</t>
  </si>
  <si>
    <t>MAVEN MEDICAL CENTER - Birth Weight Analysis</t>
  </si>
  <si>
    <t>Project Overview</t>
  </si>
  <si>
    <t>Role:</t>
  </si>
  <si>
    <t>Data Analyst at Maven Medical Center, Springfield, MA</t>
  </si>
  <si>
    <t>Requested by:</t>
  </si>
  <si>
    <t>Betty Birth, Chief Gynecologist</t>
  </si>
  <si>
    <t>Subject:</t>
  </si>
  <si>
    <t>Birth weight probability analysis</t>
  </si>
  <si>
    <t>Dataset:</t>
  </si>
  <si>
    <t>189 birth weight records (Birth_Weights.xlsx)</t>
  </si>
  <si>
    <t>Tools:</t>
  </si>
  <si>
    <t>Microsoft Excel (statistical functions, NORM.DIST, NORM.INV)</t>
  </si>
  <si>
    <t>Key Objectives</t>
  </si>
  <si>
    <t>1. Check if the birth weights follow a normal distribution</t>
  </si>
  <si>
    <t>2. Calculate the probability of a baby weighing 2.5kg or less</t>
  </si>
  <si>
    <t>3. Estimate values at the 1% and 99% cumulative probabilities</t>
  </si>
  <si>
    <t>4. Count births under and over those thresholds</t>
  </si>
  <si>
    <t>5. Validate distribution using the Empirical Rule</t>
  </si>
  <si>
    <t>Tab Descriptions</t>
  </si>
  <si>
    <t>README</t>
  </si>
  <si>
    <t>This tab — project overview, objectives, methodology</t>
  </si>
  <si>
    <t>Raw Data</t>
  </si>
  <si>
    <t>Original 189 birth weight records (untouched)</t>
  </si>
  <si>
    <t>Analysis</t>
  </si>
  <si>
    <t>All statistical calculations and analysis</t>
  </si>
  <si>
    <t>Summary</t>
  </si>
  <si>
    <t>Key findings and conclusions</t>
  </si>
  <si>
    <t>Statistical Methods Used</t>
  </si>
  <si>
    <t>Normal Distribution</t>
  </si>
  <si>
    <t>NORM.DIST — probability density function</t>
  </si>
  <si>
    <t>Probability Calculation</t>
  </si>
  <si>
    <t>NORM.DIST (cumulative) — P(X &lt;= 2.5kg)</t>
  </si>
  <si>
    <t>Percentile Values</t>
  </si>
  <si>
    <t>NORM.INV — inverse normal for 1% and 99%</t>
  </si>
  <si>
    <t>Empirical Rule</t>
  </si>
  <si>
    <t>68-95-99.7 rule validation against sample data</t>
  </si>
  <si>
    <t>Skewness</t>
  </si>
  <si>
    <t>SKEW function — measure of distribution asymmetry</t>
  </si>
  <si>
    <t>1. DESCRIPTIVE STATISTICS</t>
  </si>
  <si>
    <t>Metric</t>
  </si>
  <si>
    <t>Value</t>
  </si>
  <si>
    <t>Total Records</t>
  </si>
  <si>
    <t>Mean (Kg)</t>
  </si>
  <si>
    <t>Median (Kg)</t>
  </si>
  <si>
    <t>Std Deviation (Kg)</t>
  </si>
  <si>
    <t>Minimum (Kg)</t>
  </si>
  <si>
    <t>Maximum (Kg)</t>
  </si>
  <si>
    <t>Interpretation:</t>
  </si>
  <si>
    <t>The mean (2.945 Kg) and median (2.977 Kg) are very close, and skewness is near zero (-0.209), indicating the data approximately follows a normal distribution with a very slight left skew.</t>
  </si>
  <si>
    <t>2. FREQUENCY DISTRIBUTION</t>
  </si>
  <si>
    <t>Weight Range (Kg)</t>
  </si>
  <si>
    <t>Frequency (Birth)</t>
  </si>
  <si>
    <t>The distribution is bell-shaped with the peak at 2.709-3.209 Kg (49 births). This confirms the data follows a roughly normal pattern, supporting the use of normal distribution-based probability calculations.</t>
  </si>
  <si>
    <t>3. PROBABILITY ANALYSIS</t>
  </si>
  <si>
    <t>Method</t>
  </si>
  <si>
    <t>NORM.DIST(2.5, mean, std, TRUE)</t>
  </si>
  <si>
    <t>NORM.INV(0.99, mean, std)</t>
  </si>
  <si>
    <t>COUNT(FILTER())</t>
  </si>
  <si>
    <t>NORM.INV(0.01, mean, std)</t>
  </si>
  <si>
    <t>There is a 27.10% probability that a baby will weigh 2.5 Kg or less — this confirms the chief gynecologist's concern that over 30% of babies are low birth weight. The actual sample shows 31.2% below 2.5 Kg, which is slightly higher than the theoretical 27.10%, but within expected range given sample size. Extremely heavy (&gt;4.641 Kg) and extremely light (&lt;1.248 Kg) babies are rare — only 1 and 3 births respectively.</t>
  </si>
  <si>
    <t>4. EMPIRICAL RULE VALIDATION</t>
  </si>
  <si>
    <t>The sample closely matches the theoretical Empirical Rule (68-95-99.7), confirming the birth weight data follows a normal distribution. This validates the use of normal distribution-based calculations for probability estimates.</t>
  </si>
  <si>
    <t>KEY FINDINGS &amp; CONCLUSIONS</t>
  </si>
  <si>
    <t>Answers to Key Objectives</t>
  </si>
  <si>
    <t>1. Is the data normally distributed?</t>
  </si>
  <si>
    <t>YES — Mean (2.945) and median (2.977) are nearly identical, skewness is minimal (-0.209), histogram shows bell-shaped curve, and Empirical Rule validation confirms normal pattern.</t>
  </si>
  <si>
    <t>2. Probability of weight &lt;= 2.5 Kg?</t>
  </si>
  <si>
    <t>27.10% — More than 1 in 4 babies are expected to be low birth weight. The actual sample rate (31.2%) is slightly higher, warranting clinical attention.</t>
  </si>
  <si>
    <t>3. Top 1% and Bottom 1% values?</t>
  </si>
  <si>
    <t>Top 1% threshold: 4.641 Kg (1 birth above).                                                                                  Bottom 1% threshold: 1.248 Kg (3 births below).                                                                            These represent the extreme outliers.</t>
  </si>
  <si>
    <t>4. Empirical Rule validation?</t>
  </si>
  <si>
    <t>Sample closely matches theoretical:                                                                                                67.7% vs 68% (1 SD),                                                                                                                     96.3% vs 95% (2 SD),                                                                                                                     99.5% vs 99.7% (3 SD).                                                                                                              Confirms normal distribution assumption.</t>
  </si>
  <si>
    <t>Recommendations</t>
  </si>
  <si>
    <r>
      <rPr>
        <b/>
        <sz val="12"/>
        <color rgb="FF1E293B"/>
        <rFont val="Times New Roman"/>
        <family val="1"/>
      </rPr>
      <t>1.)</t>
    </r>
    <r>
      <rPr>
        <sz val="12"/>
        <color rgb="FF1E293B"/>
        <rFont val="Times New Roman"/>
        <family val="1"/>
      </rPr>
      <t xml:space="preserve"> The 27-31% low birth weight rate is clinically significant — investigate contributing factors (maternal health, nutrition, prenatal care).</t>
    </r>
  </si>
  <si>
    <r>
      <rPr>
        <b/>
        <sz val="12"/>
        <color rgb="FF1E293B"/>
        <rFont val="Times New Roman"/>
        <family val="1"/>
      </rPr>
      <t>2.)</t>
    </r>
    <r>
      <rPr>
        <sz val="12"/>
        <color rgb="FF1E293B"/>
        <rFont val="Times New Roman"/>
        <family val="1"/>
      </rPr>
      <t xml:space="preserve"> Implement monitoring protocols for babies predicted to fall below the 1% threshold (&lt; 1.248 Kg).</t>
    </r>
  </si>
  <si>
    <r>
      <rPr>
        <b/>
        <sz val="12"/>
        <color rgb="FF1E293B"/>
        <rFont val="Times New Roman"/>
        <family val="1"/>
      </rPr>
      <t>3.)</t>
    </r>
    <r>
      <rPr>
        <sz val="12"/>
        <color rgb="FF1E293B"/>
        <rFont val="Times New Roman"/>
        <family val="1"/>
      </rPr>
      <t xml:space="preserve"> Use these probability figures for resource planning — staffing NICU and preparing for approximately 1 in 4 low birth weight deliveries.</t>
    </r>
  </si>
  <si>
    <r>
      <rPr>
        <b/>
        <sz val="12"/>
        <color rgb="FF1E293B"/>
        <rFont val="Times New Roman"/>
        <family val="1"/>
      </rPr>
      <t>4.)</t>
    </r>
    <r>
      <rPr>
        <sz val="12"/>
        <color rgb="FF1E293B"/>
        <rFont val="Times New Roman"/>
        <family val="1"/>
      </rPr>
      <t xml:space="preserve"> Consider collecting additional variables (gestational age, maternal age, prenatal visits) for deeper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</si>
</sst>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"/>
    <numFmt numFmtId="167" formatCode="0.0%"/>
    <numFmt numFmtId="168" formatCode="0.000"/>
    <numFmt numFmtId="169" formatCode="0.00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F1B3D"/>
      <name val="Times New Roman"/>
      <family val="1"/>
    </font>
    <font>
      <sz val="11"/>
      <color theme="1"/>
      <name val="Times New Roman"/>
      <family val="1"/>
    </font>
    <font>
      <b/>
      <sz val="16"/>
      <color rgb="FF16697A"/>
      <name val="Times New Roman"/>
      <family val="1"/>
    </font>
    <font>
      <sz val="16"/>
      <color theme="1"/>
      <name val="Times New Roman"/>
      <family val="1"/>
    </font>
    <font>
      <b/>
      <sz val="12"/>
      <color rgb="FF1E293B"/>
      <name val="Times New Roman"/>
      <family val="1"/>
    </font>
    <font>
      <sz val="12"/>
      <color rgb="FF1E293B"/>
      <name val="Times New Roman"/>
      <family val="1"/>
    </font>
    <font>
      <sz val="12"/>
      <color theme="1"/>
      <name val="Times New Roman"/>
      <family val="1"/>
    </font>
    <font>
      <b/>
      <sz val="11"/>
      <color rgb="FFFFFFFF"/>
      <name val="Arial"/>
      <family val="2"/>
    </font>
    <font>
      <sz val="10"/>
      <color rgb="FF1E293B"/>
      <name val="Arial"/>
      <family val="2"/>
    </font>
    <font>
      <b/>
      <sz val="14"/>
      <color rgb="FF0F1B3D"/>
      <name val="Arial"/>
      <family val="2"/>
    </font>
    <font>
      <b/>
      <sz val="10"/>
      <color rgb="FF1E293B"/>
      <name val="Arial"/>
      <family val="2"/>
    </font>
    <font>
      <i/>
      <sz val="10"/>
      <color theme="1" tint="0.249977111117893"/>
      <name val="Arial"/>
      <family val="2"/>
    </font>
    <font>
      <sz val="11"/>
      <color theme="1" tint="0.249977111117893"/>
      <name val="Calibri"/>
      <family val="2"/>
      <scheme val="minor"/>
    </font>
    <font>
      <i/>
      <sz val="10"/>
      <color theme="2" tint="-0.749992370372631"/>
      <name val="Arial"/>
      <family val="2"/>
    </font>
    <font>
      <i/>
      <sz val="10"/>
      <color theme="2" tint="-0.749992370372631"/>
      <name val="Calibri "/>
    </font>
    <font>
      <sz val="11"/>
      <color theme="1"/>
      <name val="Calibri "/>
    </font>
    <font>
      <b/>
      <sz val="10"/>
      <color rgb="FFFFFFFF"/>
      <name val="Calibri "/>
    </font>
    <font>
      <sz val="10"/>
      <color theme="2" tint="-0.749992370372631"/>
      <name val="Calibri "/>
    </font>
    <font>
      <sz val="11"/>
      <color theme="2" tint="-0.74999237037263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Calibri "/>
    </font>
    <font>
      <b/>
      <sz val="16"/>
      <color rgb="FF0F1B3D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1B3D"/>
      </patternFill>
    </fill>
    <fill>
      <patternFill patternType="solid">
        <fgColor rgb="FF0F1B3D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9" fontId="0" fillId="0" borderId="10" xfId="42" applyFont="1" applyBorder="1" applyAlignment="1">
      <alignment horizontal="center"/>
    </xf>
    <xf numFmtId="167" fontId="0" fillId="0" borderId="10" xfId="42" applyNumberFormat="1" applyFont="1" applyBorder="1" applyAlignment="1">
      <alignment horizontal="center"/>
    </xf>
    <xf numFmtId="166" fontId="0" fillId="0" borderId="10" xfId="0" applyNumberFormat="1" applyBorder="1"/>
    <xf numFmtId="9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0" xfId="0" applyBorder="1"/>
    <xf numFmtId="166" fontId="0" fillId="0" borderId="10" xfId="0" applyNumberFormat="1" applyBorder="1" applyAlignment="1">
      <alignment horizontal="right"/>
    </xf>
    <xf numFmtId="167" fontId="0" fillId="0" borderId="10" xfId="42" applyNumberFormat="1" applyFont="1" applyBorder="1" applyAlignment="1">
      <alignment horizontal="center" wrapText="1"/>
    </xf>
    <xf numFmtId="10" fontId="0" fillId="0" borderId="10" xfId="42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4" fillId="0" borderId="0" xfId="0" applyFont="1"/>
    <xf numFmtId="0" fontId="25" fillId="0" borderId="0" xfId="0" applyFont="1"/>
    <xf numFmtId="0" fontId="26" fillId="33" borderId="0" xfId="0" applyFont="1" applyFill="1"/>
    <xf numFmtId="3" fontId="27" fillId="0" borderId="0" xfId="0" applyNumberFormat="1" applyFont="1"/>
    <xf numFmtId="168" fontId="27" fillId="0" borderId="0" xfId="0" applyNumberFormat="1" applyFont="1"/>
    <xf numFmtId="0" fontId="28" fillId="0" borderId="0" xfId="0" applyFont="1"/>
    <xf numFmtId="0" fontId="0" fillId="0" borderId="0" xfId="0"/>
    <xf numFmtId="0" fontId="29" fillId="0" borderId="11" xfId="0" applyFont="1" applyBorder="1"/>
    <xf numFmtId="3" fontId="27" fillId="0" borderId="11" xfId="0" applyNumberFormat="1" applyFont="1" applyBorder="1"/>
    <xf numFmtId="169" fontId="27" fillId="0" borderId="11" xfId="0" applyNumberFormat="1" applyFont="1" applyBorder="1"/>
    <xf numFmtId="0" fontId="26" fillId="33" borderId="0" xfId="0" applyFont="1" applyFill="1" applyAlignment="1">
      <alignment horizontal="center"/>
    </xf>
    <xf numFmtId="0" fontId="29" fillId="0" borderId="10" xfId="0" applyFont="1" applyBorder="1"/>
    <xf numFmtId="0" fontId="0" fillId="0" borderId="0" xfId="0" applyNumberFormat="1"/>
    <xf numFmtId="168" fontId="0" fillId="0" borderId="0" xfId="0" applyNumberFormat="1" applyAlignment="1">
      <alignment horizontal="center"/>
    </xf>
    <xf numFmtId="0" fontId="29" fillId="0" borderId="20" xfId="0" applyFont="1" applyBorder="1"/>
    <xf numFmtId="0" fontId="30" fillId="0" borderId="12" xfId="0" applyFont="1" applyBorder="1" applyAlignment="1">
      <alignment horizontal="left" vertical="top" wrapText="1"/>
    </xf>
    <xf numFmtId="0" fontId="30" fillId="0" borderId="13" xfId="0" applyFont="1" applyBorder="1" applyAlignment="1">
      <alignment horizontal="left" vertical="top" wrapText="1"/>
    </xf>
    <xf numFmtId="0" fontId="30" fillId="0" borderId="14" xfId="0" applyFont="1" applyBorder="1" applyAlignment="1">
      <alignment horizontal="left" vertical="top" wrapText="1"/>
    </xf>
    <xf numFmtId="0" fontId="30" fillId="0" borderId="15" xfId="0" applyFont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0" fontId="30" fillId="0" borderId="16" xfId="0" applyFont="1" applyBorder="1" applyAlignment="1">
      <alignment horizontal="left" vertical="top" wrapText="1"/>
    </xf>
    <xf numFmtId="0" fontId="30" fillId="0" borderId="17" xfId="0" applyFont="1" applyBorder="1" applyAlignment="1">
      <alignment horizontal="left" vertical="top" wrapText="1"/>
    </xf>
    <xf numFmtId="0" fontId="30" fillId="0" borderId="18" xfId="0" applyFont="1" applyBorder="1" applyAlignment="1">
      <alignment horizontal="left" vertical="top" wrapText="1"/>
    </xf>
    <xf numFmtId="0" fontId="30" fillId="0" borderId="19" xfId="0" applyFont="1" applyBorder="1" applyAlignment="1">
      <alignment horizontal="left" vertical="top" wrapText="1"/>
    </xf>
    <xf numFmtId="0" fontId="30" fillId="0" borderId="12" xfId="0" applyFont="1" applyBorder="1" applyAlignment="1">
      <alignment vertical="top" wrapText="1"/>
    </xf>
    <xf numFmtId="0" fontId="31" fillId="0" borderId="13" xfId="0" applyFont="1" applyBorder="1"/>
    <xf numFmtId="0" fontId="31" fillId="0" borderId="14" xfId="0" applyFont="1" applyBorder="1"/>
    <xf numFmtId="0" fontId="30" fillId="0" borderId="15" xfId="0" applyFont="1" applyBorder="1" applyAlignment="1">
      <alignment vertical="top" wrapText="1"/>
    </xf>
    <xf numFmtId="0" fontId="31" fillId="0" borderId="0" xfId="0" applyFont="1" applyBorder="1"/>
    <xf numFmtId="0" fontId="31" fillId="0" borderId="16" xfId="0" applyFont="1" applyBorder="1"/>
    <xf numFmtId="0" fontId="31" fillId="0" borderId="17" xfId="0" applyFont="1" applyBorder="1"/>
    <xf numFmtId="0" fontId="31" fillId="0" borderId="18" xfId="0" applyFont="1" applyBorder="1"/>
    <xf numFmtId="0" fontId="31" fillId="0" borderId="19" xfId="0" applyFont="1" applyBorder="1"/>
    <xf numFmtId="0" fontId="13" fillId="34" borderId="10" xfId="0" applyFont="1" applyFill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4" fillId="0" borderId="0" xfId="0" applyFont="1"/>
    <xf numFmtId="0" fontId="35" fillId="33" borderId="10" xfId="0" applyFont="1" applyFill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2" fillId="0" borderId="12" xfId="0" applyFont="1" applyBorder="1" applyAlignment="1">
      <alignment horizontal="left"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0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7" xfId="0" applyFont="1" applyBorder="1" applyAlignment="1">
      <alignment horizontal="left" vertical="top" wrapText="1"/>
    </xf>
    <xf numFmtId="0" fontId="32" fillId="0" borderId="18" xfId="0" applyFont="1" applyBorder="1" applyAlignment="1">
      <alignment horizontal="left" vertical="top" wrapText="1"/>
    </xf>
    <xf numFmtId="0" fontId="32" fillId="0" borderId="19" xfId="0" applyFont="1" applyBorder="1" applyAlignment="1">
      <alignment horizontal="left" vertical="top" wrapText="1"/>
    </xf>
    <xf numFmtId="0" fontId="0" fillId="0" borderId="0" xfId="0" applyBorder="1" applyAlignment="1">
      <alignment horizontal="right"/>
    </xf>
    <xf numFmtId="0" fontId="36" fillId="0" borderId="0" xfId="0" applyFont="1" applyBorder="1" applyAlignment="1">
      <alignment horizontal="center"/>
    </xf>
    <xf numFmtId="0" fontId="17" fillId="34" borderId="0" xfId="0" applyFont="1" applyFill="1"/>
    <xf numFmtId="0" fontId="32" fillId="0" borderId="12" xfId="0" applyFont="1" applyBorder="1" applyAlignment="1">
      <alignment vertical="top" wrapText="1"/>
    </xf>
    <xf numFmtId="0" fontId="37" fillId="0" borderId="13" xfId="0" applyFont="1" applyBorder="1"/>
    <xf numFmtId="0" fontId="37" fillId="0" borderId="14" xfId="0" applyFont="1" applyBorder="1"/>
    <xf numFmtId="0" fontId="37" fillId="0" borderId="17" xfId="0" applyFont="1" applyBorder="1"/>
    <xf numFmtId="0" fontId="37" fillId="0" borderId="18" xfId="0" applyFont="1" applyBorder="1"/>
    <xf numFmtId="0" fontId="37" fillId="0" borderId="19" xfId="0" applyFont="1" applyBorder="1"/>
    <xf numFmtId="0" fontId="38" fillId="34" borderId="10" xfId="0" applyFont="1" applyFill="1" applyBorder="1" applyAlignment="1">
      <alignment horizontal="center"/>
    </xf>
    <xf numFmtId="0" fontId="39" fillId="33" borderId="10" xfId="0" applyFont="1" applyFill="1" applyBorder="1" applyAlignment="1">
      <alignment horizontal="center"/>
    </xf>
    <xf numFmtId="0" fontId="40" fillId="33" borderId="10" xfId="0" applyFont="1" applyFill="1" applyBorder="1" applyAlignment="1">
      <alignment horizontal="center"/>
    </xf>
    <xf numFmtId="0" fontId="41" fillId="0" borderId="0" xfId="0" applyFont="1"/>
    <xf numFmtId="0" fontId="22" fillId="0" borderId="0" xfId="0" applyFont="1"/>
    <xf numFmtId="0" fontId="21" fillId="0" borderId="0" xfId="0" applyFont="1"/>
    <xf numFmtId="0" fontId="25" fillId="0" borderId="0" xfId="0" applyFont="1"/>
    <xf numFmtId="0" fontId="27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theme="0"/>
      </font>
    </dxf>
    <dxf>
      <fill>
        <patternFill patternType="solid">
          <bgColor rgb="FF0F1B3D"/>
        </patternFill>
      </fill>
    </dxf>
    <dxf>
      <font>
        <color theme="0"/>
      </font>
    </dxf>
    <dxf>
      <fill>
        <patternFill patternType="solid">
          <bgColor rgb="FF0F1B3D"/>
        </patternFill>
      </fill>
    </dxf>
    <dxf>
      <alignment horizontal="center"/>
    </dxf>
  </dxfs>
  <tableStyles count="0" defaultTableStyle="TableStyleMedium2" defaultPivotStyle="PivotStyleLight16"/>
  <colors>
    <mruColors>
      <color rgb="FF0F1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[Birth_Weights.xlsx]Analysis!PivotTable1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Normal Dist. of Weight (Kg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1B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1B3D"/>
            </a:solidFill>
            <a:ln>
              <a:noFill/>
            </a:ln>
            <a:effectLst/>
          </c:spPr>
          <c:invertIfNegative val="0"/>
          <c:cat>
            <c:strRef>
              <c:f>Analysis!$A$16:$A$24</c:f>
              <c:strCache>
                <c:ptCount val="9"/>
                <c:pt idx="0">
                  <c:v>0.709-1.209</c:v>
                </c:pt>
                <c:pt idx="1">
                  <c:v>1.209-1.709</c:v>
                </c:pt>
                <c:pt idx="2">
                  <c:v>1.709-2.209</c:v>
                </c:pt>
                <c:pt idx="3">
                  <c:v>2.209-2.709</c:v>
                </c:pt>
                <c:pt idx="4">
                  <c:v>2.709-3.209</c:v>
                </c:pt>
                <c:pt idx="5">
                  <c:v>3.209-3.709</c:v>
                </c:pt>
                <c:pt idx="6">
                  <c:v>3.709-4.209</c:v>
                </c:pt>
                <c:pt idx="7">
                  <c:v>4.209-4.709</c:v>
                </c:pt>
                <c:pt idx="8">
                  <c:v>4.709-5.209</c:v>
                </c:pt>
              </c:strCache>
            </c:strRef>
          </c:cat>
          <c:val>
            <c:numRef>
              <c:f>Analysis!$B$16:$B$24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21</c:v>
                </c:pt>
                <c:pt idx="3">
                  <c:v>40</c:v>
                </c:pt>
                <c:pt idx="4">
                  <c:v>49</c:v>
                </c:pt>
                <c:pt idx="5">
                  <c:v>41</c:v>
                </c:pt>
                <c:pt idx="6">
                  <c:v>27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0-4D5F-AD57-B65971D9C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27"/>
        <c:axId val="1842886511"/>
        <c:axId val="1842884591"/>
      </c:barChart>
      <c:catAx>
        <c:axId val="184288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84591"/>
        <c:crosses val="autoZero"/>
        <c:auto val="1"/>
        <c:lblAlgn val="ctr"/>
        <c:lblOffset val="100"/>
        <c:noMultiLvlLbl val="0"/>
      </c:catAx>
      <c:valAx>
        <c:axId val="18428845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288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13</xdr:row>
      <xdr:rowOff>3810</xdr:rowOff>
    </xdr:from>
    <xdr:to>
      <xdr:col>8</xdr:col>
      <xdr:colOff>137160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B51DB-A93A-9100-F518-9BDA1DC20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1.463668055556" createdVersion="8" refreshedVersion="8" minRefreshableVersion="3" recordCount="189" xr:uid="{FD3BCAE2-AF80-4BB1-8312-ABFB34D39EC6}">
  <cacheSource type="worksheet">
    <worksheetSource ref="B1:B190" sheet="Raw Data"/>
  </cacheSource>
  <cacheFields count="1">
    <cacheField name="Weight (Kg)" numFmtId="168">
      <sharedItems containsSemiMixedTypes="0" containsString="0" containsNumber="1" minValue="0.70899999999999996" maxValue="4.99" count="131">
        <n v="2.5230000000000001"/>
        <n v="2.5510000000000002"/>
        <n v="2.5569999999999999"/>
        <n v="2.5939999999999999"/>
        <n v="2.6"/>
        <n v="2.6219999999999999"/>
        <n v="2.637"/>
        <n v="2.6629999999999998"/>
        <n v="2.665"/>
        <n v="2.722"/>
        <n v="2.7330000000000001"/>
        <n v="2.7509999999999999"/>
        <n v="2.75"/>
        <n v="2.7690000000000001"/>
        <n v="2.778"/>
        <n v="2.782"/>
        <n v="2.8069999999999999"/>
        <n v="2.8210000000000002"/>
        <n v="2.835"/>
        <n v="2.8359999999999999"/>
        <n v="2.863"/>
        <n v="2.8769999999999998"/>
        <n v="2.9060000000000001"/>
        <n v="2.92"/>
        <n v="2.948"/>
        <n v="2.9769999999999999"/>
        <n v="2.9220000000000002"/>
        <n v="3.0049999999999999"/>
        <n v="3.0329999999999999"/>
        <n v="3.0419999999999998"/>
        <n v="3.0619999999999998"/>
        <n v="3.08"/>
        <n v="3.09"/>
        <n v="3.1"/>
        <n v="3.1040000000000001"/>
        <n v="3.1320000000000001"/>
        <n v="3.1469999999999998"/>
        <n v="3.1749999999999998"/>
        <n v="3.2029999999999998"/>
        <n v="3.2250000000000001"/>
        <n v="3.2320000000000002"/>
        <n v="3.234"/>
        <n v="3.26"/>
        <n v="3.274"/>
        <n v="3.3029999999999999"/>
        <n v="3.3170000000000002"/>
        <n v="3.3210000000000002"/>
        <n v="3.331"/>
        <n v="3.3740000000000001"/>
        <n v="3.4020000000000001"/>
        <n v="3.4159999999999999"/>
        <n v="3.43"/>
        <n v="3.444"/>
        <n v="3.4590000000000001"/>
        <n v="3.46"/>
        <n v="3.4729999999999999"/>
        <n v="3.544"/>
        <n v="3.4870000000000001"/>
        <n v="3.5720000000000001"/>
        <n v="3.5859999999999999"/>
        <n v="3.6"/>
        <n v="3.6139999999999999"/>
        <n v="3.629"/>
        <n v="3.637"/>
        <n v="3.6429999999999998"/>
        <n v="3.6509999999999998"/>
        <n v="3.6989999999999998"/>
        <n v="3.7280000000000002"/>
        <n v="3.7559999999999998"/>
        <n v="3.77"/>
        <n v="3.79"/>
        <n v="3.7989999999999999"/>
        <n v="3.827"/>
        <n v="3.8559999999999999"/>
        <n v="3.86"/>
        <n v="3.8839999999999999"/>
        <n v="3.9119999999999999"/>
        <n v="3.94"/>
        <n v="3.9409999999999998"/>
        <n v="3.9689999999999999"/>
        <n v="3.9830000000000001"/>
        <n v="3.9969999999999999"/>
        <n v="4.0540000000000003"/>
        <n v="4.1109999999999998"/>
        <n v="4.1529999999999996"/>
        <n v="4.1669999999999998"/>
        <n v="4.1740000000000004"/>
        <n v="4.2380000000000004"/>
        <n v="4.593"/>
        <n v="4.99"/>
        <n v="0.70899999999999996"/>
        <n v="1.0209999999999999"/>
        <n v="1.135"/>
        <n v="1.33"/>
        <n v="1.474"/>
        <n v="1.5880000000000001"/>
        <n v="1.7010000000000001"/>
        <n v="1.7290000000000001"/>
        <n v="1.79"/>
        <n v="1.8180000000000001"/>
        <n v="1.885"/>
        <n v="1.893"/>
        <n v="1.899"/>
        <n v="1.9279999999999999"/>
        <n v="1.9359999999999999"/>
        <n v="1.97"/>
        <n v="2.0550000000000002"/>
        <n v="2.0819999999999999"/>
        <n v="2.0840000000000001"/>
        <n v="2.1"/>
        <n v="2.125"/>
        <n v="2.1259999999999999"/>
        <n v="2.1869999999999998"/>
        <n v="2.2109999999999999"/>
        <n v="2.2250000000000001"/>
        <n v="2.2400000000000002"/>
        <n v="2.282"/>
        <n v="2.2959999999999998"/>
        <n v="2.3010000000000002"/>
        <n v="2.3250000000000002"/>
        <n v="2.3530000000000002"/>
        <n v="2.367"/>
        <n v="2.3809999999999998"/>
        <n v="2.41"/>
        <n v="2.4140000000000001"/>
        <n v="2.4239999999999999"/>
        <n v="2.4380000000000002"/>
        <n v="2.4420000000000002"/>
        <n v="2.4500000000000002"/>
        <n v="2.4660000000000002"/>
        <n v="2.4950000000000001"/>
      </sharedItems>
      <fieldGroup base="0">
        <rangePr startNum="0.70899999999999996" endNum="4.99" groupInterval="0.5"/>
        <groupItems count="11">
          <s v="&lt;0.709"/>
          <s v="0.709-1.209"/>
          <s v="1.209-1.709"/>
          <s v="1.709-2.209"/>
          <s v="2.209-2.709"/>
          <s v="2.709-3.209"/>
          <s v="3.209-3.709"/>
          <s v="3.709-4.209"/>
          <s v="4.209-4.709"/>
          <s v="4.709-5.209"/>
          <s v="&gt;5.20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</r>
  <r>
    <x v="1"/>
  </r>
  <r>
    <x v="2"/>
  </r>
  <r>
    <x v="3"/>
  </r>
  <r>
    <x v="4"/>
  </r>
  <r>
    <x v="5"/>
  </r>
  <r>
    <x v="6"/>
  </r>
  <r>
    <x v="6"/>
  </r>
  <r>
    <x v="7"/>
  </r>
  <r>
    <x v="8"/>
  </r>
  <r>
    <x v="9"/>
  </r>
  <r>
    <x v="10"/>
  </r>
  <r>
    <x v="11"/>
  </r>
  <r>
    <x v="12"/>
  </r>
  <r>
    <x v="13"/>
  </r>
  <r>
    <x v="13"/>
  </r>
  <r>
    <x v="14"/>
  </r>
  <r>
    <x v="15"/>
  </r>
  <r>
    <x v="16"/>
  </r>
  <r>
    <x v="17"/>
  </r>
  <r>
    <x v="18"/>
  </r>
  <r>
    <x v="18"/>
  </r>
  <r>
    <x v="19"/>
  </r>
  <r>
    <x v="20"/>
  </r>
  <r>
    <x v="21"/>
  </r>
  <r>
    <x v="21"/>
  </r>
  <r>
    <x v="22"/>
  </r>
  <r>
    <x v="23"/>
  </r>
  <r>
    <x v="23"/>
  </r>
  <r>
    <x v="23"/>
  </r>
  <r>
    <x v="23"/>
  </r>
  <r>
    <x v="24"/>
  </r>
  <r>
    <x v="24"/>
  </r>
  <r>
    <x v="25"/>
  </r>
  <r>
    <x v="25"/>
  </r>
  <r>
    <x v="25"/>
  </r>
  <r>
    <x v="25"/>
  </r>
  <r>
    <x v="26"/>
  </r>
  <r>
    <x v="27"/>
  </r>
  <r>
    <x v="28"/>
  </r>
  <r>
    <x v="29"/>
  </r>
  <r>
    <x v="30"/>
  </r>
  <r>
    <x v="30"/>
  </r>
  <r>
    <x v="30"/>
  </r>
  <r>
    <x v="30"/>
  </r>
  <r>
    <x v="30"/>
  </r>
  <r>
    <x v="31"/>
  </r>
  <r>
    <x v="32"/>
  </r>
  <r>
    <x v="32"/>
  </r>
  <r>
    <x v="32"/>
  </r>
  <r>
    <x v="33"/>
  </r>
  <r>
    <x v="34"/>
  </r>
  <r>
    <x v="35"/>
  </r>
  <r>
    <x v="36"/>
  </r>
  <r>
    <x v="37"/>
  </r>
  <r>
    <x v="37"/>
  </r>
  <r>
    <x v="38"/>
  </r>
  <r>
    <x v="38"/>
  </r>
  <r>
    <x v="38"/>
  </r>
  <r>
    <x v="39"/>
  </r>
  <r>
    <x v="39"/>
  </r>
  <r>
    <x v="40"/>
  </r>
  <r>
    <x v="40"/>
  </r>
  <r>
    <x v="41"/>
  </r>
  <r>
    <x v="42"/>
  </r>
  <r>
    <x v="43"/>
  </r>
  <r>
    <x v="43"/>
  </r>
  <r>
    <x v="44"/>
  </r>
  <r>
    <x v="45"/>
  </r>
  <r>
    <x v="45"/>
  </r>
  <r>
    <x v="45"/>
  </r>
  <r>
    <x v="46"/>
  </r>
  <r>
    <x v="47"/>
  </r>
  <r>
    <x v="48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6"/>
  </r>
  <r>
    <x v="58"/>
  </r>
  <r>
    <x v="58"/>
  </r>
  <r>
    <x v="59"/>
  </r>
  <r>
    <x v="60"/>
  </r>
  <r>
    <x v="61"/>
  </r>
  <r>
    <x v="61"/>
  </r>
  <r>
    <x v="62"/>
  </r>
  <r>
    <x v="62"/>
  </r>
  <r>
    <x v="63"/>
  </r>
  <r>
    <x v="64"/>
  </r>
  <r>
    <x v="65"/>
  </r>
  <r>
    <x v="65"/>
  </r>
  <r>
    <x v="65"/>
  </r>
  <r>
    <x v="65"/>
  </r>
  <r>
    <x v="66"/>
  </r>
  <r>
    <x v="67"/>
  </r>
  <r>
    <x v="68"/>
  </r>
  <r>
    <x v="69"/>
  </r>
  <r>
    <x v="69"/>
  </r>
  <r>
    <x v="69"/>
  </r>
  <r>
    <x v="70"/>
  </r>
  <r>
    <x v="71"/>
  </r>
  <r>
    <x v="72"/>
  </r>
  <r>
    <x v="73"/>
  </r>
  <r>
    <x v="74"/>
  </r>
  <r>
    <x v="74"/>
  </r>
  <r>
    <x v="75"/>
  </r>
  <r>
    <x v="75"/>
  </r>
  <r>
    <x v="76"/>
  </r>
  <r>
    <x v="77"/>
  </r>
  <r>
    <x v="78"/>
  </r>
  <r>
    <x v="78"/>
  </r>
  <r>
    <x v="79"/>
  </r>
  <r>
    <x v="80"/>
  </r>
  <r>
    <x v="81"/>
  </r>
  <r>
    <x v="81"/>
  </r>
  <r>
    <x v="82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3"/>
  </r>
  <r>
    <x v="103"/>
  </r>
  <r>
    <x v="104"/>
  </r>
  <r>
    <x v="105"/>
  </r>
  <r>
    <x v="106"/>
  </r>
  <r>
    <x v="106"/>
  </r>
  <r>
    <x v="107"/>
  </r>
  <r>
    <x v="108"/>
  </r>
  <r>
    <x v="108"/>
  </r>
  <r>
    <x v="109"/>
  </r>
  <r>
    <x v="110"/>
  </r>
  <r>
    <x v="111"/>
  </r>
  <r>
    <x v="112"/>
  </r>
  <r>
    <x v="112"/>
  </r>
  <r>
    <x v="113"/>
  </r>
  <r>
    <x v="114"/>
  </r>
  <r>
    <x v="115"/>
  </r>
  <r>
    <x v="115"/>
  </r>
  <r>
    <x v="116"/>
  </r>
  <r>
    <x v="117"/>
  </r>
  <r>
    <x v="117"/>
  </r>
  <r>
    <x v="118"/>
  </r>
  <r>
    <x v="119"/>
  </r>
  <r>
    <x v="120"/>
  </r>
  <r>
    <x v="120"/>
  </r>
  <r>
    <x v="121"/>
  </r>
  <r>
    <x v="122"/>
  </r>
  <r>
    <x v="122"/>
  </r>
  <r>
    <x v="122"/>
  </r>
  <r>
    <x v="123"/>
  </r>
  <r>
    <x v="123"/>
  </r>
  <r>
    <x v="123"/>
  </r>
  <r>
    <x v="124"/>
  </r>
  <r>
    <x v="125"/>
  </r>
  <r>
    <x v="126"/>
  </r>
  <r>
    <x v="127"/>
  </r>
  <r>
    <x v="128"/>
  </r>
  <r>
    <x v="129"/>
  </r>
  <r>
    <x v="129"/>
  </r>
  <r>
    <x v="129"/>
  </r>
  <r>
    <x v="130"/>
  </r>
  <r>
    <x v="130"/>
  </r>
  <r>
    <x v="130"/>
  </r>
  <r>
    <x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27506-7778-4CC9-86F5-A8AF76A004C2}" name="PivotTable1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Weight Range (Kg)">
  <location ref="A15:B24" firstHeaderRow="1" firstDataRow="1" firstDataCol="1"/>
  <pivotFields count="1">
    <pivotField axis="axisRow" dataField="1" numFmtId="16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Frequency (Birth)" fld="0" subtotal="count" baseField="0" baseItem="1"/>
  </dataFields>
  <formats count="5">
    <format dxfId="4">
      <pivotArea dataOnly="0" labelOnly="1" fieldPosition="0">
        <references count="1">
          <reference field="0" count="0"/>
        </references>
      </pivotArea>
    </format>
    <format dxfId="3">
      <pivotArea field="0" type="button" dataOnly="0" labelOnly="1" outline="0" axis="axisRow" fieldPosition="0"/>
    </format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982F-EB08-4C84-A23D-4958768A9D33}">
  <sheetPr>
    <tabColor theme="5" tint="0.39997558519241921"/>
  </sheetPr>
  <dimension ref="B2:C29"/>
  <sheetViews>
    <sheetView topLeftCell="A28" workbookViewId="0">
      <selection activeCell="B12" sqref="B12:C12"/>
    </sheetView>
  </sheetViews>
  <sheetFormatPr defaultRowHeight="14.4"/>
  <cols>
    <col min="1" max="1" width="3.44140625" customWidth="1"/>
    <col min="2" max="2" width="22.6640625" bestFit="1" customWidth="1"/>
    <col min="3" max="3" width="60.21875" bestFit="1" customWidth="1"/>
  </cols>
  <sheetData>
    <row r="2" spans="2:3" ht="20.399999999999999">
      <c r="B2" s="13" t="s">
        <v>24</v>
      </c>
      <c r="C2" s="14"/>
    </row>
    <row r="3" spans="2:3">
      <c r="B3" s="15"/>
      <c r="C3" s="15"/>
    </row>
    <row r="4" spans="2:3" ht="21">
      <c r="B4" s="16" t="s">
        <v>25</v>
      </c>
      <c r="C4" s="17"/>
    </row>
    <row r="5" spans="2:3" ht="15.6">
      <c r="B5" s="18" t="s">
        <v>26</v>
      </c>
      <c r="C5" s="19" t="s">
        <v>27</v>
      </c>
    </row>
    <row r="6" spans="2:3" ht="15.6">
      <c r="B6" s="18" t="s">
        <v>28</v>
      </c>
      <c r="C6" s="19" t="s">
        <v>29</v>
      </c>
    </row>
    <row r="7" spans="2:3" ht="15.6">
      <c r="B7" s="18" t="s">
        <v>30</v>
      </c>
      <c r="C7" s="19" t="s">
        <v>31</v>
      </c>
    </row>
    <row r="8" spans="2:3" ht="15.6">
      <c r="B8" s="18" t="s">
        <v>32</v>
      </c>
      <c r="C8" s="19" t="s">
        <v>33</v>
      </c>
    </row>
    <row r="9" spans="2:3" ht="15.6">
      <c r="B9" s="18" t="s">
        <v>34</v>
      </c>
      <c r="C9" s="19" t="s">
        <v>35</v>
      </c>
    </row>
    <row r="10" spans="2:3">
      <c r="B10" s="15"/>
      <c r="C10" s="15"/>
    </row>
    <row r="11" spans="2:3" ht="21">
      <c r="B11" s="16" t="s">
        <v>36</v>
      </c>
      <c r="C11" s="17"/>
    </row>
    <row r="12" spans="2:3" ht="15.6">
      <c r="B12" s="20" t="s">
        <v>37</v>
      </c>
      <c r="C12" s="21"/>
    </row>
    <row r="13" spans="2:3" ht="15.6">
      <c r="B13" s="20" t="s">
        <v>38</v>
      </c>
      <c r="C13" s="21"/>
    </row>
    <row r="14" spans="2:3" ht="15.6">
      <c r="B14" s="20" t="s">
        <v>39</v>
      </c>
      <c r="C14" s="21"/>
    </row>
    <row r="15" spans="2:3" ht="15.6">
      <c r="B15" s="20" t="s">
        <v>40</v>
      </c>
      <c r="C15" s="21"/>
    </row>
    <row r="16" spans="2:3" ht="15.6">
      <c r="B16" s="20" t="s">
        <v>41</v>
      </c>
      <c r="C16" s="21"/>
    </row>
    <row r="17" spans="2:3">
      <c r="B17" s="15"/>
      <c r="C17" s="15"/>
    </row>
    <row r="18" spans="2:3" ht="21">
      <c r="B18" s="16" t="s">
        <v>42</v>
      </c>
      <c r="C18" s="17"/>
    </row>
    <row r="19" spans="2:3" ht="15.6">
      <c r="B19" s="18" t="s">
        <v>43</v>
      </c>
      <c r="C19" s="19" t="s">
        <v>44</v>
      </c>
    </row>
    <row r="20" spans="2:3" ht="15.6">
      <c r="B20" s="18" t="s">
        <v>45</v>
      </c>
      <c r="C20" s="19" t="s">
        <v>46</v>
      </c>
    </row>
    <row r="21" spans="2:3" ht="15.6">
      <c r="B21" s="18" t="s">
        <v>47</v>
      </c>
      <c r="C21" s="19" t="s">
        <v>48</v>
      </c>
    </row>
    <row r="22" spans="2:3" ht="15.6">
      <c r="B22" s="18" t="s">
        <v>49</v>
      </c>
      <c r="C22" s="19" t="s">
        <v>50</v>
      </c>
    </row>
    <row r="23" spans="2:3">
      <c r="B23" s="15"/>
      <c r="C23" s="15"/>
    </row>
    <row r="24" spans="2:3" ht="21">
      <c r="B24" s="16" t="s">
        <v>51</v>
      </c>
      <c r="C24" s="17"/>
    </row>
    <row r="25" spans="2:3" ht="15.6">
      <c r="B25" s="18" t="s">
        <v>52</v>
      </c>
      <c r="C25" s="19" t="s">
        <v>53</v>
      </c>
    </row>
    <row r="26" spans="2:3" ht="15.6">
      <c r="B26" s="18" t="s">
        <v>54</v>
      </c>
      <c r="C26" s="19" t="s">
        <v>55</v>
      </c>
    </row>
    <row r="27" spans="2:3" ht="15.6">
      <c r="B27" s="18" t="s">
        <v>56</v>
      </c>
      <c r="C27" s="19" t="s">
        <v>57</v>
      </c>
    </row>
    <row r="28" spans="2:3" ht="15.6">
      <c r="B28" s="18" t="s">
        <v>58</v>
      </c>
      <c r="C28" s="19" t="s">
        <v>59</v>
      </c>
    </row>
    <row r="29" spans="2:3" ht="15.6">
      <c r="B29" s="18" t="s">
        <v>60</v>
      </c>
      <c r="C29" s="19" t="s">
        <v>61</v>
      </c>
    </row>
  </sheetData>
  <mergeCells count="10">
    <mergeCell ref="B15:C15"/>
    <mergeCell ref="B16:C16"/>
    <mergeCell ref="B18:C18"/>
    <mergeCell ref="B24:C24"/>
    <mergeCell ref="B2:C2"/>
    <mergeCell ref="B4:C4"/>
    <mergeCell ref="B11:C11"/>
    <mergeCell ref="B12:C12"/>
    <mergeCell ref="B13:C13"/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2431-E9B7-4648-98C9-EE43C1AA434D}">
  <sheetPr>
    <tabColor theme="7" tint="0.39997558519241921"/>
  </sheetPr>
  <dimension ref="A1:B190"/>
  <sheetViews>
    <sheetView tabSelected="1" workbookViewId="0">
      <selection activeCell="C188" sqref="C188"/>
    </sheetView>
  </sheetViews>
  <sheetFormatPr defaultRowHeight="14.4"/>
  <cols>
    <col min="1" max="2" width="15" customWidth="1"/>
  </cols>
  <sheetData>
    <row r="1" spans="1:2">
      <c r="A1" s="22" t="s">
        <v>1</v>
      </c>
      <c r="B1" s="22" t="s">
        <v>0</v>
      </c>
    </row>
    <row r="2" spans="1:2">
      <c r="A2" s="23">
        <v>2523</v>
      </c>
      <c r="B2" s="24">
        <v>2.5230000000000001</v>
      </c>
    </row>
    <row r="3" spans="1:2">
      <c r="A3" s="23">
        <v>2551</v>
      </c>
      <c r="B3" s="24">
        <v>2.5510000000000002</v>
      </c>
    </row>
    <row r="4" spans="1:2">
      <c r="A4" s="23">
        <v>2557</v>
      </c>
      <c r="B4" s="24">
        <v>2.5569999999999999</v>
      </c>
    </row>
    <row r="5" spans="1:2">
      <c r="A5" s="23">
        <v>2594</v>
      </c>
      <c r="B5" s="24">
        <v>2.5939999999999999</v>
      </c>
    </row>
    <row r="6" spans="1:2">
      <c r="A6" s="23">
        <v>2600</v>
      </c>
      <c r="B6" s="24">
        <v>2.6</v>
      </c>
    </row>
    <row r="7" spans="1:2">
      <c r="A7" s="23">
        <v>2622</v>
      </c>
      <c r="B7" s="24">
        <v>2.6219999999999999</v>
      </c>
    </row>
    <row r="8" spans="1:2">
      <c r="A8" s="23">
        <v>2637</v>
      </c>
      <c r="B8" s="24">
        <v>2.637</v>
      </c>
    </row>
    <row r="9" spans="1:2">
      <c r="A9" s="23">
        <v>2637</v>
      </c>
      <c r="B9" s="24">
        <v>2.637</v>
      </c>
    </row>
    <row r="10" spans="1:2">
      <c r="A10" s="23">
        <v>2663</v>
      </c>
      <c r="B10" s="24">
        <v>2.6629999999999998</v>
      </c>
    </row>
    <row r="11" spans="1:2">
      <c r="A11" s="23">
        <v>2665</v>
      </c>
      <c r="B11" s="24">
        <v>2.665</v>
      </c>
    </row>
    <row r="12" spans="1:2">
      <c r="A12" s="23">
        <v>2722</v>
      </c>
      <c r="B12" s="24">
        <v>2.722</v>
      </c>
    </row>
    <row r="13" spans="1:2">
      <c r="A13" s="23">
        <v>2733</v>
      </c>
      <c r="B13" s="24">
        <v>2.7330000000000001</v>
      </c>
    </row>
    <row r="14" spans="1:2">
      <c r="A14" s="23">
        <v>2751</v>
      </c>
      <c r="B14" s="24">
        <v>2.7509999999999999</v>
      </c>
    </row>
    <row r="15" spans="1:2">
      <c r="A15" s="23">
        <v>2750</v>
      </c>
      <c r="B15" s="24">
        <v>2.75</v>
      </c>
    </row>
    <row r="16" spans="1:2">
      <c r="A16" s="23">
        <v>2769</v>
      </c>
      <c r="B16" s="24">
        <v>2.7690000000000001</v>
      </c>
    </row>
    <row r="17" spans="1:2">
      <c r="A17" s="23">
        <v>2769</v>
      </c>
      <c r="B17" s="24">
        <v>2.7690000000000001</v>
      </c>
    </row>
    <row r="18" spans="1:2">
      <c r="A18" s="23">
        <v>2778</v>
      </c>
      <c r="B18" s="24">
        <v>2.778</v>
      </c>
    </row>
    <row r="19" spans="1:2">
      <c r="A19" s="23">
        <v>2782</v>
      </c>
      <c r="B19" s="24">
        <v>2.782</v>
      </c>
    </row>
    <row r="20" spans="1:2">
      <c r="A20" s="23">
        <v>2807</v>
      </c>
      <c r="B20" s="24">
        <v>2.8069999999999999</v>
      </c>
    </row>
    <row r="21" spans="1:2">
      <c r="A21" s="23">
        <v>2821</v>
      </c>
      <c r="B21" s="24">
        <v>2.8210000000000002</v>
      </c>
    </row>
    <row r="22" spans="1:2">
      <c r="A22" s="23">
        <v>2835</v>
      </c>
      <c r="B22" s="24">
        <v>2.835</v>
      </c>
    </row>
    <row r="23" spans="1:2">
      <c r="A23" s="23">
        <v>2835</v>
      </c>
      <c r="B23" s="24">
        <v>2.835</v>
      </c>
    </row>
    <row r="24" spans="1:2">
      <c r="A24" s="23">
        <v>2836</v>
      </c>
      <c r="B24" s="24">
        <v>2.8359999999999999</v>
      </c>
    </row>
    <row r="25" spans="1:2">
      <c r="A25" s="23">
        <v>2863</v>
      </c>
      <c r="B25" s="24">
        <v>2.863</v>
      </c>
    </row>
    <row r="26" spans="1:2">
      <c r="A26" s="23">
        <v>2877</v>
      </c>
      <c r="B26" s="24">
        <v>2.8769999999999998</v>
      </c>
    </row>
    <row r="27" spans="1:2">
      <c r="A27" s="23">
        <v>2877</v>
      </c>
      <c r="B27" s="24">
        <v>2.8769999999999998</v>
      </c>
    </row>
    <row r="28" spans="1:2">
      <c r="A28" s="23">
        <v>2906</v>
      </c>
      <c r="B28" s="24">
        <v>2.9060000000000001</v>
      </c>
    </row>
    <row r="29" spans="1:2">
      <c r="A29" s="23">
        <v>2920</v>
      </c>
      <c r="B29" s="24">
        <v>2.92</v>
      </c>
    </row>
    <row r="30" spans="1:2">
      <c r="A30" s="23">
        <v>2920</v>
      </c>
      <c r="B30" s="24">
        <v>2.92</v>
      </c>
    </row>
    <row r="31" spans="1:2">
      <c r="A31" s="23">
        <v>2920</v>
      </c>
      <c r="B31" s="24">
        <v>2.92</v>
      </c>
    </row>
    <row r="32" spans="1:2">
      <c r="A32" s="23">
        <v>2920</v>
      </c>
      <c r="B32" s="24">
        <v>2.92</v>
      </c>
    </row>
    <row r="33" spans="1:2">
      <c r="A33" s="23">
        <v>2948</v>
      </c>
      <c r="B33" s="24">
        <v>2.948</v>
      </c>
    </row>
    <row r="34" spans="1:2">
      <c r="A34" s="23">
        <v>2948</v>
      </c>
      <c r="B34" s="24">
        <v>2.948</v>
      </c>
    </row>
    <row r="35" spans="1:2">
      <c r="A35" s="23">
        <v>2977</v>
      </c>
      <c r="B35" s="24">
        <v>2.9769999999999999</v>
      </c>
    </row>
    <row r="36" spans="1:2">
      <c r="A36" s="23">
        <v>2977</v>
      </c>
      <c r="B36" s="24">
        <v>2.9769999999999999</v>
      </c>
    </row>
    <row r="37" spans="1:2">
      <c r="A37" s="23">
        <v>2977</v>
      </c>
      <c r="B37" s="24">
        <v>2.9769999999999999</v>
      </c>
    </row>
    <row r="38" spans="1:2">
      <c r="A38" s="23">
        <v>2977</v>
      </c>
      <c r="B38" s="24">
        <v>2.9769999999999999</v>
      </c>
    </row>
    <row r="39" spans="1:2">
      <c r="A39" s="23">
        <v>2922</v>
      </c>
      <c r="B39" s="24">
        <v>2.9220000000000002</v>
      </c>
    </row>
    <row r="40" spans="1:2">
      <c r="A40" s="23">
        <v>3005</v>
      </c>
      <c r="B40" s="24">
        <v>3.0049999999999999</v>
      </c>
    </row>
    <row r="41" spans="1:2">
      <c r="A41" s="23">
        <v>3033</v>
      </c>
      <c r="B41" s="24">
        <v>3.0329999999999999</v>
      </c>
    </row>
    <row r="42" spans="1:2">
      <c r="A42" s="23">
        <v>3042</v>
      </c>
      <c r="B42" s="24">
        <v>3.0419999999999998</v>
      </c>
    </row>
    <row r="43" spans="1:2">
      <c r="A43" s="23">
        <v>3062</v>
      </c>
      <c r="B43" s="24">
        <v>3.0619999999999998</v>
      </c>
    </row>
    <row r="44" spans="1:2">
      <c r="A44" s="23">
        <v>3062</v>
      </c>
      <c r="B44" s="24">
        <v>3.0619999999999998</v>
      </c>
    </row>
    <row r="45" spans="1:2">
      <c r="A45" s="23">
        <v>3062</v>
      </c>
      <c r="B45" s="24">
        <v>3.0619999999999998</v>
      </c>
    </row>
    <row r="46" spans="1:2">
      <c r="A46" s="23">
        <v>3062</v>
      </c>
      <c r="B46" s="24">
        <v>3.0619999999999998</v>
      </c>
    </row>
    <row r="47" spans="1:2">
      <c r="A47" s="23">
        <v>3062</v>
      </c>
      <c r="B47" s="24">
        <v>3.0619999999999998</v>
      </c>
    </row>
    <row r="48" spans="1:2">
      <c r="A48" s="23">
        <v>3080</v>
      </c>
      <c r="B48" s="24">
        <v>3.08</v>
      </c>
    </row>
    <row r="49" spans="1:2">
      <c r="A49" s="23">
        <v>3090</v>
      </c>
      <c r="B49" s="24">
        <v>3.09</v>
      </c>
    </row>
    <row r="50" spans="1:2">
      <c r="A50" s="23">
        <v>3090</v>
      </c>
      <c r="B50" s="24">
        <v>3.09</v>
      </c>
    </row>
    <row r="51" spans="1:2">
      <c r="A51" s="23">
        <v>3090</v>
      </c>
      <c r="B51" s="24">
        <v>3.09</v>
      </c>
    </row>
    <row r="52" spans="1:2">
      <c r="A52" s="23">
        <v>3100</v>
      </c>
      <c r="B52" s="24">
        <v>3.1</v>
      </c>
    </row>
    <row r="53" spans="1:2">
      <c r="A53" s="23">
        <v>3104</v>
      </c>
      <c r="B53" s="24">
        <v>3.1040000000000001</v>
      </c>
    </row>
    <row r="54" spans="1:2">
      <c r="A54" s="23">
        <v>3132</v>
      </c>
      <c r="B54" s="24">
        <v>3.1320000000000001</v>
      </c>
    </row>
    <row r="55" spans="1:2">
      <c r="A55" s="23">
        <v>3147</v>
      </c>
      <c r="B55" s="24">
        <v>3.1469999999999998</v>
      </c>
    </row>
    <row r="56" spans="1:2">
      <c r="A56" s="23">
        <v>3175</v>
      </c>
      <c r="B56" s="24">
        <v>3.1749999999999998</v>
      </c>
    </row>
    <row r="57" spans="1:2">
      <c r="A57" s="23">
        <v>3175</v>
      </c>
      <c r="B57" s="24">
        <v>3.1749999999999998</v>
      </c>
    </row>
    <row r="58" spans="1:2">
      <c r="A58" s="23">
        <v>3203</v>
      </c>
      <c r="B58" s="24">
        <v>3.2029999999999998</v>
      </c>
    </row>
    <row r="59" spans="1:2">
      <c r="A59" s="23">
        <v>3203</v>
      </c>
      <c r="B59" s="24">
        <v>3.2029999999999998</v>
      </c>
    </row>
    <row r="60" spans="1:2">
      <c r="A60" s="23">
        <v>3203</v>
      </c>
      <c r="B60" s="24">
        <v>3.2029999999999998</v>
      </c>
    </row>
    <row r="61" spans="1:2">
      <c r="A61" s="23">
        <v>3225</v>
      </c>
      <c r="B61" s="24">
        <v>3.2250000000000001</v>
      </c>
    </row>
    <row r="62" spans="1:2">
      <c r="A62" s="23">
        <v>3225</v>
      </c>
      <c r="B62" s="24">
        <v>3.2250000000000001</v>
      </c>
    </row>
    <row r="63" spans="1:2">
      <c r="A63" s="23">
        <v>3232</v>
      </c>
      <c r="B63" s="24">
        <v>3.2320000000000002</v>
      </c>
    </row>
    <row r="64" spans="1:2">
      <c r="A64" s="23">
        <v>3232</v>
      </c>
      <c r="B64" s="24">
        <v>3.2320000000000002</v>
      </c>
    </row>
    <row r="65" spans="1:2">
      <c r="A65" s="23">
        <v>3234</v>
      </c>
      <c r="B65" s="24">
        <v>3.234</v>
      </c>
    </row>
    <row r="66" spans="1:2">
      <c r="A66" s="23">
        <v>3260</v>
      </c>
      <c r="B66" s="24">
        <v>3.26</v>
      </c>
    </row>
    <row r="67" spans="1:2">
      <c r="A67" s="23">
        <v>3274</v>
      </c>
      <c r="B67" s="24">
        <v>3.274</v>
      </c>
    </row>
    <row r="68" spans="1:2">
      <c r="A68" s="23">
        <v>3274</v>
      </c>
      <c r="B68" s="24">
        <v>3.274</v>
      </c>
    </row>
    <row r="69" spans="1:2">
      <c r="A69" s="23">
        <v>3303</v>
      </c>
      <c r="B69" s="24">
        <v>3.3029999999999999</v>
      </c>
    </row>
    <row r="70" spans="1:2">
      <c r="A70" s="23">
        <v>3317</v>
      </c>
      <c r="B70" s="24">
        <v>3.3170000000000002</v>
      </c>
    </row>
    <row r="71" spans="1:2">
      <c r="A71" s="23">
        <v>3317</v>
      </c>
      <c r="B71" s="24">
        <v>3.3170000000000002</v>
      </c>
    </row>
    <row r="72" spans="1:2">
      <c r="A72" s="23">
        <v>3317</v>
      </c>
      <c r="B72" s="24">
        <v>3.3170000000000002</v>
      </c>
    </row>
    <row r="73" spans="1:2">
      <c r="A73" s="23">
        <v>3321</v>
      </c>
      <c r="B73" s="24">
        <v>3.3210000000000002</v>
      </c>
    </row>
    <row r="74" spans="1:2">
      <c r="A74" s="23">
        <v>3331</v>
      </c>
      <c r="B74" s="24">
        <v>3.331</v>
      </c>
    </row>
    <row r="75" spans="1:2">
      <c r="A75" s="23">
        <v>3374</v>
      </c>
      <c r="B75" s="24">
        <v>3.3740000000000001</v>
      </c>
    </row>
    <row r="76" spans="1:2">
      <c r="A76" s="23">
        <v>3374</v>
      </c>
      <c r="B76" s="24">
        <v>3.3740000000000001</v>
      </c>
    </row>
    <row r="77" spans="1:2">
      <c r="A77" s="23">
        <v>3402</v>
      </c>
      <c r="B77" s="24">
        <v>3.4020000000000001</v>
      </c>
    </row>
    <row r="78" spans="1:2">
      <c r="A78" s="23">
        <v>3416</v>
      </c>
      <c r="B78" s="24">
        <v>3.4159999999999999</v>
      </c>
    </row>
    <row r="79" spans="1:2">
      <c r="A79" s="23">
        <v>3430</v>
      </c>
      <c r="B79" s="24">
        <v>3.43</v>
      </c>
    </row>
    <row r="80" spans="1:2">
      <c r="A80" s="23">
        <v>3444</v>
      </c>
      <c r="B80" s="24">
        <v>3.444</v>
      </c>
    </row>
    <row r="81" spans="1:2">
      <c r="A81" s="23">
        <v>3459</v>
      </c>
      <c r="B81" s="24">
        <v>3.4590000000000001</v>
      </c>
    </row>
    <row r="82" spans="1:2">
      <c r="A82" s="23">
        <v>3460</v>
      </c>
      <c r="B82" s="24">
        <v>3.46</v>
      </c>
    </row>
    <row r="83" spans="1:2">
      <c r="A83" s="23">
        <v>3473</v>
      </c>
      <c r="B83" s="24">
        <v>3.4729999999999999</v>
      </c>
    </row>
    <row r="84" spans="1:2">
      <c r="A84" s="23">
        <v>3544</v>
      </c>
      <c r="B84" s="24">
        <v>3.544</v>
      </c>
    </row>
    <row r="85" spans="1:2">
      <c r="A85" s="23">
        <v>3487</v>
      </c>
      <c r="B85" s="24">
        <v>3.4870000000000001</v>
      </c>
    </row>
    <row r="86" spans="1:2">
      <c r="A86" s="23">
        <v>3544</v>
      </c>
      <c r="B86" s="24">
        <v>3.544</v>
      </c>
    </row>
    <row r="87" spans="1:2">
      <c r="A87" s="23">
        <v>3572</v>
      </c>
      <c r="B87" s="24">
        <v>3.5720000000000001</v>
      </c>
    </row>
    <row r="88" spans="1:2">
      <c r="A88" s="23">
        <v>3572</v>
      </c>
      <c r="B88" s="24">
        <v>3.5720000000000001</v>
      </c>
    </row>
    <row r="89" spans="1:2">
      <c r="A89" s="23">
        <v>3586</v>
      </c>
      <c r="B89" s="24">
        <v>3.5859999999999999</v>
      </c>
    </row>
    <row r="90" spans="1:2">
      <c r="A90" s="23">
        <v>3600</v>
      </c>
      <c r="B90" s="24">
        <v>3.6</v>
      </c>
    </row>
    <row r="91" spans="1:2">
      <c r="A91" s="23">
        <v>3614</v>
      </c>
      <c r="B91" s="24">
        <v>3.6139999999999999</v>
      </c>
    </row>
    <row r="92" spans="1:2">
      <c r="A92" s="23">
        <v>3614</v>
      </c>
      <c r="B92" s="24">
        <v>3.6139999999999999</v>
      </c>
    </row>
    <row r="93" spans="1:2">
      <c r="A93" s="23">
        <v>3629</v>
      </c>
      <c r="B93" s="24">
        <v>3.629</v>
      </c>
    </row>
    <row r="94" spans="1:2">
      <c r="A94" s="23">
        <v>3629</v>
      </c>
      <c r="B94" s="24">
        <v>3.629</v>
      </c>
    </row>
    <row r="95" spans="1:2">
      <c r="A95" s="23">
        <v>3637</v>
      </c>
      <c r="B95" s="24">
        <v>3.637</v>
      </c>
    </row>
    <row r="96" spans="1:2">
      <c r="A96" s="23">
        <v>3643</v>
      </c>
      <c r="B96" s="24">
        <v>3.6429999999999998</v>
      </c>
    </row>
    <row r="97" spans="1:2">
      <c r="A97" s="23">
        <v>3651</v>
      </c>
      <c r="B97" s="24">
        <v>3.6509999999999998</v>
      </c>
    </row>
    <row r="98" spans="1:2">
      <c r="A98" s="23">
        <v>3651</v>
      </c>
      <c r="B98" s="24">
        <v>3.6509999999999998</v>
      </c>
    </row>
    <row r="99" spans="1:2">
      <c r="A99" s="23">
        <v>3651</v>
      </c>
      <c r="B99" s="24">
        <v>3.6509999999999998</v>
      </c>
    </row>
    <row r="100" spans="1:2">
      <c r="A100" s="23">
        <v>3651</v>
      </c>
      <c r="B100" s="24">
        <v>3.6509999999999998</v>
      </c>
    </row>
    <row r="101" spans="1:2">
      <c r="A101" s="23">
        <v>3699</v>
      </c>
      <c r="B101" s="24">
        <v>3.6989999999999998</v>
      </c>
    </row>
    <row r="102" spans="1:2">
      <c r="A102" s="23">
        <v>3728</v>
      </c>
      <c r="B102" s="24">
        <v>3.7280000000000002</v>
      </c>
    </row>
    <row r="103" spans="1:2">
      <c r="A103" s="23">
        <v>3756</v>
      </c>
      <c r="B103" s="24">
        <v>3.7559999999999998</v>
      </c>
    </row>
    <row r="104" spans="1:2">
      <c r="A104" s="23">
        <v>3770</v>
      </c>
      <c r="B104" s="24">
        <v>3.77</v>
      </c>
    </row>
    <row r="105" spans="1:2">
      <c r="A105" s="23">
        <v>3770</v>
      </c>
      <c r="B105" s="24">
        <v>3.77</v>
      </c>
    </row>
    <row r="106" spans="1:2">
      <c r="A106" s="23">
        <v>3770</v>
      </c>
      <c r="B106" s="24">
        <v>3.77</v>
      </c>
    </row>
    <row r="107" spans="1:2">
      <c r="A107" s="23">
        <v>3790</v>
      </c>
      <c r="B107" s="24">
        <v>3.79</v>
      </c>
    </row>
    <row r="108" spans="1:2">
      <c r="A108" s="23">
        <v>3799</v>
      </c>
      <c r="B108" s="24">
        <v>3.7989999999999999</v>
      </c>
    </row>
    <row r="109" spans="1:2">
      <c r="A109" s="23">
        <v>3827</v>
      </c>
      <c r="B109" s="24">
        <v>3.827</v>
      </c>
    </row>
    <row r="110" spans="1:2">
      <c r="A110" s="23">
        <v>3856</v>
      </c>
      <c r="B110" s="24">
        <v>3.8559999999999999</v>
      </c>
    </row>
    <row r="111" spans="1:2">
      <c r="A111" s="23">
        <v>3860</v>
      </c>
      <c r="B111" s="24">
        <v>3.86</v>
      </c>
    </row>
    <row r="112" spans="1:2">
      <c r="A112" s="23">
        <v>3860</v>
      </c>
      <c r="B112" s="24">
        <v>3.86</v>
      </c>
    </row>
    <row r="113" spans="1:2">
      <c r="A113" s="23">
        <v>3884</v>
      </c>
      <c r="B113" s="24">
        <v>3.8839999999999999</v>
      </c>
    </row>
    <row r="114" spans="1:2">
      <c r="A114" s="23">
        <v>3884</v>
      </c>
      <c r="B114" s="24">
        <v>3.8839999999999999</v>
      </c>
    </row>
    <row r="115" spans="1:2">
      <c r="A115" s="23">
        <v>3912</v>
      </c>
      <c r="B115" s="24">
        <v>3.9119999999999999</v>
      </c>
    </row>
    <row r="116" spans="1:2">
      <c r="A116" s="23">
        <v>3940</v>
      </c>
      <c r="B116" s="24">
        <v>3.94</v>
      </c>
    </row>
    <row r="117" spans="1:2">
      <c r="A117" s="23">
        <v>3941</v>
      </c>
      <c r="B117" s="24">
        <v>3.9409999999999998</v>
      </c>
    </row>
    <row r="118" spans="1:2">
      <c r="A118" s="23">
        <v>3941</v>
      </c>
      <c r="B118" s="24">
        <v>3.9409999999999998</v>
      </c>
    </row>
    <row r="119" spans="1:2">
      <c r="A119" s="23">
        <v>3969</v>
      </c>
      <c r="B119" s="24">
        <v>3.9689999999999999</v>
      </c>
    </row>
    <row r="120" spans="1:2">
      <c r="A120" s="23">
        <v>3983</v>
      </c>
      <c r="B120" s="24">
        <v>3.9830000000000001</v>
      </c>
    </row>
    <row r="121" spans="1:2">
      <c r="A121" s="23">
        <v>3997</v>
      </c>
      <c r="B121" s="24">
        <v>3.9969999999999999</v>
      </c>
    </row>
    <row r="122" spans="1:2">
      <c r="A122" s="23">
        <v>3997</v>
      </c>
      <c r="B122" s="24">
        <v>3.9969999999999999</v>
      </c>
    </row>
    <row r="123" spans="1:2">
      <c r="A123" s="23">
        <v>4054</v>
      </c>
      <c r="B123" s="24">
        <v>4.0540000000000003</v>
      </c>
    </row>
    <row r="124" spans="1:2">
      <c r="A124" s="23">
        <v>4054</v>
      </c>
      <c r="B124" s="24">
        <v>4.0540000000000003</v>
      </c>
    </row>
    <row r="125" spans="1:2">
      <c r="A125" s="23">
        <v>4111</v>
      </c>
      <c r="B125" s="24">
        <v>4.1109999999999998</v>
      </c>
    </row>
    <row r="126" spans="1:2">
      <c r="A126" s="23">
        <v>4153</v>
      </c>
      <c r="B126" s="24">
        <v>4.1529999999999996</v>
      </c>
    </row>
    <row r="127" spans="1:2">
      <c r="A127" s="23">
        <v>4167</v>
      </c>
      <c r="B127" s="24">
        <v>4.1669999999999998</v>
      </c>
    </row>
    <row r="128" spans="1:2">
      <c r="A128" s="23">
        <v>4174</v>
      </c>
      <c r="B128" s="24">
        <v>4.1740000000000004</v>
      </c>
    </row>
    <row r="129" spans="1:2">
      <c r="A129" s="23">
        <v>4238</v>
      </c>
      <c r="B129" s="24">
        <v>4.2380000000000004</v>
      </c>
    </row>
    <row r="130" spans="1:2">
      <c r="A130" s="23">
        <v>4593</v>
      </c>
      <c r="B130" s="24">
        <v>4.593</v>
      </c>
    </row>
    <row r="131" spans="1:2">
      <c r="A131" s="23">
        <v>4990</v>
      </c>
      <c r="B131" s="24">
        <v>4.99</v>
      </c>
    </row>
    <row r="132" spans="1:2">
      <c r="A132" s="23">
        <v>709</v>
      </c>
      <c r="B132" s="24">
        <v>0.70899999999999996</v>
      </c>
    </row>
    <row r="133" spans="1:2">
      <c r="A133" s="23">
        <v>1021</v>
      </c>
      <c r="B133" s="24">
        <v>1.0209999999999999</v>
      </c>
    </row>
    <row r="134" spans="1:2">
      <c r="A134" s="23">
        <v>1135</v>
      </c>
      <c r="B134" s="24">
        <v>1.135</v>
      </c>
    </row>
    <row r="135" spans="1:2">
      <c r="A135" s="23">
        <v>1330</v>
      </c>
      <c r="B135" s="24">
        <v>1.33</v>
      </c>
    </row>
    <row r="136" spans="1:2">
      <c r="A136" s="23">
        <v>1474</v>
      </c>
      <c r="B136" s="24">
        <v>1.474</v>
      </c>
    </row>
    <row r="137" spans="1:2">
      <c r="A137" s="23">
        <v>1588</v>
      </c>
      <c r="B137" s="24">
        <v>1.5880000000000001</v>
      </c>
    </row>
    <row r="138" spans="1:2">
      <c r="A138" s="23">
        <v>1588</v>
      </c>
      <c r="B138" s="24">
        <v>1.5880000000000001</v>
      </c>
    </row>
    <row r="139" spans="1:2">
      <c r="A139" s="23">
        <v>1701</v>
      </c>
      <c r="B139" s="24">
        <v>1.7010000000000001</v>
      </c>
    </row>
    <row r="140" spans="1:2">
      <c r="A140" s="23">
        <v>1729</v>
      </c>
      <c r="B140" s="24">
        <v>1.7290000000000001</v>
      </c>
    </row>
    <row r="141" spans="1:2">
      <c r="A141" s="23">
        <v>1790</v>
      </c>
      <c r="B141" s="24">
        <v>1.79</v>
      </c>
    </row>
    <row r="142" spans="1:2">
      <c r="A142" s="23">
        <v>1818</v>
      </c>
      <c r="B142" s="24">
        <v>1.8180000000000001</v>
      </c>
    </row>
    <row r="143" spans="1:2">
      <c r="A143" s="23">
        <v>1885</v>
      </c>
      <c r="B143" s="24">
        <v>1.885</v>
      </c>
    </row>
    <row r="144" spans="1:2">
      <c r="A144" s="23">
        <v>1893</v>
      </c>
      <c r="B144" s="24">
        <v>1.893</v>
      </c>
    </row>
    <row r="145" spans="1:2">
      <c r="A145" s="23">
        <v>1899</v>
      </c>
      <c r="B145" s="24">
        <v>1.899</v>
      </c>
    </row>
    <row r="146" spans="1:2">
      <c r="A146" s="23">
        <v>1928</v>
      </c>
      <c r="B146" s="24">
        <v>1.9279999999999999</v>
      </c>
    </row>
    <row r="147" spans="1:2">
      <c r="A147" s="23">
        <v>1928</v>
      </c>
      <c r="B147" s="24">
        <v>1.9279999999999999</v>
      </c>
    </row>
    <row r="148" spans="1:2">
      <c r="A148" s="23">
        <v>1928</v>
      </c>
      <c r="B148" s="24">
        <v>1.9279999999999999</v>
      </c>
    </row>
    <row r="149" spans="1:2">
      <c r="A149" s="23">
        <v>1936</v>
      </c>
      <c r="B149" s="24">
        <v>1.9359999999999999</v>
      </c>
    </row>
    <row r="150" spans="1:2">
      <c r="A150" s="23">
        <v>1970</v>
      </c>
      <c r="B150" s="24">
        <v>1.97</v>
      </c>
    </row>
    <row r="151" spans="1:2">
      <c r="A151" s="23">
        <v>2055</v>
      </c>
      <c r="B151" s="24">
        <v>2.0550000000000002</v>
      </c>
    </row>
    <row r="152" spans="1:2">
      <c r="A152" s="23">
        <v>2055</v>
      </c>
      <c r="B152" s="24">
        <v>2.0550000000000002</v>
      </c>
    </row>
    <row r="153" spans="1:2">
      <c r="A153" s="23">
        <v>2082</v>
      </c>
      <c r="B153" s="24">
        <v>2.0819999999999999</v>
      </c>
    </row>
    <row r="154" spans="1:2">
      <c r="A154" s="23">
        <v>2084</v>
      </c>
      <c r="B154" s="24">
        <v>2.0840000000000001</v>
      </c>
    </row>
    <row r="155" spans="1:2">
      <c r="A155" s="23">
        <v>2084</v>
      </c>
      <c r="B155" s="24">
        <v>2.0840000000000001</v>
      </c>
    </row>
    <row r="156" spans="1:2">
      <c r="A156" s="23">
        <v>2100</v>
      </c>
      <c r="B156" s="24">
        <v>2.1</v>
      </c>
    </row>
    <row r="157" spans="1:2">
      <c r="A157" s="23">
        <v>2125</v>
      </c>
      <c r="B157" s="24">
        <v>2.125</v>
      </c>
    </row>
    <row r="158" spans="1:2">
      <c r="A158" s="23">
        <v>2126</v>
      </c>
      <c r="B158" s="24">
        <v>2.1259999999999999</v>
      </c>
    </row>
    <row r="159" spans="1:2">
      <c r="A159" s="23">
        <v>2187</v>
      </c>
      <c r="B159" s="24">
        <v>2.1869999999999998</v>
      </c>
    </row>
    <row r="160" spans="1:2">
      <c r="A160" s="23">
        <v>2187</v>
      </c>
      <c r="B160" s="24">
        <v>2.1869999999999998</v>
      </c>
    </row>
    <row r="161" spans="1:2">
      <c r="A161" s="23">
        <v>2211</v>
      </c>
      <c r="B161" s="24">
        <v>2.2109999999999999</v>
      </c>
    </row>
    <row r="162" spans="1:2">
      <c r="A162" s="23">
        <v>2225</v>
      </c>
      <c r="B162" s="24">
        <v>2.2250000000000001</v>
      </c>
    </row>
    <row r="163" spans="1:2">
      <c r="A163" s="23">
        <v>2240</v>
      </c>
      <c r="B163" s="24">
        <v>2.2400000000000002</v>
      </c>
    </row>
    <row r="164" spans="1:2">
      <c r="A164" s="23">
        <v>2240</v>
      </c>
      <c r="B164" s="24">
        <v>2.2400000000000002</v>
      </c>
    </row>
    <row r="165" spans="1:2">
      <c r="A165" s="23">
        <v>2282</v>
      </c>
      <c r="B165" s="24">
        <v>2.282</v>
      </c>
    </row>
    <row r="166" spans="1:2">
      <c r="A166" s="23">
        <v>2296</v>
      </c>
      <c r="B166" s="24">
        <v>2.2959999999999998</v>
      </c>
    </row>
    <row r="167" spans="1:2">
      <c r="A167" s="23">
        <v>2296</v>
      </c>
      <c r="B167" s="24">
        <v>2.2959999999999998</v>
      </c>
    </row>
    <row r="168" spans="1:2">
      <c r="A168" s="23">
        <v>2301</v>
      </c>
      <c r="B168" s="24">
        <v>2.3010000000000002</v>
      </c>
    </row>
    <row r="169" spans="1:2">
      <c r="A169" s="23">
        <v>2325</v>
      </c>
      <c r="B169" s="24">
        <v>2.3250000000000002</v>
      </c>
    </row>
    <row r="170" spans="1:2">
      <c r="A170" s="23">
        <v>2353</v>
      </c>
      <c r="B170" s="24">
        <v>2.3530000000000002</v>
      </c>
    </row>
    <row r="171" spans="1:2">
      <c r="A171" s="23">
        <v>2353</v>
      </c>
      <c r="B171" s="24">
        <v>2.3530000000000002</v>
      </c>
    </row>
    <row r="172" spans="1:2">
      <c r="A172" s="23">
        <v>2367</v>
      </c>
      <c r="B172" s="24">
        <v>2.367</v>
      </c>
    </row>
    <row r="173" spans="1:2">
      <c r="A173" s="23">
        <v>2381</v>
      </c>
      <c r="B173" s="24">
        <v>2.3809999999999998</v>
      </c>
    </row>
    <row r="174" spans="1:2">
      <c r="A174" s="23">
        <v>2381</v>
      </c>
      <c r="B174" s="24">
        <v>2.3809999999999998</v>
      </c>
    </row>
    <row r="175" spans="1:2">
      <c r="A175" s="23">
        <v>2381</v>
      </c>
      <c r="B175" s="24">
        <v>2.3809999999999998</v>
      </c>
    </row>
    <row r="176" spans="1:2">
      <c r="A176" s="23">
        <v>2410</v>
      </c>
      <c r="B176" s="24">
        <v>2.41</v>
      </c>
    </row>
    <row r="177" spans="1:2">
      <c r="A177" s="23">
        <v>2410</v>
      </c>
      <c r="B177" s="24">
        <v>2.41</v>
      </c>
    </row>
    <row r="178" spans="1:2">
      <c r="A178" s="23">
        <v>2410</v>
      </c>
      <c r="B178" s="24">
        <v>2.41</v>
      </c>
    </row>
    <row r="179" spans="1:2">
      <c r="A179" s="23">
        <v>2414</v>
      </c>
      <c r="B179" s="24">
        <v>2.4140000000000001</v>
      </c>
    </row>
    <row r="180" spans="1:2">
      <c r="A180" s="23">
        <v>2424</v>
      </c>
      <c r="B180" s="24">
        <v>2.4239999999999999</v>
      </c>
    </row>
    <row r="181" spans="1:2">
      <c r="A181" s="23">
        <v>2438</v>
      </c>
      <c r="B181" s="24">
        <v>2.4380000000000002</v>
      </c>
    </row>
    <row r="182" spans="1:2">
      <c r="A182" s="23">
        <v>2442</v>
      </c>
      <c r="B182" s="24">
        <v>2.4420000000000002</v>
      </c>
    </row>
    <row r="183" spans="1:2">
      <c r="A183" s="23">
        <v>2450</v>
      </c>
      <c r="B183" s="24">
        <v>2.4500000000000002</v>
      </c>
    </row>
    <row r="184" spans="1:2">
      <c r="A184" s="23">
        <v>2466</v>
      </c>
      <c r="B184" s="24">
        <v>2.4660000000000002</v>
      </c>
    </row>
    <row r="185" spans="1:2">
      <c r="A185" s="23">
        <v>2466</v>
      </c>
      <c r="B185" s="24">
        <v>2.4660000000000002</v>
      </c>
    </row>
    <row r="186" spans="1:2">
      <c r="A186" s="23">
        <v>2466</v>
      </c>
      <c r="B186" s="24">
        <v>2.4660000000000002</v>
      </c>
    </row>
    <row r="187" spans="1:2">
      <c r="A187" s="23">
        <v>2495</v>
      </c>
      <c r="B187" s="24">
        <v>2.4950000000000001</v>
      </c>
    </row>
    <row r="188" spans="1:2">
      <c r="A188" s="23">
        <v>2495</v>
      </c>
      <c r="B188" s="24">
        <v>2.4950000000000001</v>
      </c>
    </row>
    <row r="189" spans="1:2">
      <c r="A189" s="23">
        <v>2495</v>
      </c>
      <c r="B189" s="24">
        <v>2.4950000000000001</v>
      </c>
    </row>
    <row r="190" spans="1:2">
      <c r="A190" s="23">
        <v>2495</v>
      </c>
      <c r="B190" s="24">
        <v>2.4950000000000001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A679-3555-42A5-8916-FDBEF0B45FED}">
  <sheetPr>
    <tabColor theme="8" tint="0.39997558519241921"/>
  </sheetPr>
  <dimension ref="A1:G71"/>
  <sheetViews>
    <sheetView topLeftCell="A31" workbookViewId="0">
      <selection activeCell="E57" sqref="E57"/>
    </sheetView>
  </sheetViews>
  <sheetFormatPr defaultRowHeight="14.4"/>
  <cols>
    <col min="1" max="1" width="20.44140625" customWidth="1"/>
    <col min="2" max="2" width="15.6640625" bestFit="1" customWidth="1"/>
    <col min="4" max="4" width="18" customWidth="1"/>
    <col min="5" max="5" width="14.33203125" customWidth="1"/>
    <col min="7" max="7" width="16.109375" customWidth="1"/>
  </cols>
  <sheetData>
    <row r="1" spans="1:7" ht="17.399999999999999">
      <c r="A1" s="25" t="s">
        <v>62</v>
      </c>
      <c r="B1" s="26"/>
      <c r="C1" s="26"/>
      <c r="D1" s="26"/>
    </row>
    <row r="3" spans="1:7">
      <c r="A3" s="30" t="s">
        <v>63</v>
      </c>
      <c r="B3" s="30" t="s">
        <v>64</v>
      </c>
    </row>
    <row r="4" spans="1:7">
      <c r="A4" s="27" t="s">
        <v>65</v>
      </c>
      <c r="B4" s="28">
        <f>COUNT('Raw Data'!A2:A190)</f>
        <v>189</v>
      </c>
      <c r="D4" s="31" t="s">
        <v>71</v>
      </c>
    </row>
    <row r="5" spans="1:7" ht="14.4" customHeight="1">
      <c r="A5" s="27" t="s">
        <v>66</v>
      </c>
      <c r="B5" s="29">
        <f>AVERAGE('Raw Data'!B2:B190)</f>
        <v>2.9445873015873008</v>
      </c>
      <c r="D5" s="35" t="s">
        <v>72</v>
      </c>
      <c r="E5" s="36"/>
      <c r="F5" s="36"/>
      <c r="G5" s="37"/>
    </row>
    <row r="6" spans="1:7">
      <c r="A6" s="27" t="s">
        <v>67</v>
      </c>
      <c r="B6" s="29">
        <f>MEDIAN('Raw Data'!B2:B190)</f>
        <v>2.9769999999999999</v>
      </c>
      <c r="D6" s="38"/>
      <c r="E6" s="39"/>
      <c r="F6" s="39"/>
      <c r="G6" s="40"/>
    </row>
    <row r="7" spans="1:7">
      <c r="A7" s="27" t="s">
        <v>68</v>
      </c>
      <c r="B7" s="29">
        <f>_xlfn.STDEV.S('Raw Data'!B2:B190)</f>
        <v>0.72921429521680026</v>
      </c>
      <c r="D7" s="38"/>
      <c r="E7" s="39"/>
      <c r="F7" s="39"/>
      <c r="G7" s="40"/>
    </row>
    <row r="8" spans="1:7">
      <c r="A8" s="27" t="s">
        <v>69</v>
      </c>
      <c r="B8" s="29">
        <f>MIN('Raw Data'!B2:B190)</f>
        <v>0.70899999999999996</v>
      </c>
      <c r="D8" s="41"/>
      <c r="E8" s="42"/>
      <c r="F8" s="42"/>
      <c r="G8" s="43"/>
    </row>
    <row r="9" spans="1:7">
      <c r="A9" s="27" t="s">
        <v>70</v>
      </c>
      <c r="B9" s="29">
        <f>MAX('Raw Data'!B2:B190)</f>
        <v>4.99</v>
      </c>
    </row>
    <row r="10" spans="1:7">
      <c r="A10" s="27" t="s">
        <v>60</v>
      </c>
      <c r="B10" s="29">
        <f>SKEW('Raw Data'!B2:B190)</f>
        <v>-0.20863702335894166</v>
      </c>
    </row>
    <row r="13" spans="1:7" ht="17.399999999999999">
      <c r="A13" s="25" t="s">
        <v>73</v>
      </c>
      <c r="B13" s="26"/>
      <c r="C13" s="26"/>
      <c r="D13" s="26"/>
    </row>
    <row r="15" spans="1:7">
      <c r="A15" s="69" t="s">
        <v>74</v>
      </c>
      <c r="B15" s="69" t="s">
        <v>75</v>
      </c>
    </row>
    <row r="16" spans="1:7">
      <c r="A16" s="33" t="s">
        <v>2</v>
      </c>
      <c r="B16" s="32">
        <v>3</v>
      </c>
    </row>
    <row r="17" spans="1:4">
      <c r="A17" s="33" t="s">
        <v>3</v>
      </c>
      <c r="B17" s="32">
        <v>5</v>
      </c>
    </row>
    <row r="18" spans="1:4">
      <c r="A18" s="33" t="s">
        <v>4</v>
      </c>
      <c r="B18" s="32">
        <v>21</v>
      </c>
    </row>
    <row r="19" spans="1:4">
      <c r="A19" s="33" t="s">
        <v>5</v>
      </c>
      <c r="B19" s="32">
        <v>40</v>
      </c>
    </row>
    <row r="20" spans="1:4">
      <c r="A20" s="33" t="s">
        <v>6</v>
      </c>
      <c r="B20" s="32">
        <v>49</v>
      </c>
    </row>
    <row r="21" spans="1:4">
      <c r="A21" s="33" t="s">
        <v>7</v>
      </c>
      <c r="B21" s="32">
        <v>41</v>
      </c>
    </row>
    <row r="22" spans="1:4">
      <c r="A22" s="33" t="s">
        <v>8</v>
      </c>
      <c r="B22" s="32">
        <v>27</v>
      </c>
    </row>
    <row r="23" spans="1:4">
      <c r="A23" s="33" t="s">
        <v>9</v>
      </c>
      <c r="B23" s="32">
        <v>2</v>
      </c>
    </row>
    <row r="24" spans="1:4">
      <c r="A24" s="33" t="s">
        <v>10</v>
      </c>
      <c r="B24" s="32">
        <v>1</v>
      </c>
    </row>
    <row r="29" spans="1:4">
      <c r="A29" s="34" t="s">
        <v>71</v>
      </c>
    </row>
    <row r="30" spans="1:4">
      <c r="A30" s="44" t="s">
        <v>76</v>
      </c>
      <c r="B30" s="45"/>
      <c r="C30" s="45"/>
      <c r="D30" s="46"/>
    </row>
    <row r="31" spans="1:4">
      <c r="A31" s="47"/>
      <c r="B31" s="48"/>
      <c r="C31" s="48"/>
      <c r="D31" s="49"/>
    </row>
    <row r="32" spans="1:4">
      <c r="A32" s="50"/>
      <c r="B32" s="51"/>
      <c r="C32" s="51"/>
      <c r="D32" s="52"/>
    </row>
    <row r="35" spans="1:5" ht="17.399999999999999">
      <c r="A35" s="25" t="s">
        <v>77</v>
      </c>
      <c r="B35" s="26"/>
      <c r="C35" s="26"/>
      <c r="D35" s="26"/>
    </row>
    <row r="38" spans="1:5">
      <c r="A38" s="76" t="s">
        <v>23</v>
      </c>
      <c r="B38" s="76"/>
      <c r="C38" s="77" t="s">
        <v>78</v>
      </c>
      <c r="D38" s="77"/>
      <c r="E38" s="77"/>
    </row>
    <row r="39" spans="1:5">
      <c r="A39" s="12">
        <f>_xlfn.NORM.DIST(2.5,B5,B7,TRUE)</f>
        <v>0.27103693458863987</v>
      </c>
      <c r="B39" s="12"/>
      <c r="C39" s="54" t="s">
        <v>79</v>
      </c>
      <c r="D39" s="54"/>
      <c r="E39" s="54"/>
    </row>
    <row r="40" spans="1:5">
      <c r="C40" s="55"/>
      <c r="D40" s="55"/>
      <c r="E40" s="55"/>
    </row>
    <row r="41" spans="1:5">
      <c r="A41" s="53" t="s">
        <v>17</v>
      </c>
      <c r="B41" s="53"/>
      <c r="C41" s="78" t="s">
        <v>78</v>
      </c>
      <c r="D41" s="78"/>
      <c r="E41" s="78"/>
    </row>
    <row r="42" spans="1:5">
      <c r="A42" s="7" t="s">
        <v>19</v>
      </c>
      <c r="B42" s="6">
        <f>_xlfn.NORM.INV(1-1%,B5,B7)</f>
        <v>4.6409934269850943</v>
      </c>
      <c r="C42" s="57" t="s">
        <v>80</v>
      </c>
      <c r="D42" s="57"/>
      <c r="E42" s="57"/>
    </row>
    <row r="43" spans="1:5">
      <c r="A43" s="8" t="s">
        <v>20</v>
      </c>
      <c r="B43" s="9" cm="1">
        <f t="array" ref="B43">COUNT(_xlfn._xlws.FILTER('Raw Data'!B2:B190,'Raw Data'!B2:B190&gt;=Analysis!B42))</f>
        <v>1</v>
      </c>
      <c r="C43" s="57" t="s">
        <v>81</v>
      </c>
      <c r="D43" s="57"/>
      <c r="E43" s="57"/>
    </row>
    <row r="44" spans="1:5">
      <c r="C44" s="55"/>
      <c r="D44" s="55"/>
      <c r="E44" s="55"/>
    </row>
    <row r="45" spans="1:5">
      <c r="A45" s="53" t="s">
        <v>18</v>
      </c>
      <c r="B45" s="53"/>
      <c r="C45" s="56" t="s">
        <v>78</v>
      </c>
      <c r="D45" s="56"/>
      <c r="E45" s="56"/>
    </row>
    <row r="46" spans="1:5">
      <c r="A46" s="7" t="s">
        <v>21</v>
      </c>
      <c r="B46" s="10">
        <f>_xlfn.NORM.INV(1%,B5,B7)</f>
        <v>1.2481811761895074</v>
      </c>
      <c r="C46" s="57" t="s">
        <v>82</v>
      </c>
      <c r="D46" s="57"/>
      <c r="E46" s="57"/>
    </row>
    <row r="47" spans="1:5">
      <c r="A47" s="8" t="s">
        <v>22</v>
      </c>
      <c r="B47" s="8" cm="1">
        <f t="array" ref="B47">COUNT(_xlfn._xlws.FILTER('Raw Data'!B2:B190,'Raw Data'!B2:B190&lt;=Analysis!B46))</f>
        <v>3</v>
      </c>
      <c r="C47" s="57" t="s">
        <v>81</v>
      </c>
      <c r="D47" s="57"/>
      <c r="E47" s="57"/>
    </row>
    <row r="48" spans="1:5">
      <c r="A48" s="67"/>
      <c r="B48" s="67"/>
      <c r="C48" s="68"/>
      <c r="D48" s="68"/>
      <c r="E48" s="68"/>
    </row>
    <row r="50" spans="1:5">
      <c r="A50" s="31" t="s">
        <v>71</v>
      </c>
    </row>
    <row r="51" spans="1:5">
      <c r="A51" s="58" t="s">
        <v>83</v>
      </c>
      <c r="B51" s="59"/>
      <c r="C51" s="59"/>
      <c r="D51" s="59"/>
      <c r="E51" s="60"/>
    </row>
    <row r="52" spans="1:5">
      <c r="A52" s="61"/>
      <c r="B52" s="62"/>
      <c r="C52" s="62"/>
      <c r="D52" s="62"/>
      <c r="E52" s="63"/>
    </row>
    <row r="53" spans="1:5">
      <c r="A53" s="61"/>
      <c r="B53" s="62"/>
      <c r="C53" s="62"/>
      <c r="D53" s="62"/>
      <c r="E53" s="63"/>
    </row>
    <row r="54" spans="1:5">
      <c r="A54" s="61"/>
      <c r="B54" s="62"/>
      <c r="C54" s="62"/>
      <c r="D54" s="62"/>
      <c r="E54" s="63"/>
    </row>
    <row r="55" spans="1:5">
      <c r="A55" s="64"/>
      <c r="B55" s="65"/>
      <c r="C55" s="65"/>
      <c r="D55" s="65"/>
      <c r="E55" s="66"/>
    </row>
    <row r="58" spans="1:5" ht="17.399999999999999">
      <c r="A58" s="25" t="s">
        <v>84</v>
      </c>
      <c r="B58" s="26"/>
      <c r="C58" s="26"/>
      <c r="D58" s="26"/>
    </row>
    <row r="61" spans="1:5">
      <c r="A61" s="53" t="s">
        <v>11</v>
      </c>
      <c r="B61" s="53"/>
      <c r="C61" s="53"/>
      <c r="D61" s="53"/>
    </row>
    <row r="62" spans="1:5" ht="17.399999999999999" customHeight="1">
      <c r="A62" s="1" t="s">
        <v>12</v>
      </c>
      <c r="B62" s="2">
        <v>1</v>
      </c>
      <c r="C62" s="2">
        <v>2</v>
      </c>
      <c r="D62" s="2">
        <v>3</v>
      </c>
    </row>
    <row r="63" spans="1:5">
      <c r="A63" s="1" t="s">
        <v>13</v>
      </c>
      <c r="B63" s="3">
        <f>$B$5-B62*$B$7</f>
        <v>2.2153730063705006</v>
      </c>
      <c r="C63" s="3">
        <f t="shared" ref="C63:D63" si="0">$B$5-C62*$B$7</f>
        <v>1.4861587111537002</v>
      </c>
      <c r="D63" s="3">
        <f t="shared" si="0"/>
        <v>0.75694441593689987</v>
      </c>
    </row>
    <row r="64" spans="1:5">
      <c r="A64" s="1" t="s">
        <v>14</v>
      </c>
      <c r="B64" s="3">
        <f>$B$5+B62*$B$7</f>
        <v>3.6738015968041009</v>
      </c>
      <c r="C64" s="3">
        <f t="shared" ref="C64:D64" si="1">$B$5+C62*$B$7</f>
        <v>4.4030158920209015</v>
      </c>
      <c r="D64" s="3">
        <f t="shared" si="1"/>
        <v>5.1322301872377016</v>
      </c>
    </row>
    <row r="65" spans="1:4">
      <c r="A65" s="1" t="s">
        <v>15</v>
      </c>
      <c r="B65" s="4">
        <v>0.68</v>
      </c>
      <c r="C65" s="4">
        <v>0.95</v>
      </c>
      <c r="D65" s="5">
        <v>0.997</v>
      </c>
    </row>
    <row r="66" spans="1:4">
      <c r="A66" s="1" t="s">
        <v>16</v>
      </c>
      <c r="B66" s="11">
        <f>COUNTIFS('Raw Data'!$B$2:$B$190, "&gt;="&amp;Analysis!B63,'Raw Data'!$B$2:$B$190, "&lt;="&amp;Analysis!B64)/COUNT('Raw Data'!$B$2:$B$190)</f>
        <v>0.67724867724867721</v>
      </c>
      <c r="C66" s="11">
        <f>COUNTIFS('Raw Data'!$B$2:$B$190, "&gt;="&amp;Analysis!C63,'Raw Data'!$B$2:$B$190, "&lt;="&amp;Analysis!C64)/COUNT('Raw Data'!$B$2:$B$190)</f>
        <v>0.96296296296296291</v>
      </c>
      <c r="D66" s="11">
        <f>COUNTIFS('Raw Data'!$B$2:$B$190, "&gt;="&amp;Analysis!D63,'Raw Data'!$B$2:$B$190, "&lt;="&amp;Analysis!D64)/COUNT('Raw Data'!$B$2:$B$190)</f>
        <v>0.99470899470899465</v>
      </c>
    </row>
    <row r="69" spans="1:4">
      <c r="A69" s="31" t="s">
        <v>71</v>
      </c>
    </row>
    <row r="70" spans="1:4">
      <c r="A70" s="70" t="s">
        <v>85</v>
      </c>
      <c r="B70" s="71"/>
      <c r="C70" s="71"/>
      <c r="D70" s="72"/>
    </row>
    <row r="71" spans="1:4">
      <c r="A71" s="73"/>
      <c r="B71" s="74"/>
      <c r="C71" s="74"/>
      <c r="D71" s="75"/>
    </row>
  </sheetData>
  <mergeCells count="21">
    <mergeCell ref="C46:E46"/>
    <mergeCell ref="C47:E47"/>
    <mergeCell ref="A51:E55"/>
    <mergeCell ref="A58:D58"/>
    <mergeCell ref="A61:D61"/>
    <mergeCell ref="A70:D71"/>
    <mergeCell ref="A39:B39"/>
    <mergeCell ref="A41:B41"/>
    <mergeCell ref="A45:B45"/>
    <mergeCell ref="A35:D35"/>
    <mergeCell ref="C38:E38"/>
    <mergeCell ref="C39:E39"/>
    <mergeCell ref="C41:E41"/>
    <mergeCell ref="C42:E42"/>
    <mergeCell ref="C43:E43"/>
    <mergeCell ref="C45:E45"/>
    <mergeCell ref="A1:D1"/>
    <mergeCell ref="D5:G8"/>
    <mergeCell ref="A13:D13"/>
    <mergeCell ref="A30:D32"/>
    <mergeCell ref="A38:B38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123E-FDFE-4D32-BF88-C89A33AAE642}">
  <sheetPr>
    <tabColor theme="9" tint="0.39997558519241921"/>
  </sheetPr>
  <dimension ref="A2:E27"/>
  <sheetViews>
    <sheetView topLeftCell="A10" workbookViewId="0">
      <selection activeCell="B11" sqref="B11:C12"/>
    </sheetView>
  </sheetViews>
  <sheetFormatPr defaultRowHeight="14.4"/>
  <cols>
    <col min="1" max="1" width="3" customWidth="1"/>
    <col min="2" max="2" width="31.88671875" customWidth="1"/>
    <col min="3" max="3" width="59" customWidth="1"/>
    <col min="5" max="5" width="9.88671875" customWidth="1"/>
    <col min="6" max="6" width="10.88671875" customWidth="1"/>
  </cols>
  <sheetData>
    <row r="2" spans="1:5" ht="21">
      <c r="B2" s="79" t="s">
        <v>86</v>
      </c>
      <c r="C2" s="26"/>
    </row>
    <row r="4" spans="1:5" s="80" customFormat="1" ht="21">
      <c r="B4" s="16" t="s">
        <v>87</v>
      </c>
      <c r="C4" s="17"/>
      <c r="E4" s="81"/>
    </row>
    <row r="5" spans="1:5" s="80" customFormat="1" ht="21">
      <c r="B5" s="81"/>
      <c r="E5" s="81"/>
    </row>
    <row r="6" spans="1:5" ht="15.6">
      <c r="A6" s="82"/>
      <c r="B6" s="18" t="s">
        <v>88</v>
      </c>
      <c r="C6" s="82"/>
      <c r="E6" s="83"/>
    </row>
    <row r="7" spans="1:5" ht="15.6">
      <c r="A7" s="82"/>
      <c r="B7" s="84" t="s">
        <v>89</v>
      </c>
      <c r="C7" s="84"/>
      <c r="E7" s="83"/>
    </row>
    <row r="8" spans="1:5" ht="15.6">
      <c r="A8" s="82"/>
      <c r="B8" s="84"/>
      <c r="C8" s="84"/>
      <c r="E8" s="83"/>
    </row>
    <row r="9" spans="1:5" ht="15.6">
      <c r="A9" s="82"/>
      <c r="B9" s="82"/>
      <c r="C9" s="82"/>
      <c r="E9" s="83"/>
    </row>
    <row r="10" spans="1:5" ht="15.6">
      <c r="A10" s="82"/>
      <c r="B10" s="18" t="s">
        <v>90</v>
      </c>
      <c r="C10" s="82"/>
      <c r="E10" s="83"/>
    </row>
    <row r="11" spans="1:5" ht="15.6">
      <c r="A11" s="82"/>
      <c r="B11" s="84" t="s">
        <v>91</v>
      </c>
      <c r="C11" s="84"/>
    </row>
    <row r="12" spans="1:5" ht="15.6">
      <c r="A12" s="82"/>
      <c r="B12" s="84"/>
      <c r="C12" s="84"/>
    </row>
    <row r="13" spans="1:5" ht="15.6">
      <c r="A13" s="82"/>
      <c r="B13" s="82"/>
      <c r="C13" s="82"/>
    </row>
    <row r="14" spans="1:5" ht="15.6">
      <c r="A14" s="82"/>
      <c r="B14" s="18" t="s">
        <v>92</v>
      </c>
      <c r="C14" s="82"/>
    </row>
    <row r="15" spans="1:5" s="19" customFormat="1" ht="15.6">
      <c r="B15" s="84" t="s">
        <v>93</v>
      </c>
      <c r="C15" s="84"/>
    </row>
    <row r="16" spans="1:5" s="19" customFormat="1" ht="15.6">
      <c r="B16" s="84"/>
      <c r="C16" s="84"/>
    </row>
    <row r="17" spans="1:3" s="19" customFormat="1" ht="15.6">
      <c r="B17" s="85"/>
      <c r="C17" s="85"/>
    </row>
    <row r="18" spans="1:3" ht="15.6">
      <c r="A18" s="82"/>
      <c r="B18" s="18" t="s">
        <v>94</v>
      </c>
      <c r="C18" s="82"/>
    </row>
    <row r="19" spans="1:3" ht="15.6">
      <c r="A19" s="82"/>
      <c r="B19" s="84" t="s">
        <v>95</v>
      </c>
      <c r="C19" s="84"/>
    </row>
    <row r="20" spans="1:3" ht="69.599999999999994" customHeight="1">
      <c r="B20" s="84"/>
      <c r="C20" s="84"/>
    </row>
    <row r="23" spans="1:3" s="80" customFormat="1" ht="21">
      <c r="B23" s="16" t="s">
        <v>96</v>
      </c>
      <c r="C23" s="17"/>
    </row>
    <row r="24" spans="1:3" ht="15.6">
      <c r="B24" s="86" t="s">
        <v>97</v>
      </c>
      <c r="C24" s="21"/>
    </row>
    <row r="25" spans="1:3" ht="15.6">
      <c r="B25" s="86" t="s">
        <v>98</v>
      </c>
      <c r="C25" s="21"/>
    </row>
    <row r="26" spans="1:3" ht="15.6">
      <c r="B26" s="86" t="s">
        <v>99</v>
      </c>
      <c r="C26" s="21"/>
    </row>
    <row r="27" spans="1:3" ht="15.6">
      <c r="B27" s="86" t="s">
        <v>100</v>
      </c>
      <c r="C27" s="21"/>
    </row>
  </sheetData>
  <mergeCells count="11">
    <mergeCell ref="B23:C23"/>
    <mergeCell ref="B24:C24"/>
    <mergeCell ref="B25:C25"/>
    <mergeCell ref="B26:C26"/>
    <mergeCell ref="B27:C27"/>
    <mergeCell ref="B2:C2"/>
    <mergeCell ref="B4:C4"/>
    <mergeCell ref="B7:C8"/>
    <mergeCell ref="B11:C12"/>
    <mergeCell ref="B15:C16"/>
    <mergeCell ref="B19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 Data</vt:lpstr>
      <vt:lpstr>Analysis</vt:lpstr>
      <vt:lpstr>Sumarry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Admin</cp:lastModifiedBy>
  <dcterms:created xsi:type="dcterms:W3CDTF">2022-11-12T01:05:37Z</dcterms:created>
  <dcterms:modified xsi:type="dcterms:W3CDTF">2026-04-09T04:28:32Z</dcterms:modified>
</cp:coreProperties>
</file>