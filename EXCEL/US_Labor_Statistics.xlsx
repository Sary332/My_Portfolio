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publishItems="1"/>
  <mc:AlternateContent xmlns:mc="http://schemas.openxmlformats.org/markup-compatibility/2006">
    <mc:Choice Requires="x15">
      <x15ac:absPath xmlns:x15ac="http://schemas.microsoft.com/office/spreadsheetml/2010/11/ac" url="D:\Maven Analytics\EXCEL\"/>
    </mc:Choice>
  </mc:AlternateContent>
  <xr:revisionPtr revIDLastSave="0" documentId="13_ncr:1_{47FAD05E-8B1F-4F47-A4AC-2660148194FB}" xr6:coauthVersionLast="47" xr6:coauthVersionMax="47" xr10:uidLastSave="{00000000-0000-0000-0000-000000000000}"/>
  <bookViews>
    <workbookView xWindow="-108" yWindow="-108" windowWidth="23256" windowHeight="12456" xr2:uid="{DB438AB8-0F60-4224-9C67-97043B861F24}"/>
  </bookViews>
  <sheets>
    <sheet name="README" sheetId="5" r:id="rId1"/>
    <sheet name="Data" sheetId="1" r:id="rId2"/>
    <sheet name="Populations" sheetId="3" r:id="rId3"/>
    <sheet name="Data Prep" sheetId="2" r:id="rId4"/>
    <sheet name="Dashboard" sheetId="4" r:id="rId5"/>
  </sheets>
  <definedNames>
    <definedName name="_xlnm._FilterDatabase" localSheetId="1" hidden="1">Data!$A$1:$F$1919</definedName>
    <definedName name="_xlchart.v5.0" hidden="1">'Data Prep'!$S$2</definedName>
    <definedName name="_xlchart.v5.1" hidden="1">'Data Prep'!$S$3:$S$50</definedName>
    <definedName name="_xlchart.v5.2" hidden="1">'Data Prep'!$W$2</definedName>
    <definedName name="_xlchart.v5.3" hidden="1">'Data Prep'!$W$3:$W$50</definedName>
    <definedName name="_xlchart.v5.4" hidden="1">'Data Prep'!$S$2</definedName>
    <definedName name="_xlchart.v5.5" hidden="1">'Data Prep'!$S$3:$S$50</definedName>
    <definedName name="_xlchart.v5.6" hidden="1">'Data Prep'!$W$2</definedName>
    <definedName name="_xlchart.v5.7" hidden="1">'Data Prep'!$W$3:$W$50</definedName>
    <definedName name="Z_948164EF_B902_4A6C_8E3C_A935061C5153_.wvu.FilterData" localSheetId="1" hidden="1">Data!$A$1:$F$1919</definedName>
    <definedName name="Z_A1F01C08_243B_48FC_94A8_F102AEB1706D_.wvu.FilterData" localSheetId="1" hidden="1">Data!$A$1:$F$1919</definedName>
  </definedNames>
  <calcPr calcId="191029"/>
  <customWorkbookViews>
    <customWorkbookView name="Dashboard" guid="{948164EF-B902-4A6C-8E3C-A935061C5153}" maximized="1" xWindow="-8" yWindow="-8" windowWidth="1936" windowHeight="1056" activeSheetId="8" showFormulaBar="0"/>
    <customWorkbookView name="ShowAllWorksheets" guid="{A1F01C08-243B-48FC-94A8-F102AEB1706D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2" l="1"/>
  <c r="W2" i="2" s="1"/>
  <c r="B5" i="4" a="1"/>
  <c r="B5" i="4" s="1"/>
  <c r="B3" i="2" s="1"/>
  <c r="V7" i="2" s="1"/>
  <c r="I8" i="2"/>
  <c r="I5" i="2"/>
  <c r="I7" i="2"/>
  <c r="I9" i="2"/>
  <c r="I12" i="2"/>
  <c r="I4" i="2"/>
  <c r="I3" i="2"/>
  <c r="I10" i="2"/>
  <c r="I6" i="2"/>
  <c r="I11" i="2"/>
  <c r="E7" i="2"/>
  <c r="E9" i="2"/>
  <c r="E4" i="2"/>
  <c r="E3" i="2"/>
  <c r="E12" i="2"/>
  <c r="E6" i="2"/>
  <c r="E8" i="2"/>
  <c r="E11" i="2"/>
  <c r="E10" i="2"/>
  <c r="E5" i="2"/>
  <c r="F11" i="2" l="1"/>
  <c r="F7" i="2"/>
  <c r="F6" i="2"/>
  <c r="F9" i="2"/>
  <c r="F5" i="2"/>
  <c r="F10" i="2"/>
  <c r="F3" i="2"/>
  <c r="F12" i="2"/>
  <c r="F8" i="2"/>
  <c r="F4" i="2"/>
  <c r="V10" i="2"/>
  <c r="H17" i="2"/>
  <c r="N4" i="2"/>
  <c r="T44" i="2"/>
  <c r="U44" i="2" s="1"/>
  <c r="I17" i="2"/>
  <c r="M3" i="2"/>
  <c r="N3" i="2"/>
  <c r="T3" i="2"/>
  <c r="U3" i="2" s="1"/>
  <c r="T47" i="2"/>
  <c r="U47" i="2" s="1"/>
  <c r="T43" i="2"/>
  <c r="U43" i="2" s="1"/>
  <c r="T39" i="2"/>
  <c r="U39" i="2" s="1"/>
  <c r="T35" i="2"/>
  <c r="U35" i="2" s="1"/>
  <c r="T31" i="2"/>
  <c r="U31" i="2" s="1"/>
  <c r="T27" i="2"/>
  <c r="U27" i="2" s="1"/>
  <c r="T23" i="2"/>
  <c r="U23" i="2" s="1"/>
  <c r="T19" i="2"/>
  <c r="U19" i="2" s="1"/>
  <c r="T15" i="2"/>
  <c r="U15" i="2" s="1"/>
  <c r="T11" i="2"/>
  <c r="U11" i="2" s="1"/>
  <c r="T6" i="2"/>
  <c r="U6" i="2" s="1"/>
  <c r="V46" i="2"/>
  <c r="V30" i="2"/>
  <c r="V14" i="2"/>
  <c r="M6" i="2"/>
  <c r="N6" i="2"/>
  <c r="T50" i="2"/>
  <c r="U50" i="2" s="1"/>
  <c r="T46" i="2"/>
  <c r="U46" i="2" s="1"/>
  <c r="T42" i="2"/>
  <c r="U42" i="2" s="1"/>
  <c r="T38" i="2"/>
  <c r="U38" i="2" s="1"/>
  <c r="T34" i="2"/>
  <c r="U34" i="2" s="1"/>
  <c r="T30" i="2"/>
  <c r="U30" i="2" s="1"/>
  <c r="T26" i="2"/>
  <c r="U26" i="2" s="1"/>
  <c r="T22" i="2"/>
  <c r="U22" i="2" s="1"/>
  <c r="T18" i="2"/>
  <c r="U18" i="2" s="1"/>
  <c r="T14" i="2"/>
  <c r="U14" i="2" s="1"/>
  <c r="T10" i="2"/>
  <c r="U10" i="2" s="1"/>
  <c r="T5" i="2"/>
  <c r="U5" i="2" s="1"/>
  <c r="V42" i="2"/>
  <c r="V26" i="2"/>
  <c r="M5" i="2"/>
  <c r="N5" i="2"/>
  <c r="T49" i="2"/>
  <c r="U49" i="2" s="1"/>
  <c r="T45" i="2"/>
  <c r="U45" i="2" s="1"/>
  <c r="T41" i="2"/>
  <c r="U41" i="2" s="1"/>
  <c r="T37" i="2"/>
  <c r="U37" i="2" s="1"/>
  <c r="T33" i="2"/>
  <c r="U33" i="2" s="1"/>
  <c r="T29" i="2"/>
  <c r="U29" i="2" s="1"/>
  <c r="T25" i="2"/>
  <c r="U25" i="2" s="1"/>
  <c r="T21" i="2"/>
  <c r="U21" i="2" s="1"/>
  <c r="T17" i="2"/>
  <c r="U17" i="2" s="1"/>
  <c r="T13" i="2"/>
  <c r="U13" i="2" s="1"/>
  <c r="T9" i="2"/>
  <c r="U9" i="2" s="1"/>
  <c r="T4" i="2"/>
  <c r="U4" i="2" s="1"/>
  <c r="V38" i="2"/>
  <c r="V22" i="2"/>
  <c r="V6" i="2"/>
  <c r="M4" i="2"/>
  <c r="T48" i="2"/>
  <c r="U48" i="2" s="1"/>
  <c r="T40" i="2"/>
  <c r="U40" i="2" s="1"/>
  <c r="T36" i="2"/>
  <c r="U36" i="2" s="1"/>
  <c r="T32" i="2"/>
  <c r="U32" i="2" s="1"/>
  <c r="T28" i="2"/>
  <c r="U28" i="2" s="1"/>
  <c r="T24" i="2"/>
  <c r="U24" i="2" s="1"/>
  <c r="T20" i="2"/>
  <c r="U20" i="2" s="1"/>
  <c r="T16" i="2"/>
  <c r="U16" i="2" s="1"/>
  <c r="T12" i="2"/>
  <c r="U12" i="2" s="1"/>
  <c r="T8" i="2"/>
  <c r="U8" i="2" s="1"/>
  <c r="V50" i="2"/>
  <c r="V34" i="2"/>
  <c r="V18" i="2"/>
  <c r="V49" i="2"/>
  <c r="V45" i="2"/>
  <c r="V41" i="2"/>
  <c r="V37" i="2"/>
  <c r="V33" i="2"/>
  <c r="V29" i="2"/>
  <c r="V25" i="2"/>
  <c r="V21" i="2"/>
  <c r="V17" i="2"/>
  <c r="V13" i="2"/>
  <c r="V9" i="2"/>
  <c r="V5" i="2"/>
  <c r="V48" i="2"/>
  <c r="V44" i="2"/>
  <c r="V40" i="2"/>
  <c r="V36" i="2"/>
  <c r="V32" i="2"/>
  <c r="V28" i="2"/>
  <c r="V24" i="2"/>
  <c r="V20" i="2"/>
  <c r="V16" i="2"/>
  <c r="V12" i="2"/>
  <c r="V8" i="2"/>
  <c r="V4" i="2"/>
  <c r="T7" i="2"/>
  <c r="U7" i="2" s="1"/>
  <c r="W7" i="2" s="1"/>
  <c r="V3" i="2"/>
  <c r="V47" i="2"/>
  <c r="V43" i="2"/>
  <c r="V39" i="2"/>
  <c r="V35" i="2"/>
  <c r="V31" i="2"/>
  <c r="V27" i="2"/>
  <c r="V23" i="2"/>
  <c r="V19" i="2"/>
  <c r="V15" i="2"/>
  <c r="V11" i="2"/>
  <c r="W10" i="2" l="1"/>
  <c r="I18" i="2"/>
  <c r="I20" i="2" s="1"/>
  <c r="W4" i="2"/>
  <c r="W36" i="2"/>
  <c r="W48" i="2"/>
  <c r="W8" i="2"/>
  <c r="W24" i="2"/>
  <c r="W40" i="2"/>
  <c r="W12" i="2"/>
  <c r="W44" i="2"/>
  <c r="W28" i="2"/>
  <c r="W16" i="2"/>
  <c r="W20" i="2"/>
  <c r="W32" i="2"/>
  <c r="W5" i="2"/>
  <c r="W26" i="2"/>
  <c r="W14" i="2"/>
  <c r="W6" i="2"/>
  <c r="W21" i="2"/>
  <c r="W37" i="2"/>
  <c r="W22" i="2"/>
  <c r="W38" i="2"/>
  <c r="W42" i="2"/>
  <c r="W19" i="2"/>
  <c r="W35" i="2"/>
  <c r="W3" i="2"/>
  <c r="W23" i="2"/>
  <c r="W39" i="2"/>
  <c r="W9" i="2"/>
  <c r="W25" i="2"/>
  <c r="W41" i="2"/>
  <c r="W13" i="2"/>
  <c r="W29" i="2"/>
  <c r="W45" i="2"/>
  <c r="W30" i="2"/>
  <c r="W46" i="2"/>
  <c r="W11" i="2"/>
  <c r="W27" i="2"/>
  <c r="W43" i="2"/>
  <c r="W17" i="2"/>
  <c r="W33" i="2"/>
  <c r="W49" i="2"/>
  <c r="W18" i="2"/>
  <c r="W34" i="2"/>
  <c r="W50" i="2"/>
  <c r="W15" i="2"/>
  <c r="W31" i="2"/>
  <c r="W4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<sst xmlns="http://schemas.openxmlformats.org/spreadsheetml/2006/main" count="4056" uniqueCount="140">
  <si>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</si>
  <si>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</si>
  <si>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</si>
  <si>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</si>
  <si>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</si>
  <si>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</si>
  <si>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</si>
  <si>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</si>
  <si>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</si>
  <si>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</si>
  <si>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</si>
  <si>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</si>
  <si>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</si>
  <si>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</si>
  <si>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</si>
  <si>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</si>
  <si>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</si>
  <si>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</si>
  <si>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</si>
  <si>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</si>
  <si>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</si>
  <si>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</si>
  <si>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</si>
  <si>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</si>
  <si>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</si>
  <si>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</si>
  <si>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</si>
  <si>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</si>
  <si>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</si>
  <si>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</si>
  <si>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</si>
  <si>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</si>
  <si>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</si>
  <si>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</si>
  <si>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</si>
  <si>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</si>
  <si>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</si>
  <si>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</si>
  <si>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</si>
  <si>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</si>
  <si>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</si>
  <si>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</si>
  <si>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</si>
  <si>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</si>
  <si>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</si>
  <si>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</si>
  <si>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</si>
  <si>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</si>
  <si>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</si>
  <si>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</si>
  <si>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</si>
  <si>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</si>
  <si>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</si>
  <si>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</si>
  <si>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</si>
  <si>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</si>
  <si>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</si>
  <si>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</si>
  <si>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</si>
  <si>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</si>
  <si>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</si>
  <si>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</si>
  <si>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</si>
  <si>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</si>
  <si>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FILTER</t>
  </si>
  <si>
    <t>Selection</t>
  </si>
  <si>
    <t>DATE FILTER</t>
  </si>
  <si>
    <t>AVG WAGE BY INDUSTRY</t>
  </si>
  <si>
    <t xml:space="preserve">Avg Annual Wage </t>
  </si>
  <si>
    <t>EMPLOYEES BY INDUSTRY (CLEAN)</t>
  </si>
  <si>
    <t>Others</t>
  </si>
  <si>
    <t xml:space="preserve">Avg Wage </t>
  </si>
  <si>
    <t>Employee</t>
  </si>
  <si>
    <t>WAGE &amp; EMPLOYEE TRENDS</t>
  </si>
  <si>
    <t>Comparison By State</t>
  </si>
  <si>
    <t>Population</t>
  </si>
  <si>
    <t>Employees Per 1000 Capita</t>
  </si>
  <si>
    <t>Avg. Wages</t>
  </si>
  <si>
    <t>Current Year :</t>
  </si>
  <si>
    <t>MAP FILTER</t>
  </si>
  <si>
    <t>Metrics :</t>
  </si>
  <si>
    <t>Percentage :</t>
  </si>
  <si>
    <t xml:space="preserve"> </t>
  </si>
  <si>
    <t>Data</t>
  </si>
  <si>
    <t>Populations</t>
  </si>
  <si>
    <t>Data Prep</t>
  </si>
  <si>
    <t>Dashboard</t>
  </si>
  <si>
    <t>US LABOR STATISTICS - Industry, Wage &amp; Employment Dashboard</t>
  </si>
  <si>
    <t>Project Overview</t>
  </si>
  <si>
    <t>Role:</t>
  </si>
  <si>
    <t>Data Analyst</t>
  </si>
  <si>
    <t>Subject:</t>
  </si>
  <si>
    <t>Build an interactive dashboard to explore US labor statistics by industry, state, and year</t>
  </si>
  <si>
    <t>Dataset:</t>
  </si>
  <si>
    <t>1,918 observations across multiple industries, 48 US states, and several years (Establishments, Employees, Avg Annual Wage) + state populations</t>
  </si>
  <si>
    <t>Tools:</t>
  </si>
  <si>
    <t>Microsoft Excel (AVERAGEIFS, SUMIFS, INDEX, form controls, charts)</t>
  </si>
  <si>
    <t>Key Objectives</t>
  </si>
  <si>
    <t>1. Compare average wages across industries for a selected year</t>
  </si>
  <si>
    <t>2. Visualize wage and employment trends over time for a chosen industry</t>
  </si>
  <si>
    <t>3. Compare states by absolute employees and employees-per-1,000-capita</t>
  </si>
  <si>
    <t>4. Provide an interactive Dashboard driven by user-selected filters</t>
  </si>
  <si>
    <t>5. Normalize employment by state population for fair cross-state comparison</t>
  </si>
  <si>
    <t>Tab Descriptions</t>
  </si>
  <si>
    <t>README</t>
  </si>
  <si>
    <t>Project overview, objectives, tab descriptions, functions used</t>
  </si>
  <si>
    <t>Raw source — 1,918 rows: Year, Industry, State, Establishments, Employees, Avg Annual Wage</t>
  </si>
  <si>
    <t>Reference table — 48 US states and their population (used for per-capita normalization)</t>
  </si>
  <si>
    <t>Calculation layer — AVERAGEIFS/SUMIFS aggregations driven by Dashboard filters (industry, year, metric toggle)</t>
  </si>
  <si>
    <t>Final user-facing view — interactive controls, KPIs, and charts powered by Data Prep</t>
  </si>
  <si>
    <t>Excel Functions &amp; Methods Used</t>
  </si>
  <si>
    <t>AVERAGEIFS()</t>
  </si>
  <si>
    <t>Average annual wage filtered by industry and year</t>
  </si>
  <si>
    <t>SUMIFS()</t>
  </si>
  <si>
    <t>Total employees filtered by industry, year, and state</t>
  </si>
  <si>
    <t>INDEX()</t>
  </si>
  <si>
    <t>Pick the selected industry from a list based on form-control output</t>
  </si>
  <si>
    <t>IF()</t>
  </si>
  <si>
    <t>Toggle between absolute wages and per-capita employee metrics</t>
  </si>
  <si>
    <t>Form Controls</t>
  </si>
  <si>
    <t>Scroll bar / option buttons on Dashboard for industry and metric selection</t>
  </si>
  <si>
    <t>Bar / Column Charts</t>
  </si>
  <si>
    <t>Visualize wage-by-industry comparisons and state rankings</t>
  </si>
  <si>
    <t>Line Charts</t>
  </si>
  <si>
    <t>Visualize wage and employee trends over time</t>
  </si>
  <si>
    <t>Key Formulas</t>
  </si>
  <si>
    <t>Avg Wage by Industry</t>
  </si>
  <si>
    <t>=AVERAGEIFS(Data!F:F, Data!B:B, &lt;Industry&gt;, Data!A:A, &lt;Year&gt;)</t>
  </si>
  <si>
    <t>Total Employees</t>
  </si>
  <si>
    <t>=SUMIFS(Data!E:E, Data!B:B, &lt;Industry&gt;, Data!A:A, &lt;Year&gt;)</t>
  </si>
  <si>
    <t>Employees per 1,000 Capita</t>
  </si>
  <si>
    <t>= Employees(state) / Populations!Population * 1000</t>
  </si>
  <si>
    <t>Industry Selector</t>
  </si>
  <si>
    <t>=INDEX('Data Prep'!D3:D12, 11 - Dashboard!A1)</t>
  </si>
  <si>
    <t>Metric Toggle</t>
  </si>
  <si>
    <t>=IF(Dashboard!A2=1, 'Data Prep'!V2, 'Data Prep'!U2)  — switches between Avg Wages and Per-Capita view</t>
  </si>
  <si>
    <t>SERIES()</t>
  </si>
  <si>
    <t>Defines each Dashboard chart's data binding — name, category axis, values, and plot order (5 charts on Dashboard)</t>
  </si>
  <si>
    <t>Chart Series Binding</t>
  </si>
  <si>
    <t>=SERIES(&lt;name_ref&gt;, &lt;categories_ref&gt;, &lt;values_ref&gt;, &lt;plot_order&gt;)  — links each chart to its 'Data Prep'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</si>
</sst>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#,##0;&quot;$&quot;#,##0"/>
    <numFmt numFmtId="166" formatCode=";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sz val="8"/>
      <color rgb="FF000000"/>
      <name val="Segoe UI"/>
      <family val="2"/>
    </font>
    <font>
      <b/>
      <sz val="18"/>
      <color rgb="FF0F1B3D"/>
      <name val="Times New Roman"/>
      <family val="1"/>
    </font>
    <font>
      <b/>
      <sz val="14"/>
      <color rgb="FF16697A"/>
      <name val="Times New Roman"/>
      <family val="1"/>
    </font>
    <font>
      <sz val="11"/>
      <color rgb="FF1E293B"/>
      <name val="Times New Roman"/>
      <family val="1"/>
    </font>
    <font>
      <b/>
      <sz val="11"/>
      <color rgb="FF1E293B"/>
      <name val="Times New Roman"/>
      <family val="1"/>
    </font>
    <font>
      <sz val="11"/>
      <color rgb="FF1E293B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99"/>
        <bgColor indexed="64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3" borderId="0" xfId="0" applyFont="1" applyFill="1"/>
    <xf numFmtId="0" fontId="0" fillId="4" borderId="0" xfId="0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1" fillId="6" borderId="0" xfId="0" applyFont="1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2" borderId="2" xfId="0" applyFont="1" applyFill="1" applyBorder="1"/>
    <xf numFmtId="0" fontId="2" fillId="2" borderId="1" xfId="0" applyFont="1" applyFill="1" applyBorder="1"/>
    <xf numFmtId="0" fontId="2" fillId="2" borderId="3" xfId="0" applyFont="1" applyFill="1" applyBorder="1"/>
    <xf numFmtId="3" fontId="0" fillId="0" borderId="2" xfId="0" applyNumberFormat="1" applyBorder="1"/>
    <xf numFmtId="164" fontId="0" fillId="0" borderId="3" xfId="0" applyNumberFormat="1" applyBorder="1"/>
    <xf numFmtId="3" fontId="0" fillId="0" borderId="5" xfId="0" applyNumberFormat="1" applyBorder="1"/>
    <xf numFmtId="164" fontId="0" fillId="0" borderId="6" xfId="0" applyNumberFormat="1" applyBorder="1"/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65" fontId="0" fillId="0" borderId="0" xfId="0" applyNumberFormat="1"/>
    <xf numFmtId="0" fontId="1" fillId="0" borderId="0" xfId="0" applyFont="1"/>
    <xf numFmtId="0" fontId="4" fillId="0" borderId="0" xfId="0" applyFont="1" applyAlignment="1">
      <alignment horizontal="center"/>
    </xf>
    <xf numFmtId="166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0" fontId="3" fillId="7" borderId="0" xfId="0" applyFont="1" applyFill="1" applyAlignment="1">
      <alignment horizontal="center"/>
    </xf>
    <xf numFmtId="0" fontId="2" fillId="4" borderId="0" xfId="0" applyFont="1" applyFill="1" applyAlignment="1">
      <alignment horizontal="centerContinuous"/>
    </xf>
    <xf numFmtId="0" fontId="2" fillId="5" borderId="0" xfId="0" applyFont="1" applyFill="1" applyAlignment="1">
      <alignment horizontal="centerContinuous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BBC"/>
      <color rgb="FFFFCC99"/>
      <color rgb="FFFFCC66"/>
      <color rgb="FF269999"/>
      <color rgb="FFFF5050"/>
      <color rgb="FFFF6600"/>
      <color rgb="FF2847E0"/>
      <color rgb="FFB2DBD5"/>
      <color rgb="FFFF7453"/>
      <color rgb="FF0D49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Avg</a:t>
            </a:r>
            <a:r>
              <a:rPr lang="en-US" b="1" baseline="0"/>
              <a:t> Annual Wage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6-4C11-89C9-BC9E788CB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584491711"/>
        <c:axId val="1584493631"/>
      </c:barChart>
      <c:catAx>
        <c:axId val="158449171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93631"/>
        <c:crosses val="autoZero"/>
        <c:auto val="1"/>
        <c:lblAlgn val="ctr"/>
        <c:lblOffset val="100"/>
        <c:noMultiLvlLbl val="0"/>
      </c:catAx>
      <c:valAx>
        <c:axId val="1584493631"/>
        <c:scaling>
          <c:orientation val="minMax"/>
        </c:scaling>
        <c:delete val="0"/>
        <c:axPos val="t"/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9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Shares Of Employee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36-44E7-9226-F57462F7304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40-4F4A-80AC-E14232DE04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Prep'!$H$17:$H$18</c:f>
              <c:strCache>
                <c:ptCount val="2"/>
                <c:pt idx="0">
                  <c:v>Business Services</c:v>
                </c:pt>
                <c:pt idx="1">
                  <c:v>Others</c:v>
                </c:pt>
              </c:strCache>
            </c:strRef>
          </c:cat>
          <c:val>
            <c:numRef>
              <c:f>'Data Prep'!$I$17:$I$18</c:f>
              <c:numCache>
                <c:formatCode>#,##0</c:formatCode>
                <c:ptCount val="2"/>
                <c:pt idx="0">
                  <c:v>20065896</c:v>
                </c:pt>
                <c:pt idx="1">
                  <c:v>96583443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0-4F4A-80AC-E14232DE0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'Data Prep'!$N$2</c:f>
              <c:strCache>
                <c:ptCount val="1"/>
                <c:pt idx="0">
                  <c:v>Employee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Prep'!$L$3:$L$6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Prep'!$N$3:$N$6</c:f>
              <c:numCache>
                <c:formatCode>#,##0</c:formatCode>
                <c:ptCount val="4"/>
                <c:pt idx="0">
                  <c:v>20063464</c:v>
                </c:pt>
                <c:pt idx="1">
                  <c:v>20594171</c:v>
                </c:pt>
                <c:pt idx="2">
                  <c:v>20961286</c:v>
                </c:pt>
                <c:pt idx="3">
                  <c:v>20065896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70-42E6-BE0A-AE9D05BB4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593216256"/>
        <c:axId val="1593212896"/>
      </c:barChart>
      <c:catAx>
        <c:axId val="159321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12896"/>
        <c:crosses val="autoZero"/>
        <c:auto val="1"/>
        <c:lblAlgn val="ctr"/>
        <c:lblOffset val="100"/>
        <c:noMultiLvlLbl val="0"/>
      </c:catAx>
      <c:valAx>
        <c:axId val="1593212896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Total Employee 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1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WAGE</a:t>
            </a:r>
            <a:r>
              <a:rPr lang="en-US" b="1" baseline="0"/>
              <a:t> &amp; EMPLOYEE TRENDS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'Data Prep'!$M$2</c:f>
              <c:strCache>
                <c:ptCount val="1"/>
                <c:pt idx="0">
                  <c:v>Avg Wage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accent2"/>
                </a:solidFill>
              </a:ln>
              <a:effectLst/>
            </c:spPr>
          </c:marker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Prep'!$L$3:$L$6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Prep'!$M$3:$M$6</c:f>
              <c:numCache>
                <c:formatCode>"$"#,##0</c:formatCode>
                <c:ptCount val="4"/>
                <c:pt idx="0">
                  <c:v>64714.4375</c:v>
                </c:pt>
                <c:pt idx="1">
                  <c:v>66836.25</c:v>
                </c:pt>
                <c:pt idx="2">
                  <c:v>69592.166666666672</c:v>
                </c:pt>
                <c:pt idx="3">
                  <c:v>74713.0625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0-42E6-BE0A-AE9D05BB4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216256"/>
        <c:axId val="1593212896"/>
      </c:lineChart>
      <c:catAx>
        <c:axId val="1593216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3212896"/>
        <c:crosses val="autoZero"/>
        <c:auto val="1"/>
        <c:lblAlgn val="ctr"/>
        <c:lblOffset val="100"/>
        <c:noMultiLvlLbl val="0"/>
      </c:catAx>
      <c:valAx>
        <c:axId val="15932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Avg.</a:t>
                </a:r>
                <a:r>
                  <a:rPr lang="en-US" b="1" baseline="0"/>
                  <a:t> Annual Wage 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1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'Data Prep'!$M$2</c:f>
              <c:strCache>
                <c:ptCount val="1"/>
                <c:pt idx="0">
                  <c:v>Avg Wage </c:v>
                </c:pt>
              </c:strCache>
            </c:strRef>
          </c:tx>
          <c:spPr>
            <a:ln w="28575" cap="rnd">
              <a:solidFill>
                <a:srgbClr val="269999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269999"/>
                </a:solidFill>
              </a:ln>
              <a:effectLst/>
            </c:spPr>
          </c:marker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Prep'!$L$3:$L$6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Prep'!$M$3:$M$6</c:f>
              <c:numCache>
                <c:formatCode>"$"#,##0</c:formatCode>
                <c:ptCount val="4"/>
                <c:pt idx="0">
                  <c:v>64714.4375</c:v>
                </c:pt>
                <c:pt idx="1">
                  <c:v>66836.25</c:v>
                </c:pt>
                <c:pt idx="2">
                  <c:v>69592.166666666672</c:v>
                </c:pt>
                <c:pt idx="3">
                  <c:v>74713.0625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F-4193-9F9D-C375429CE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216256"/>
        <c:axId val="1593212896"/>
      </c:lineChart>
      <c:catAx>
        <c:axId val="1593216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3212896"/>
        <c:crosses val="autoZero"/>
        <c:auto val="1"/>
        <c:lblAlgn val="ctr"/>
        <c:lblOffset val="100"/>
        <c:noMultiLvlLbl val="0"/>
      </c:catAx>
      <c:valAx>
        <c:axId val="159321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Avg.</a:t>
                </a:r>
                <a:r>
                  <a:rPr lang="en-US" sz="1100" b="1" baseline="0"/>
                  <a:t> Annual Wage 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1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'Data Prep'!$N$2</c:f>
              <c:strCache>
                <c:ptCount val="1"/>
                <c:pt idx="0">
                  <c:v>Employee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Prep'!$L$3:$L$6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Prep'!$N$3:$N$6</c:f>
              <c:numCache>
                <c:formatCode>#,##0</c:formatCode>
                <c:ptCount val="4"/>
                <c:pt idx="0">
                  <c:v>20063464</c:v>
                </c:pt>
                <c:pt idx="1">
                  <c:v>20594171</c:v>
                </c:pt>
                <c:pt idx="2">
                  <c:v>20961286</c:v>
                </c:pt>
                <c:pt idx="3">
                  <c:v>20065896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F-44EF-BDB2-8EE69885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593216256"/>
        <c:axId val="1593212896"/>
      </c:barChart>
      <c:catAx>
        <c:axId val="159321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12896"/>
        <c:crosses val="autoZero"/>
        <c:auto val="1"/>
        <c:lblAlgn val="ctr"/>
        <c:lblOffset val="100"/>
        <c:noMultiLvlLbl val="0"/>
      </c:catAx>
      <c:valAx>
        <c:axId val="1593212896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baseline="0"/>
                  <a:t>Total Employee 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1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72184510913"/>
          <c:y val="0.16471309306018589"/>
          <c:w val="0.37134465196580568"/>
          <c:h val="0.70202415113496719"/>
        </c:manualLayout>
      </c:layout>
      <c:doughnutChart>
        <c:varyColors val="1"/>
        <c:ser>
          <c:idx val="0"/>
          <c:order val="0"/>
          <c:spPr>
            <a:solidFill>
              <a:srgbClr val="FF6600"/>
            </a:solidFill>
            <a:ln w="19050"/>
          </c:spPr>
          <c:dPt>
            <c:idx val="0"/>
            <c:bubble3D val="0"/>
            <c:spPr>
              <a:solidFill>
                <a:srgbClr val="FF5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A2-4C96-8005-D7616F66734C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A2-4C96-8005-D7616F66734C}"/>
              </c:ext>
            </c:extLst>
          </c:dPt>
          <c:cat>
            <c:strRef>
              <c:f>'Data Prep'!$H$17:$H$18</c:f>
              <c:strCache>
                <c:ptCount val="2"/>
                <c:pt idx="0">
                  <c:v>Business Services</c:v>
                </c:pt>
                <c:pt idx="1">
                  <c:v>Others</c:v>
                </c:pt>
              </c:strCache>
            </c:strRef>
          </c:cat>
          <c:val>
            <c:numRef>
              <c:f>'Data Prep'!$I$17:$I$18</c:f>
              <c:numCache>
                <c:formatCode>#,##0</c:formatCode>
                <c:ptCount val="2"/>
                <c:pt idx="0">
                  <c:v>20065896</c:v>
                </c:pt>
                <c:pt idx="1">
                  <c:v>96583443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A2-4C96-8005-D7616F667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6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A-4493-9B13-9B666E3B871F}"/>
            </c:ext>
          </c:extLst>
        </c:ser>
        <c:ser>
          <c:idx val="1"/>
          <c:order val="1"/>
          <c:tx>
            <c:v>Series</c:v>
          </c:tx>
          <c:spPr>
            <a:solidFill>
              <a:srgbClr val="269999"/>
            </a:solidFill>
            <a:ln>
              <a:noFill/>
            </a:ln>
            <a:effectLst/>
          </c:spPr>
          <c:invertIfNegative val="0"/>
          <c:dLbls>
            <c:numFmt formatCode="&quot;$&quot;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Prep'!$F$3:$F$12</c:f>
              <c:numCache>
                <c:formatCode>"$"#,##0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74713.0625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1-4E72-BD5E-5036A4EE8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584491711"/>
        <c:axId val="1584493631"/>
      </c:barChart>
      <c:catAx>
        <c:axId val="158449171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93631"/>
        <c:crosses val="autoZero"/>
        <c:auto val="1"/>
        <c:lblAlgn val="ctr"/>
        <c:lblOffset val="100"/>
        <c:noMultiLvlLbl val="0"/>
      </c:catAx>
      <c:valAx>
        <c:axId val="1584493631"/>
        <c:scaling>
          <c:orientation val="minMax"/>
        </c:scaling>
        <c:delete val="0"/>
        <c:axPos val="t"/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9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9910E7C9-EDF3-485C-964E-2E96A96D7047}">
          <cx:tx>
            <cx:txData>
              <cx:f>_xlchart.v5.2</cx:f>
              <cx:v>Avg. Wages</cx:v>
            </cx:txData>
          </cx:tx>
          <cx:spPr>
            <a:solidFill>
              <a:schemeClr val="bg1"/>
            </a:solidFill>
          </cx:spPr>
          <cx:dataId val="0"/>
          <cx:layoutPr>
            <cx:regionLabelLayout val="none"/>
            <cx:geography cultureLanguage="en-US" cultureRegion="ID" attribution="Powered by Bing">
              <cx:geoCache provider="{E9337A44-BEBE-4D9F-B70C-5C5E7DAFC167}">
                <cx:binary>7H1pb9y40u5fCfL5ykNSXA/OHGAk9eZ9yzZfhI7t0b6R2n/9W223N00n8eD44qJx304wE1vNFqVH
VfXUU0X2v2/6f92kd2v9oc/S3Pzrpv/9Y1jX5b9++83chHfZ2hxk0Y0uTPFXfXBTZL8Vf/0V3dz9
dqvXXZQHvxGE6W834VrXd/3H//wbPi24K46Lm3UdFflFc6eHyzvTpLX5ybGdhz6sb7Mo9yJT6+im
xr9/PL3rPhzeaXM3fPxwl9dRPVwP5d3vH1+97+OH36af9rczf0hhcnVzC2MpOsC2QorZGN2/yMcP
aZEH28OWoAdcSAYXqR5e9PHcp+sMxr9tTvczWt/e6jtj4LLu//967KtrgEOHHz/cFE1eb+5eADfy
94+f8qi+u/1wVa/rO/PxQ2QK9+ENbrG5kE9X91f+2+v7/59/T34B92LymxcQTW/crw79DaE/0vX3
dbZ+vEX/PTw2ORCcU8KReoDHfg2P5AeSItsmiGzxeTz3AzxvmNBubJ4GToD543gvgfkc6SDKo/dE
RhwwTKSyuXi48/I1MkIecCURteXWcthrZN4yo93QPI+cYPP5j73E5g+drHOzBpt+L6dm0wOp4Obb
mO3ERpEDaivMGJMPVjXB5i0z2o3N88gJNn9c7ik20Vjk72k29IAomxCJ6QM04rXZYIwPwOExxRm/
xwY/PhZbh6Z/OaEfIbMdOAXmz70Exi3SQq9vi8e78w6hRh6AzTCGKHkwCrjzL5kARuyAUSFtDjHo
wVIfIHnLVHZj8jxyAop7tp+grNPor0K/d5whjHKu8JYBTGHB6oBjQQSm20AzQedNc/oBPi/GThH6
Yz8RKvL87qaObpr68Tb995ZD8QETDDPbZjstRwCJsyW4PDKJM+7bZvMDcF4OnqJzvZfoLO4KoGnr
90MG6DOncOep2mY3E+OR9gGl1BYUbYnAxLW9YUK7wXkaOAFmsZ9m492l626t794RGXWAkBSc2FuK
pl5HG8EOKJec2hiY3OY1MZ23zGg3NM8jJ9h4s700mlWaRnkRvSN93mgChGIKXODh3k9SG6kOMJXc
ZvIZu5eE4C0z2o3N88gJNqv9TDvnQNKi23d0aEQeMMUg8bQn9iIhpZHCpkTaDzFo4sneMJPdkDwN
nCAy309EVrfr8B1JM6UHtlRIgLnsNBWMQT9jyhYSTRzYLyeyG47tsAkYK28/XVd+G63fNbtUB8CT
lQBBc/t6HVVALgMaJhFXW6Y2UTNXv57QD2B5HDgF5nQ/gSm6d3RalBwgQTkTlD75ppeZpbIPNnBw
jLbH+SPPeEgwV7+YzQ8guR81xWM/+dfRewtkEqIFFUQJsTNjURLcGgJDeWRnoNK8jPC/ns9uTB7H
TVA5utpLKzmCW9LcJO9YjbFBVCbCJkB9J46LgeMSApNHxzYJ72+Zyg8gebqIKSjf9gKUn1eJHh7a
hxT/1Tv/YZnMVuCibPBg9tZg4P6/cmGQzuCNNKa2suYksEyKVz+e1m6QJsNfXcl+VMZOopswCtb5
ox95B9UFRH5BhRKPBZa/m4ywEXCBDSPYvCZR5S0z2o3G88iJyZys9sJkXs0a6srHRROZdyZi6EBJ
0Fw43978SbqiMFRosIQ6wNahTezlTVPajc6Loa8uFK5zP4P/yTrK31F5oezABj2Zshex/aUr4+qA
YI4pULYHu5lA88vp7IZlO2wCycl+ai5fInNT5CZ6X3cG0QP6MKDU//B6HWFAdAFiALm/2p3gv2lK
u6F5MXQCz5f9dGibppTlOitNGL2nZkntAy4ZeLRHnX9CAsSmDgCSJmSfD6waemkeIv1DHvPmae2G
aTJ8AtXpci9jz8laD+k6v328U/89L7Chjrkh0WwScgQ/EAhD8fmRok0o9FtmshuY55ETTE68PcXE
mPVN2Ji7ujbvBwzIAFCnhGIL0LL7F37t4cB8OAKWbctJtnmyfuN8fgTPq+FTjPaUFERQyDRFvX5H
fDgQA4WhM2ZbDJvgo+gBViAvQ/fG40kf/NrJW+byA2yeh05x2U/l7CyM3lNeRgcU2pQAlt1pJ6j+
AkE4kuSZZr+MOL+azW5QHkZN8Djb0/gSGbP5W5bR40P7DiEGbjuB6uVT/WsSaoCrQfsSgU6abSvN
31LPN01qNzonL69oAtLJ1V4GnC93pv7w3Nb4Uh15dYH/VLSBFkxKGAgE2+bYSa+ZRNA5Ywtof952
B0wYwZuntRuoyfBXV/L7xy+f9xKqq6Kpww/uWhdQdX7H4GPbBwoBNSP4GYuXWSlgJRW0aUB/4EN2
NDGpt89rN1jT8RO0rty9RGvjK4pGv6frg8oAF9A3S7c4TdYLbFprhQAhlG37NiY4vWVGuxF6HjnB
5mQ/mwVPirx+1+InFQdAnhlW0M50/wJ39tKEMIKwRKF3gNtTSefXU/kBJo8Dp5Bc76W5nN5912uT
vKNb27QGQmumDbLAAyZTc1EHIJNCIe6Rc0+6BN4yo93QPI+cYHO6n5Lb6V27fs9OGqjo2IxTkEG3
etukfIAxBxLHIBmVD+kQZEMvqfWv5/MjXB6uY4rKftKBjSZ1ctdHN++Y9MDqDaABNjQ0b23mb36M
H2AkgbbJv2Hyltn8CJfnsVNsTvbUm3UfvhU6eXxu//u8BxQckM8I3aw32xVhoGkTsh4EEum2dDAJ
/pun5Vcz+jE6DyOn2HzbT2wK/X+HRsMaDRvazZ682iTlEdC6KcGpcb61rSlCb57XD3CajJ+itZ80
+ssaKgl5UBfvWe8RIO1gaCmQ2/WDE6Sg1eOAQYB6YtoTX/e2Oe1G6eXYCUJf/thje/LWyfsqooAR
5TbEGajM3b+mjBr0Ob5ZzrZbfju9t4Zfz2o3Sq9HT3A63c/SwvVd/64LPTHcf1tSkAUeAhIYycuU
RwHJg2AFbW5bBQhI3ksS98vp7EZmO2wCyfXXvTSdB+Xj1w/pP9xXAEicDTwACqIPljN1bwgdEBtB
vYFPktG3zmc3NK9HTxC62k+jOUtSaFp/120FgCZIG3zbtg0aTe0G+hCBYSP0iB4I3C/t5i0z2o3P
88gJNmdHe2k953d5boa0Xb/rok9YgSMVrPncFuLQFB8hDqQt5aZ998G6Jn7trbPajdHr0ROczveT
IJzpu+Bd6Rvo1UCjYRUUf0BgUgJ6oG8Ql2wwrVem88uJ7Abl8QImcJxd7qXZXIawacuHlXnf1g9Q
2ziR0CS11Z7VRNPZNOhgkHM2+wvcv0BZeInNW2e1G6HXoyc4Xa72EqdrcG+wZ8/dO/Yf2gy2rAE6
hra6GppIorBGx6abFvgX8s9LkN40pd0IvRg6ged6P7sNPtXr8PER/u/lnY0kCv050MG2pQUTZO73
5hDQtEv4RDb41Tx2w/EwaoLEp/0sHXy+0xkUQ94PDFhZiAQj8Gcif8JuApwTrjgooPevScngDTPZ
DcfTwAkin/cTkS9DAdunBe+ICKifsIqA8B/sKgR1HFBsMJQU0JaVPZ77oU3qDRPaDczTwAkwX/4f
aZ8/3kDtaac5b12vZ/db1L3YQ+3nR++vHbbOmwzdBuid3u0hLKxuf/+IFQUzeNr5bvMZryL7H6+3
DXoecrc29e8frU1tFFYf3nda2RsIweg66ErZHIIlvLBbEbQmwvIrWOvLwSvmG2Hn94+wXAttRkkJ
C3w3R2AOUG+/P4TBl0KEU7DzBzwvWD5tDXhepANQ0aebsf35Q95k50WU1+b3j4QAmywf3reZKqzD
l0zY0H0nYSM+mJ4N/re8WV/C8w1vx/8nq4QxfcK7YxyVaV9xR3Y17GboQLtygY6KspUkc+NK1GOz
SEiWZuhLDcuV8CzJy8xck4zWo3ZgBRMis1THuuxiV7R5VcqriOel4bXbxHmEG7fseprPqd3lmZvn
aljGVtdZoZszQrJ2pZs0M61xxrrJ6/IkT4c499o2ksZRssyPmR/3h4WVtWgVR3w4GajvX8d2VR7m
Fv9qmaJddEUrAhf1ylMsLo/jzESLLO4b7DCWkOuQR2PuRmHTWY7KuiRwpG7VrLOrqvNSPQaFw1Pe
X45Jy9aoJH7iwE1tTyIU+npGwrprHN020egoO0DpIu/bdNG3OpUeU0W04llQiVOl6jZ2zYCiRWVZ
BXxmOdSLWidt41iplbphRpNl6etuHo9ajI6wcvjgnMZ+72at354R5uff6m7Alx0P83ZR1HHthca0
gROUA+ldEwyjY5JMezGr2q+1psNnfywEd3VQlf2qL2SfOL5mcKHURw356qdxddwxnC4M4XpGcdLO
eFBW2DFYH3dFgUsP2mu7GeJ2WDpR0rEV9434rOKhPyZ1p8wiimlVz0OjUeq08Kh7lt0M6KLiyYzU
Vp4t7Dr1XV6wfnTauBZOZOLYclmbtcKBDTl04aGGMqfkbbasCj/0+qBt5Jx0XTfr6rhws4C0wXwg
NYIbHZQlc7FJu7+EH6H1yHAwTxhY4zzxIz1DOR3WGainZK50xhZN0ZdXONfhUcLr9GuBYu74qMWd
W1pBvUzbMEAe0eIsywbtNST0ZzosROWWYYrhocE9bmdBkFbzoQ36WSi0OutZVS4qXzduU9HgMFR+
L5zCzpIrntqsdFjYpLcotopV7cdkVWci82Cxsv8nWINunTzG6ruftThyBlO3ySKoK3Ltp1Gz6nQm
5iRtReio3DdXkrY3qGOW1w5y9Hyph8wBC4hWhSjtzB2CvlVuwCU+znhKD5OQyW+QQZJFa0LuO8yM
GHusJYFjSGbZnvGra0ZTfVpJNH5P68z3mioYPjdRmS390QcTtCykYqe0RnvWlpY5G4o+P61YHHdO
XcRx5JA28l1mEunh0C8+8aCqnc5S+SpXUfClrtKsd2Ttp5cJLYlrxqRctHW2qAsJz6HwaeMwmqAL
FlaNO9S9reZFTkkHnsXH/lFZythpWF2e6cxXc8NRepfjZFhVCvbn7MMqdtp+UE7u1zcxiqhnD13n
MhnRZZwq5RaUrPtu+MJSzdw8CVTvqZYInXiVzQDHzimrsGz4eWcsP4DTJow3g3Ze7vX5yqHeFOWg
oyDcbrf69ON/rosM/t5v/vn8y81urc8/wbq+h21ef/ou2NpnE8/N9E2bqPj0Wc/bjG5C0dOeo5PY
9rAx7A8C308Pvi0qClAnfhYVn/dfe46kD2OewiIs3YctLO/XJWEIaCBmPIbFTcSE+hQHxiPVpsvy
KSxCGg4LLWABBiyVgXVkr8IiBw4F7ZgSesgYlPiR+idxkaJJWNw0Z2z0ZUhKbEYVhTm8DIsoC0vk
W6N1BE94Fas5OBo5NF8hXtBcH8YoE1HlJBBWw3ghTM0jdmyrNOtmQQaEQtQOKwZaBodU+TKxT3IL
JGs+OFYNbiguHZnqyCyaJK57f5HIiEXRMQu6tgqdEX7rN0u/GuFcnxBru2oEx99kTR8e4zZjw5g4
nRSWE0qrc62Wyzw7hMURduMmdpdGg1P5fou+kVz7tVvwWpfDVVyBh7BnkgaduJBh34TqLIpq8LuK
+qmTSWJlLmtyO3fSRo/W4IjB8hM3YEUly/+1mofH/Bdc0gYS9FMy+UJGeLab7ait4UhQoqD0AaYB
K8bhw7ZGo9AB7ElqQ4Yt8cOWcE9GY0O7EbSCcdBGNr2VmIHlPnJJCotpNzqjABoIWZ+k/8hoBHDZ
l2QSNkSDNAYYM8L3iw3lxGrEoG0r7Fi+strEYIgHwg/iduYD0SNOnUE51MFckO64JsPgZqYaPGx6
eyECXyyrjEaOz3yTzcAp4FNTUX7dJyiZ8QjlXhBww9xO27Ms4P3XrO+ryhtsZq9VkOMVKVHqNop1
bhUGdCZ8cdvkZb1qbRMsGNBdj8ukcrGfhO4IHHMxtAg5Qtm0cEbVmznEqcxNc5mkTjwUX2lZyXWu
TbZq+mCco4jPGyOEh+oWuW0cBWdY+3KZD1F6TUK7jZzW0DpwbMKLryFuqgVprfHQtKkKvQB0j+++
FGXo9FmZVk6mg+Ck0EP9CVyAPO7jEV02nSZenoqLtsHqBAG19WQWBH+moQGWYCftchRN6yVR5Tt+
jPQCgmy+7CLqJtoeLoqyECudk3zOrWQAN9Lis1yowyBPPFb0ybklfcsRPkkcPHRylgamcJqkYlca
2fmsqyhy0UjpsYp7s2rMaC3BAeJDmoTWYWrycpaQanRDKx49E6PipOKhCGeVtKzY6brmGhIIOiOY
iePAB0JGS5zNCQRj+FQzXpQtMScisnwnacg177P+ZkgaPjNdHDq+SMzFmPjwQQNP5xzInGeV/XBJ
o1h8b4AYl/nwJ8rAZ+LSjpdNG5AFVGf9z62Minkc+/xWRjwZTpqBxCcByxInlWUfun1fZzOZpa0X
hVIuDdd6XnESeQMEmhlsWkqcQNapowetvkudd38F3aDmI8p76VZ+ls825a4LOnQmPR7i8lPY4PiT
7IthbcG2M7aTjwydWEXSHkkLEafIEIAcqbCclQGkLpz40gvHRB76iOdnNm6Lk7TDn8LeKmvHsmm1
lE2RXPRFZR3K3Ab2n2l1RKuI906Z0li7EbYysWysJhrm2iRj66iGJok7Nn13CCnNPM5Jq5yx1/Y8
pKV0Ca6C0KkKki2HRsZuPioWOIQ2KHdT0mSe3Y0t8eIqEJ7BWeT0ZMzOLYstFasSJ2zy6kRzsi7S
SvjHlZ324VGJ0y880uIyK9jCtyS2ViZqqE8WaW3HiXBa1eXqZqRDFc0CfxjPxrY356YhMrtRue2P
xzSHLEfWzSdW9va5lk2om1maiGvqm3imdINnQZqrw64QJHOUb9LBK0NeXpa9lcWdGwExX5ZUJPoT
STua9B5DSV6HXs5FIQ5zw6SxvIzFBJ2Bo4T7nrXlOPd5nEPKUwQ++jaGVVe7CDKC02oQmfgCGTip
9MywAV/kvWr829ivjMuiUTmwnNoJMbXoDDXFFTy5LHGkyprOURoSKBeyv6h0UK3i78LyB2sp8xYV
K1akkHYVsmkSr200ZJl+Hzb0pANm8DkbSrZOMOgBToEGHKxwWCPIFKquP89rQW8HatfJgvh9Wy7F
UAlIga1IJU6NfV/NcpbAKcc00NzJeoSv7WAsMjcxaRA7qCujBfg+OGOd+BDUiTJZ6GVBFNtOG6m8
OBNyIAV3h6YK7fooSTuGvKJoLScQvQhmKMz5Wd/yfs5oBz+itI0dzeAeuxz7w3XaSXKkuWW0kxS6
Qu6YqW4Rg6hwkitarZJIgd33zPdYktLaJY0tFg0m4SIXrVwUoU7Oc5Iej4HCwtGYFcd9yMIjvyzF
vOhqGjrpZi86J2+jsvKaHDL3OubkUAq9YFYeb2w1Bv8V8Gimg8K25khE6EqkZTzjBJIg14YkyuFW
np+KsCkuZSv4ac2r9huLfTI4sPvd0WBL20krjb2kpwFk5vUIqsPYpMjJzDjcVEP1HWKUPoVudz7v
hG+5URsh6RBUoatgxP68R7H8xGhgLii1fAgOebpKA2HOilpa89Qa0GGbI/9mJJydDz72jODBClyn
v8zgo74mAkeeyZT81uKqL5zaJ+UScvn+SIxiPKGMSCeo+sQruyH+MyQ2PmRV0Z7SoJ9Dqk2dvkZj
7NZ2iEsnbm06iwd/POcqjmdhohYmzctPoyjq1cDbZoF1Pi4gD2eVE2PIokZjtW6XFuEZ7NTAYk/3
RB5FNrh4BWzYKzWwwA7Of9UDl3UIjkInIH54Xg5B57ZjmMxorIIFhwuYlyZpUwd3NATXONKvtl1p
iIVMlWuQjuoTLEZ81zakmLMaUs0E+3jJTWV/sXo4H1FF4JXYBPMYFtrNdF6npwnqqs8N2OFJo2t9
DsKoOpYC5+4Y5vFxEvYgrNhhe5oUbHQZSfkyHds/K0mj44GG4Re/aNCp72MFH2I4MIFsTJ1GFsgt
Mhudmj7MajcCyz9nsegXCgSRtRS5WxmeeHY/1hfasD5zaCb5KlNGXSQ8HI9wnBTfOxNUTtlnaJYM
BVqFKPji65y7OM8QkAchHMsa7FlEEi0dhK2vfe6jWRcW1UkPkteRbZkI2DbINF5v2aVHcUhjp8f1
J4s0tfQaExjjUNHPlNUVjml7rtyKIeGOkH9ETh6Q2q2ArQvuoITjAD4NdXK0JRi1bmuv8CO2Jr0E
TkHDGMQlFIMn0DpRICi0fAjFla1jGUDICzLIdq8NH8ro4n+z4h9/K8ozU4cczv4pv3/d2r8RYLdD
HrNiUIQRdM9sOtBhX27IcJ8IPpT9nxj9Zts7JO7rabDqBqIFiLqPjJ7BIcahvQPoPpEM83/C6CG3
fs3oYes8sSnbweYGNhQoxCZ3eJkHhzXt21yX9onYqIFDR9lqsLGlHTamyBvCDEh4XxaHkBWAmFjg
qp2hMTCzjst00RBTgW67ESAZcKDTQqSgz1U9OCyXlFXPvGYjXdotBRFzI2fWG2EzvNc4VStB7yw3
0md/r4I2G0G0sU3xLd+IpKMGNc6V99ppcq+jglDXzaONuCp0nLkQekFxFRvxlSuYolOGcQ8JbVDQ
2AMj7c/pMAg+D3vZBUtF8dh4fRKj73GTmsFJhyS5rYRVnUUBuE5guFl/5vuFCZwq8OHaszIbEifu
o0SsikHTcT7ipi8XZiBw1DasJIeNDIbzKmTVsAqsHDwtiI898DyYYHFE/dHKnKLKMvuCyLK4UDQO
Lsc4ac+qjXwVi7T2ujCTgetv1O2402KZqTSv3JgWY7CM+rrf8Kgk9yyqexDN7YR8qsuyFmPpdT4q
6mrpYxY1i8wnAcRiyUApmwsdoRF5fZzpHLlJLvtTW4xZjt16aK0VNbhoEqcMqpC7MfQR53kyiyRI
1/0XA5TU2JdtkieOhioAKBks8tv+NKlakDpmWRpp5ZRFoLN5KUsZOA2U5HngMiuM/TMfD9a89Qts
QMoztQ16ZdW0oj42yGohTaoQULklMh0IhESHqe9V1LSbB0eMy7GP2Ti3+rhLnCTjXdoe1nXTlOgU
D1lc29rRoJF3Y+YkHekM/hr4ISHjtz5Kh1zf1l1VZ5nDknFM/f91eG8SNKA3FhzGT4pjr7+16L44
dj/kUczYfJ2KhA2hOcYS+jVf+DsJG0kCDQYlT0JdFP77rAJCnwe4PwaaBfhKDt+SAx2gj+4Pej9h
FQmoirAOAXb8UPifuD/62vkB94FS+GYWiMC6FGiLe+38YlwSeNqptVSWBWE6iodx2ShqoKz9dE+2
GvLLIhyEiFeqyeY0IDSITeEdbXYue32aERs9tGNrLc1I8XVSZINnN0ieZV0LDuLn59r46xflvs0l
KRD6YDtnWwnoVtr4+xflPsAiNqq1/eWAC3WGuG5PQIe1D+mI+vOSZ0D1fn5CUKH+dkpYCA+lbfg2
M2h3h51yXp+yTwyrsND+Mhq0D9lQVdTHhW6g2gbVvIK5UnXqM8RDm8xRE7S2x9I0Hha86Ei+qFjQ
uKxtaec0fR4tyjjSS1X0FtRUlEbf8z7Sx1AyUFCnCdSiGzWU/PhA3Nzv88NB4+wiTVK1SC1df8I1
zw9Vq8u55WfRqT/UEVDqmOWeHeThYqhQtooCM8yq2mQXxKLjnYqj8XOYUP1ZlMEJaoZo1ok0d5sy
RcuR2MkJhe/Ykm4Y280FMU3212iPxdlod/EngqLYgTQgnbMqzF0cZa3bFHm3RIVfeNVYkYWEjNHR
1dDNcNiXDuTS5kjgujjVpYQ6TJrYa5QG1jLlXeWN2uqW1ZCKwKG98jlEP1LcGJllx3zM+gtVjGHj
oKoDt6slnSND9LcosVSXeH2ohalA1O2CznyDbY7YYI7DvIznAkSi3O18eM5dFBYIUlo7y783WpTf
4iaQX2KVkEsVIBW6HTLqNpamjB2stMidjAxF4lhx1M91K1HgQO9v+D0JU8ncKKfpGaSQsnQ5DYpj
0XTN0dDk3Wc5jKm7qeJ5hKTw7MXAGByQethZZONLIPjI9ft4uAwrBQIRRvpbJop2XvSonsuWW8zp
C57d6iwLF2Ee3gw6Lr3AluwoULIpHTyyMJsZuDlh7qcnUKkav0BjmHVh59F4jEYfhBnT42TFIWO3
QFGLfeRYhXVFQcdf+RTRZdvlZmYPUXKM4qC5DaCO/T3BQ5zOxmDk+cyqI3UIt8B4oc9vqjp1Owwp
Y55CNt8LqArafefwhB75Vt07SRJ8UsaCxMUv04VVSpD5rQwKuX2XuwUB5U35EQeyUh/FlqY25HfB
4HIk4zUsmPfhzeJP229sLyz4MOsFry79LiXHPDTnrO867EA1g8KjDdbTM9ICEaBkFuP2rs+ENWfa
qk8Sko/faxCuoDhXsu9lnyRnIAoQLxnr+rJiteXmtbysKhXNGjZ+tRptn5IxJDMyjObUEuM46xTv
rqB237gBVu18yOhF3mVfhO0XZBklsmupUwdtONzkPEqI47dNU3i8Sfo4dQZZktgZTQwaZpAlDDL2
ZkjcIa34eCy7dOhXqULBkLkhEAHk+JYVjJ8T01Eggj1pTBfAjShAFxhaE1/TbRqD41623bUY6nCm
sBGBxwYQGlyoXkTMYUApHFUDh1l07cjF196igZyLISFslcnOIC+CfF3OTWyiikJSVPN5kHRjACSH
wTvtMmqDU17pJgRxDwTC84BbASgIJa9MeKR8qy0ix/gd+0bKsNGgw+S+Fc463SvyOYZeAzavesXE
rehDACqsw9o6TIYyaPRVkkEltlpgZZJvFiuTK9Vm0UKjHNxwkQm2bFGdfhYgLmnXt4k/OF3D7UPW
twVyQMSDvgEgVmrBats+7IhfHeO+Z0uSWUg4fTJEg5eNCoNAXYBAZKrNr4XP/athaLobTnJfOjnO
yzlNbHtVpD2ct6H54CVNSlelQflh1HdqVmcNdE5kUFcCY5ddcVRRairo8xB4jrkpoHsiAqW0VLWb
GyR7x4LMABDw1Z+9hn9VIFpcjQaBwMtyqymhr6PLLnqblnfQrSmPYSIRVPcJLY7KQWWj1/AgDWd6
6IqVRKk6S1nE12lWwfzstMVzSEayC6tLROImMoO5WbyEY8yqs7+I1OlnGwE3TpOYj54cs+IqyEJQ
zjZ7WmBwHglvwG5T7z7UbZuStoH8obvmZTn2ZXX2/8tiMFbw3RAvWMHfeqRebJz6nCxvRz0yQQmt
ULDBoYKaMBWbPY6eMl/YHQzBt4NBl5SETXU2X3b0lAjD3i4I2rIRMCdIThUsx3pigvB9FrCty6ZN
CpJX4Jz/jAlu9rF4yZugQXVDmWDLLPg6Jgrdk5vjL3gTUJeuKSKsVyz3hfSgsQVforAaTyRIlfOi
iiWUfEuBvhtL+NciVHo1ZLl/aOnIPzSatK5IBT4uoAiwSOjYuqTFaQZuO7GuJTRSeSIsWTQrQE52
MSSqZxjs5C7WBINEGqSfKanqWZnJyA3CzD8pEA17Lyei9XRlaxcHSHeLOrPGJSSU/Aqk0/9h70u6
M8W1Lf9KrZrrLToBGtQE+Fr7cxuOxhOW7YigEyAkgZB+fW2c974X4Xsrct15TZyZy2kaIR2ds5uj
FcLkP2WpHzJHjABcPUFE3zNHwIAfkIDWQiw1LkKcVumvdxAHsUNlZ5YHWm/vhef+8/0+pI3v90NH
UqAhoC7B53/IigMo69aq68TJEIkNseKvlTNL3pQYgz/fCZPkw7dF48DARzcntN1CyfHhzdwc+w4y
Gn4ywP6LoG1txiwlhzQsm8cl4NHBonh9+PNN/83rAVxFNhxjMgGu2X7/y4RqvUCZflD8NMc1cATs
tgjQHhCYYl6ptH+Thf+7u9HIBwfspxGO3f0wmEiLcOJw3/KTD5VRdxlk7/ZrLH1zO3P2N+WM/0E7
sX05hvIMKQc6YKC4+3CztUPs7juvOU31ysM8rEHlFNPUj0UqfeA7tl5vZ9A91wbY8dHxRItdo2L1
H78z5LJobY9+w7AzIaj8PsIcuYDt57A9TXMHHmRVVhVxBdEgiwW2zz9/zn+dQ6hvfCgVwaOnSPm3
Mfnlc8qJ8VDLuD0J37n7MZWq0AQrWNSiq09WNQB/koF16d/c918/LMBfVM9wO8Yo6LwPcamrWtNU
sWhPg5kWkYFt/mTC2ZhsaOb2P7vXVjvCVrkdeIbPiyM1Ptwraojxl5o1pwYEYzGtNgFK5El7VVkT
Pv15PLdrfahTve0U3Ah8jweQ88PHa5GGEUkwh5x1xgesnfRn3oSLX/z5Ph/kr+/vhM7ImyfufboG
v3+3OeZKxuPanEoobdpiNS1eKrLDlruG9LFuml5nq9TI8ZwUbbnz+qpGV48/RdYPc2d7hq39ZYT1
meA85o9zZ7E+OH2q8QyL2tiQZQIp7Uh1KUPbn8cqpYWKQ/s38fx9CD8McYAQFMPmjDMEgRf//upL
FS+jK5PmVKdl+EW2cX8G42VvRItaWIZiUJkmEAWCk1+rJC8N8u6TiYf1ux+DPnsTC+vPXTmUx8oj
/blsSvxwLfkLW0PWBEn2P5KqX9GRf/eckCkjNYAeK4IW+sPS6mhYGpcQcvTA6r4ic41kvkyc4ROh
LI6PA2lFktmWJMmOjKa7eEtgeRYOZXmauzG6YpqVp7VJwxtGYpXs46Ue22KsWbIc/vwl/3XWApLa
QByIbN47Yfw+pB4b9AjFagPayENp01XQ4SIjVnr35/t8WPWYMWjesPWJTNDmHgvkQ4RtCLwdJagk
nG8zunvWOMAhA/iwK64i+vjne30M5+83S6CDw+5IGeC6D+NvU0VVtLYI52gJU1RpuRQeF3POsVT2
IC6rXECIeQXwO/lG+qE6rCPVfzOwOBJ2W4m/T9cUSqhkO1AeHxpHL/4+tlwKEmBllEfgCNKeEh4g
mGq2huJUzcLdE0iSXmldNnnTzL3MLPD+Cv++MXFx79ErVS3lmc2zvdMLC2aUQ62Q+cT13ORB17sL
hDbluW6m4MHxsPy5rDMHVMHdxXGJap5NMn5MwMqegx5QwyI9BFzVm+CBzl38GEMxeNSAOQGrRHYu
PNGQTyQx7t5WZThnfKiX2156+oWX1ntF/V9eFBEgPBhIwp99igLwjGqwdyDqRHl0yo/UvgWNjZon
kVuOMHaRB61AEL1Aiuy/QfcfPpkwFFO2lktPACeU0U++6MgUPQS39U6lbX2pQqzsiCK0+HJpXuca
wRs0Bv1ZjSQFUNYjbQRc5oFnMA2r5r1Xx9HBRB6SoSFZ1fc0mYPdAA/At3QyMn0Y/RbzDau/6vbd
yHB7ISS5TwOF2OmpOfnmopKCTGHVJdn+VtERj2EpeOqpMcpkCWruT2wM7QX7DP88AQC7fR/eMjZ6
Fwy1dy/Cqe7Oo0t4fSpB+IfnAKLMC4S+/bybXN2KHQ6tQ7SafXsFCh8RKvVX8jyMHWbk6K0+CFnu
A7BtBMbOQjmscul59adobaIvM1TsJA8qb7gDaQKZRRvhOqZu6kusRVWoKWlepQdRC3T00lYH5hh3
2Xb2wWNbheETxB4yyEiAse3DoHnlVR/sfTlGL+DxCc+waLjMyqZ395DhrzrXnVzvvGVabxsbgexI
Ir955rFGaHI+/+xbL+K7cJuHvRnLczq3psptneqmcKuPBMbvR7cfFo65lPTaXSBU4lCC4QQOm2m1
uPueEm/TZCDPmWslbN7iBVQG7Ywrc4UJtvNULV5qU3nHEaAJBOxdBAaprNfxONeoGGI6kk9x3WHA
vCqyl4rw9tylfMccAYYoo/V2JJDI6zbxj5Vx425SJc0tGeV9pevm5EFCdQWIMcobUEEFNBnexQ8H
d56BwxwhaCw/VTrZjdHcvUzx0F0s7paXJYUu3yWHrnEinwDdHgCdht/SFMtORP3BGy3EUh0AMI+s
Lg9Q8+V+PMg9WyF/ieTAO8iDouAzaxbwdYM9Q3q/r+sp3Ju5Hs9gN0VWA3gAcWRYNvV4Ld6lMq+7
jhd20XMWqKjMNI2+AdMLL+DGb8GopRkQtXUT5Uc5NpwQQG7zFJdxv7NKBFec8tybO5oLPZgDKHaw
ac6vs9p5ccFE5DYh2IOq7SsTwYuYidq1pA8LG0dDFkCDdSJe+nWKVTnAUSF4btcUu9osguc+jM5g
9f1sCZobGFdM0UENuSzl1Tgk1VctArerI7uea94jAEdbjgQw9iZuwvACQct07zdcnclCu8K5+LpL
JuBv0DS0iWLwtUxBpX5MXic2IqCFMKtcyimzVdie/TEafaBvVXI9U44HGnkUetliA/dEXRTuV8PL
eaeXgF1p359ukShFdWGAhxVd4vEn6I2rpznwzKOFGWTIRrURgWJx9tIl0ICUfZwAcdLp97Zv5GmF
5+YEqLfHTZFFX2TlPaTUmIfEWLsL3Tzvtv1nA33FUudQBvV3ChRnnmCl8RMEWkgFgm4sc2mRi3SA
n4ZuiBXw06RBKBpMVkUldoSkYslRtCh9Zsy/okeat2fOiw4zcEuRSxH0t8rTnxPupsI3DfQ2k4N+
ruJj2hYaaG67h7qsvyIQveyHtqN33gzlaJzM1RfdVuYqnNdCN6U5t2b2dBakhj2HkFPCoTEEqskX
xEnYJ2R9Difk7VlgUnV0S4+J2SJ3QInAyT23MtnBpPJ1GFO693q9fAMml/4EFQ9dZzz4AVxXNPmy
GsfcwaMNgfbDrBl0L8jHhnU6CufYzUqm+F6Cys7DcRQ50VNyRAXNjmz1A50Jf5Y/BIxmOzi27HnS
oPj7yLswsOg8R3eVa1jdB6QwAyRcCWf3vJxKKDXDMkTx39YRYArpfyINoElfc3bGR2WPK51dgU2Y
62wgS/S2Ok/dJ5oANZgGVaTjFBRgenabKE9ktqzowSQEis9ULzsDc8dTZ9V4V2kVZn3pt6eynYIL
RrApQrAn01L6h4VSTGw2XNA/CURBz4K7auL0SKckvGYVqAQpHH0swToVQHjHA/ec2HOn0pdZ45UQ
aKZ8UaYJ81TjlNWsK2l6qBco07LB+CqrVFl9Hrw1vAELN96CL0Daz8IxzoQi7bCzHRkjsIFwf/Fu
SL7RLgaIM07V1UpoOhZlGfGTJcz+0CjHr3Vo5nsdkTXNQsEWlZNuwJ4eMSPzYVzoDSp2cej6JEEB
4I9n7luN1QU637Q9BylH9W2q1vUYAnBmecPSY786eTLpQLLFL9OrcVrLSzsP6SGqlv61G6Yk3nWC
TV+iik77OG67n4z2sPOIRIwnMg/AkloOTkuJ5x6X3slpjHjOqAt4rkq3vHgighEIOSY5VWKD6aEw
h/KoHmgBuma+ghywyb2x3eGLN7uuD95gDRJFMwtAxDhpRu2GqrKXhM3jK7RbyxnsPSlShj0Q2kN3
sNSWRZR2+s73FvXayg4xe+LYNRAEIJrU+RIlU0ef4AUbEvWGdtxplHnRsNY/a2KnXDeKQ5YW6QFl
kiY/oUYeLitEFzeNofMTqcrlNZJN+q2amRwykBaEF6vnUoptz/Y86UFQ9cORxJE9BwH0bLs+Xr5Y
7Tc3XtdPBUkX7mft1I5ZYzooC2Hvu7GBTQrNJ6AawVRuWs81xFPp9RgNrXeJTMML3hnsGSMU7tCT
z3McI7scQcz57bQe/dLosy97MRc6CkaEM+uqxzRsA5uDuZlPlEFdlvtAhzAvOUP0gRL7UwNmZM/Q
o2wnsCkcQk/os3DN/CZQG6HCqHkxkB6jINPmuQy2qQxEybvUiQiGLAnkeoy9sPxsaRC+kECQn0E8
m+sytdUnOkBK6I+47Apa8ckfmiULZiqfSxE1SCc9KNBU84TEuNzpMvayupse4vBzVbkhsw7hteQl
JlX/2aODBwaQPCQL/IdtMrjcS9J95EicQdpnc/jB+mxFclIkSV1nsOvBg4kaOxsgw8/Z2rx2PABV
SlAnZ3OtR2yV1TFYSbCfY/MDAkJ2QC0f5ZMM2L7z0ySHEuQcqB5WwWbxs57O+7Ri0JvA0FJA7I4N
ul39K0v7w+z8Fydw4Xqc00NgIXWGHIcfIt2sj9CE19CrptWlHZafREDZPUESk8XLEpwbALs7BTTr
3ODMmSPzAA8E62KxnuV8EJDwvnbaZxlqfOw6SITO0TxGO8Waad8bra5BRkC56K+HLoYyO0TClaOo
jgtt1lsTe2CFojU+UjnVudcvKUoTUfAZLGGAVPBu9ZUHLrgV+1TjZBVJxp0gozv4cTNm/cSepSX9
XloRX2kB7MBVsMgadT+H5KWJoz2slhZ5CrsZenXuyfTN9O527sqzHuMnIcsLQi4AI97oq1i6n9CF
f4bd6SEB/S6QTedDy1+Y15iD6wBSJpq9guxXuZPVXDDi0yd0dIchcwxeV+YjsSIVgnwdnHgsdcEC
b9/O4mqtE1D4VfzWL0xkQQ9UG3QNKoLKzPMXkOZv6wILbTsH+ynhjckts9UXT6jKQb6YdudIiiWz
1mbN2IQH3+2Wqfm6QmR+hG36mk5PXrrMn6Z0YrtaNY9JWNXHxLAul9MyfyWBTHerWfRxQQ1zPc+S
HOXabsscYl0aNsnXWEXDoemnOC1UbeSpmWLAo6bdyomE1ethND5S6EZ2UeZ8cJZ6oUTu6359oEHM
vkO7ZMmZCA5AB9YwlXqwgAQmvNJpr1SbTfUCSiqQ2/WCqWtfLEBnA+DCL/UJvCNmdGI6IbNN29fq
zGs52DVV1WPWIR86JuGckBs96wTaYTK2U0YYQNMYaqlriH6bXM5B+S2tuvKnKmMsQNwVFAMtYTZD
KoJCqgjSEWVRhWk/FyPCC3CmjdOw41x+A9VP4NSZUGOMAb2C7mG9mbDHfU6n0l5IRFElNwnZaTvF
3k1LaLPsNLMoO+YEYcmoNswHf6tO/GZdfrQuMLdtbP1rz+/c3q9kd647U36regKQu4Ls5sFXVO9i
KlGJVG7xXsfRxPSi62UreZkGVV1Tob5Mw4LUgZPYOwg/lCfk9rg0iQeyq0cU6CB84dBJ/AT1lYn1
c8z7oGgk0r8sqsUdlS7v/AW+VVG1ucOWfwo6hY1UheU5rClAAYUiP50TYAQbU/N+v0VEZGfHWJ7K
OARn0/HlgIPt+q/v/wtL++DBi1H2j0nLDgml7ggxiHhRvUYNtsoAKEEamlvjkPYQFJvgetwQP7IO
g9nImmZeraf9O1AM3z1olHWE/LcDbsz7RnhZ04DXJQyP2NemO8dODxBcU/VlbDReoGlxRcQRd68A
vNzRhvtf+9nDVx86D89sVnmCcn+961bku47UUKt0s7uswlqdrxD+nKIeWLigKPumpRZjTm07HZCq
obafZ57IYulKSO0aB1QE4CWCAaT88FRLVozRQiH3L72+x/z3HLmGjlu8APxrDl7XAlFM3RWTUgWZ
z5kGJDOVuoZ62Y173RkTXfNJezfUN/RqbB0YMkcBXpWuO7/PO9IMbr+0+AKhAwHOJXf3tVYxyqSV
bM9Xi/IngXARoAjKrHs+b2PCZ7BsPv4T32qFZnDBsAGkzCNfuEsAnvswblCcmgd3SWxpbh0MDfA/
wEITR5gBOvJwbbZsF+Rt/FgFjOxYvaSF4CPw/ESkxTok3tfe21zoQyRPybD9dtQYLT/etBUQQNnL
ggvtLBSqtJgM8WAHo9CcdhrK/EZh3tcE6bWfAGct3oEnnwTlT4eWh1dLi9kUOly0Xcn4AihxCAts
58uTDlb/mvmmPC9wY7+UNfRatqyxdEiNJQz3J7hJo8tzKfzxpYMn9cQmaMxhPV82UYrkpf+A4gBv
OARQXmRlVXXIgEszHNjQBNeoW+QXDaVbk/Ue785QKrnLosbgwXQazottwQaqq7/3rhcvU9rg1uus
ljPXtjzB0IcJOadEvThb5ZUHRE5P+Dsmmw5azvR1pmrJa79B6aHF2+ClLGcg8w5qkeXZ0/g6WpdY
7CtWYDlbBsRiYHBnLHpXQfVyCQGBXwQaJHyThlqau9j5V7wK4HIL4/JMeYgn16h8aDFsHggPNmKV
gRZFd4ZtFhgBaI4KyGXgS48W6AY0akLDZsySxHmvmy/3BVQkGXNwsVjTo4SRZUR1up89xEcWYaSq
uCKfHAoCNCUQeGEoSzAHpWcx86goz00V9CXyAAgFSTKnBXr0ouxL43r5kcaok3MUGOtXNTbr87qk
YKEUEnIJKFVUuxppBXZG0ULFoZbhpjZ6/tRA3f9dLFH5sxlXdl5ozW1WGexMUWPQq4AmtkILAcyA
hU3ltzamdMiUDGVZJCMA7oKLZrR/wc//X+jwyYof/+d//9YM55+ddt61q9CiAP3+b27nX4QOHw/L
/uWP/qlz8P8LPIYfUJB1EDkA2P+HgRcnO8HUGgGr2A4epu8u3X82g0FrbfQ1A+/mhWjQtFnb/1vv
Gv9XBEw+ZFAl+EgUwcr/0/T/D2rlT91g/I/8xdYEBg5i1GebYhNnTP2OsWOJ1TJ1ZXVGWQnTVxj6
yb3xsbmiaYs+NBPspNim0bdlPQlIgEzWjil7gCxAH2XSL4dw8qeDpxtsgb8M478hgejHPjWwFuPl
qJd6CE5wMX+E/1dY9NDDBY6cZKFivGWs825ThyIma9+def7m0Xt36zUSQF4VMmwNKLb7d1cf9F8+
dkqawuwn3p1/bjMB2nc/YFQr/1tf1xo2Qb5ZBh00hmnB352E/V+2wijWJD2arnRF9Jfr0P/Lgzi+
GxJrC28iVKmbT5FRPj2k7/bFCFhiD+ASrsYUhPcORSEqZsmQps6b+5GZNLxDLjk/sVHwzMiph7uT
Bxy6edNOr73tvYeoDEc0w0D+26J5DWyDWdrR1YeOPqj5WYcj7/bNYjl8yxDb3w8bDAcIdg/7/+e1
rMgBPVPkeapa/zDDP/GGdjbylvV0LeJWXfnVeBZjrD4lQ7Pe+Wy16Gcw66sSe8t5JQspmsRNMkMp
Gt9MUWivh6rek6btgKjO/vgA+O2bF7YqI40ax8J1vP4alCUoOW+m5kLAMtyjpwFbEVYtjCHNsl5X
iXuE1pffSjvDfurYkGTKwM60hx4mepWqx8YhapWtlEYun0PYrx+8tBMPCzbEvC/T/o4uLqmXPJR+
dwkHrsKntpLwV/ukuXVu2kW2RCnBuPlkPQ+QYB0OpzUW9MB5P+xFogE8+zKec4XODDs3ANFewxKs
gmMkC5037VYPYEnktMnBd8f3GPXpKo07CVKGe+cKrb3PoOXTcw0OoyrKweNfhfbVpzEZ25+T8ROa
dzMRj6ie3U04BOt1uHjJ9yqp431U6mnXT3h7ZJw653ZBh6Fm1GhaUy/R3sEQClqlE/VLh2kPV7lc
cw3rK/STlXnwksXc4DiF5YoaBRNt1LBDNNV8pwlq8gDQFl5Ihw81tjjsXg55voT/GTK9Pin3BuZ8
mzvY679SXCQnKydZmbJ5R5nxX4KqrfO+tfZHAKfLZerrqEjXVR4jES0m120bf1PQhEKSmNQw3i9x
K4vRhBbGep0M9rCMwFOyhCoFz+TUJ0FO2cRH6IqZLXjFUdEB8iaf6Kq2FJ1wpCoQFV0xQUe6WzGO
pyVxEsyFz+vrqosHVI8GoxfNpcujpd21aqn33AYU+uq0jN56E5k4a7iRn5wRwzVDhxgMn5u6C4Xx
cx+OrMyDFALsjNXpJvPkUbkcFrTx4UWgmblPBq+hh6Qb41On5ROrjXtNFrfuSqOiE4s3FCiGNBH0
PBlvEAnNN8hcU5mJNLYwjgILgZ8UtSHa9JjBWIDeMnmGVozNBZ1QacIb5afLTdiL6LT6DuY+uCcT
6KgXXffXdkx0ANXRspzGCi2UCoUggr5bqN1u6YgqBAbeKrhVPDL3sVwAUjrQiWtmoSC6BYwmDiZA
K5IMHbBGApe4LxbYOF18EyMcXPU140iaS95/LvUwPTRzqMfdyoPwUk5muiYTaOsiCSfvtknb8VMy
BgDL/Bldd7wRv48xR9lO+rY+L47Kiwnq+q4JTPcken/4lFLt59CC9fBEmQ4y0BHBF42Dure2gvAz
a6IGdiESyvhONZaTrwK2ZZOjfwN7CEKgvrsEqgp8FCFjuY+8nv2QLpzOtvfNtyqteY6Kennw9TId
wQEUgJNgQKvmsT56QbsAG5nq6KpmC8TsZpGPNBxdm5V+XN9vip0vI0S1D4lde/+opKruoigSkMpY
3XFQSbV6Hq03wO8JISw9yE3jXUKy/AJKApY26q/LBRX8MmYVypU6g30YLSI6yI1vQeuBFqOLwu14
pZefiO/sgaEFBjCMWD3HhOEWFfNgfkds3rcWaiTZBetuMnTaITasJ5Do5delW3z8wKRDnMcihxoX
lKU3DjCuuprkzOuDIQfdkVz7FWVVltig3rhWfzqz1TTladHTDKAhjt8/25Gk9VXvSQI5b4iXXPxk
B7DhrQ09U5gUZEc3reHnxtfiBPFEcsfgJMZd+7dgUmBTGO3CW3QouIYLFyGH8uvKpuXbqsYTS+Y+
iylZIQHvgeh6cPEKgMU3lo7JIRoJAAzn1uB2wEKPMtOk5oaCDMqDYA6KvrZBNkv8aFKPPMPKNd3L
IFyvIjoBgFaiHr6Bd1jelpCrqw6HXBTojrketrzklZNufMMspWEe2aRB6GiTJd3ZuqyvYZBb6gzb
qbwK02lVGQ3rJET/MJdEu9kSGxWmlyzcW0masVjd7H2OW62H3RRP3Wukk6rbWTaEKyodmJ2LVhFQ
8xqts9DlCtjVy6BS7g6iaxaSzws8CY2qu89I4fC56hf4g5Zb4kXdg/Xix24t6aFt+6rfhRF6vG0I
bXhRDdAJNEDxg9sS1eMJKdb4bMdS7/VM+mLUHr5X6aH7CBZLOzyHdOpxzWb5Hviw4HlxGW2bqOwv
6aT8a4VwhlWkrMuBngRLhrwLBQRHxyJMkCToXnCg2zdF/BgACeStuWmZOLfoApJkWHUkykK7lnU+
c9SAUM5M/YOpPX2D5l/2Ho6t5nEF+BsWsfJDGEp4QNABRT1UzGCzpim91KD1C4g9guC62XpbFmij
olRuIljJM9pH1Y7xeinK1iZvpl2n15RNwPCkI+ycRMpsCSYN5K5vR7azvtNRJo10p7SFCzBj4xxf
o2eMizLR8DnIVgLiJkvadrme4PAQmUEcaXM5oJMU2NlWfglaIHD3cJf24PSw6d9j1TqTeZgD5Y6N
PD4vLWyjedQ0w3TsJownFF9lXWJrjZB/jTxMH9cVre1GOD9hSWltfJXCR7pmNQvFIR1j3l4k9Jor
BBNJf9MCgvgMKHp68EOTPE9l2h7GuJI66+C7eYv8EmZPNJmDj0nJFYr4qgewXPsOW8YEZQfgRuHf
BfBh9+dUNOy2mhPxkw1e1OTcA4yLJmnc21gikqlwjmHa/Kt1Q/xXI4f3JPv/l3V/lXVvI3gtaR9+
VM3/9Gt/92BvSsb/d1H3NDT6x/f/9ahf9A/1azkYbH/3j7ouRvuxJAzRmmnrp/Srcxsnk6M3ODTo
KNOQrca/GBnRNRzU+Ham5aZqRy34Dxejj4PmwwB9DVAowtydBMl/UtWF4W/Kqe2OcDCingvRFYBB
6vdROeW3cvBNR3+kqOpmtgtEJNCH0hMLvG2UzqJ7iYikaj9MViFQAmqiYCjIWAIVGWQ0EADWa5ec
WU0BHHeMYPUY1nN14bQX6BU2disVrxQ40ToWJMYqCfMKmlz/RwJQbH7gNTxRL2kKiOQt7MMpvkEH
j0mA4/UbhUeJBJX9LfJobdDoiVOJ4mI0FMY2H01Q8MiArCHPCfpwaH8ShRyH/02B+bsGE0ftQGEI
pVu86SEx6t5WGf+i303QBmeu4zr9UZoRUqej7iMeHXm0II2DFKvSYCQcOqSCEPPKJij3v8yof1Pf
bh4G8T/qNtw/SUKI0OF+2CpvPMzv93dtmKrYi5vvrd+FXZPrEZ2t0PaJBWRq95CfIagUstYVeqSQ
iDgx3BkUYwo6mMjFJjxr8J+qy8YRdgD/BgLCCb/780NumttfnjHBGaBhhL4E8HWD/8e0/P0Z1xq6
w1qG5DvSr8ULisolVTLteRpp6EMGqeP4uaMe2Iw/3/fDt9nuiw58SRBQD/39wo/3Bf2MioqE6Xd4
w7iKs8UTXH2t0XxoqDLTNnNzO5S11jqra5Qecfbn2/8uEY5w+wTG1a23WQTWEGvo99eG+78h3lqH
3wksHGB+qfFi+oKFRPRpdE3Cbxrijz48d5OdHzvlea7OcOwXx6D8p0+CtoQxtjPYWlAsvTct/GWS
ot0W+rhaT36PYoMlt7dgofwO9j4zqwgW/TKKn+WMIZgyFaOtwzPAgkWy3dLA1mn+5qv8rkHFsIDU
ilJK0w3HCmj4YTag5SEylW4o30rmBioP4yT60u7grFXMHlAarZgif35//0Mkwz0Zmka+L9QQ4fSj
FLVirkVjGU1e6wZ4EzmuaKeIBdGvY42moYBMIrcpz9CCAdg09FoYCAq4Y37sRdzafCDohPPI+ho+
vmKiowwe0I5nUK9/fswtnv66TuAVgjh+U61DJo/V8iGWzAb9W73Jra/QjUtMAkjEPHwfbzUhmhOh
TddCHkXQTdui0Wbc/tHADvg33+dfBsuHnDzCGWM47CUKI4S23+dtOgVKWxWPrwNH7ySSt4heyIYW
62lLr8ISfsMXBRdi99LDAo2IKkWPnkzHlLRo3we6EtF2i/y2xl/BOMuXKyiQBAR3fx6urVvJh/HC
IIHRh6gXXxhC/N8fdAW4KNjgwldVBjHpd61Wgs93k9ONgDMZ/ZjwcAT4In43WvhIbJF2zpJHI0R5
UkxyCH175zyLSncadJkNkJGj9+VMPcIf0Kaocn0OQ/yKkBiQ1vrD2YOcE1ftINaapr9Zpv7maP91
AiDZhaGAAY+FTYpiV/n9hTAzh2mBiPc5AaDRQh7opRRTsSxnxqCWgpgdob20f0VPPsPbBcZtCycC
ah78ajU6jKf9DB3J366h6GMUxyHNSEZgdILTaVu7H6ZFBz9+X9ajeBYSq2jahejwG10Cvw7RnkjN
FsPByoW7z329okEKuDZpoEtAwDfxQ/V/2TuT3biVbF2/y53zgGQEu8EZ3GQ2atOyZGnbnhCW7WJP
BoMMdk9/Pjq9791WATZqfoBCCVuWlGyiWbHW/3+rWxMK5zUaoBdtmd4/g93bAoRZjjU2+9J42+tp
exExhJYx8MZHpYtyfVkrv6SaaFfVtmnlPP0NTtqQaCk5h5CifAlBOvLuhFcsfOlXOwWIpLxe/FDY
be+unNOcAANQJB8fham1QBNufwBBWoIHrjy3mi02GBQEwC8zBcNOHaNRO+OTJCkw3AFCSshlVrWG
ao5GqJ6vUsnm+qkJm0S+jACjGWRBmBJnjF3TEqL8frC/XTV5+oENvhMpCAUA8cPs8I8lXCRLg3Va
VZ9Xp+5Rv8yuHaievE3RVtfCdGSbDr//xLerER4PaSPe36JS9u63n9hrRL9TLaZPKCm3wTgZuS1/
m1ibzdsfO8//nBRiZRBOMKh6NNssLIzT31/GFs7+MikwZ/wACLkeOA1JlPzrpFjFaDoEC/VLLZGc
CyDTxrO+t13WsRplZd84B50Ebf4w9iHpIXA9XpseAL65pF5wQsB72Q1u2lEmDv2nWegqXEgaO/74
CHTNzuPOW+f2lkFkZ7vClgl+X5lgnWKyZ5h7Hlu8S6FAUVgO28wf0XK/c9nvFToeCJrzn8wgb9c1
7ApUKyB7utuZACD6m2pK6ScZrqw+eB5Ng/zm4GntEsSO0HWnHQdsKa8yhzwv8v0yAkK/I4W0jV68
zBvjRqAAd5OnZPa3b7pdvtb6Kleu2JbIDje1c+woV8C4X72lZNYlU73F1M6CI/pFB07HNPrDS3yz
soVEQACRXVY13iCtEd8s1Z1o6rWFN/kcDhno/SNS+e0CBlDw29T9MY/p4wtc84g4YZvirJXbkqJV
x0ZDqZow3pm97VttV9IxnYN7IK/yid4D3Q4fQOufk27mp/JMbLe4pLXfH0srgG6psKCKPl7YL7jd
P9zamyiTW4s2j6/DVLGxSr51LQ4zWMbKtMuzSMdtpRp0x9BaqzVvvw7UHtDRLUPbrS/oorb9sbZa
hxcy+3WVLoe19p0hPUbCMtMzUarmcUxBIRh9YlxZTZrcihhicqrUtroZls2r3EU248YDEQkfmA+J
zX9xxnJ4FCREeRTDEGTWEHuVKZgSWeQW/Nfl+WxL4dZw/v8dbB8uW9Q/vVZv5ihCU0F0FbgehtsI
s+mbOepMq/QXv7M+jAA3WB0u4a2bhfNYxpwss7T507LwZjvaPlIKAnubbcmGAPRmO7KLlqhVzcGH
3jiMkGEZBgYUez/PRxZKUhFIJmxoCJ0q7HAakn/SELKw6PGUJj1XwwO51jApjskgQxYDJuT4qGnm
yQ5QW0z8YW7YqH6+trSbGh7lXIUNc4VZtL2OtJy3FwHHxOFLtBTR+Gi3dcuVeCWmhJfSH7Zz6u+f
tozEr2siN79tAiwSWGbxcL492RAO9lZqz8uHLIN7S9nSlELhtAOUcPbdVWpQNJn2VbiLXDcClKt1
l3c3dmXETCMFoh3rViOokvdJvaU7u6md0692DptmSoz00eM3bfVNFtWqIbf6tf4yYTZBPDDirgaN
UDSRh+OC+LE3x2nyqFAgQkxAUmKZqp07YWsn2jeNjpy4mAdDaRXnSEe+O8P/QjoyncuRyTCuGjcK
KTqvQCQfuY6R9EgYFrm143DMhEoymjInIX5L0uF6yAIiszhAgLOuHGsZiijEyyUxuw64jH8coyAF
BFTj9vgw+a2bvxhZpcleyMF14oXzaYsUHpk4rT62QgSc8iq9Clwx7LvWntbbhCSafXImJ3OPqdWH
mX1QkJXk8+KNaWlRb7Xn+QMANTHcW/3QWI/sGIH55mnf16Azx7SBGEdfjKx/H81rVZ6SnOzGcW1l
WJOcLFuBYDTQOC3CV6cuwuZb5qp2nPcMlaX7HplhmrCDVIDIiqshaTpvk3fZXuWfktoq/TMIVKss
qUEpFyXz9wz478BTnh0Ranm/inZkSK+OJif+Xvj24NuHpqFwEVwbYDFZddd4c9mlh2JMh2m8m7wk
zfNjIuvJeI9J44oONaXMNoTJ7PnUEzBg2GzrVR/meGBSS/odbUUSvRbL9ZT2Vpafprxmt4nLaJIs
sKPKjfextYzv9dcMjslK4kkQtjhno4i6ot1AMWT231VuEPBluHzTyinERTsU85KPW9tedq+r6SJ3
vCl81I/uFT4tzJrxUnilCU4zfTKQfXty3PZF27NybicVAGnElzlZfPTHhZeBMH63TGpSwUORWMVU
HYNSoGS+LtEKheM7vxBejrUniracRKAHj+w8XHEY1rdSVj1PCtk4S/Y9qzZIvltLJDqoaHvT5U71
QNsLMuMH0tQgPg+QHgTXzpK1XRJQvIruNnaaLXmHr68sdLhvyNZ7zUc3dRs+D2t9FD0joey6WHP0
5sm6oUFBOuJTQq+Oe9BLCVl21Ly2mB7JAXdP7xEH8dKxyKbtiYkKbVxE5RBCzFNTB9uSL8chReUc
TWh1bYq6xBungYYn/Jy63Go2eCuPrysAOQbsJX3Cp1WZwyGzcfLt9ThKZq73l1NhI8PiIEmVD3vL
WJpXYTVlmMnvXceBpjvqPCfSiqfQWfBI5GHmGYs3KE1nXoaiMXnD87KytT1trFdnvg8pX3EpOW9a
rU8+I4tPEPxT95pY8zbAfG1tb95bLL5XRfX2aMaRsnnOFoufkGsYm56PjX/ej9YgZF9JuGV8zwPc
SDnFk0lE0WeKSADtFFVnnsXP0ZOsfcSfDApru7lkWH48DFLlvL+fMS62Bm/7L5iMSAUQ8FpPPx+1
dfnxvx/y5efIFLjlfeBC2wgAu1rZ+Frm4GX0Ce3Bwk137jrzWakr0tx+4gCettQ7Ly+qXanEpQdO
3kan140TLYm3c8psXHw0F6blKY1uXfEjriLHpmPSHAn07tJGw4pRqUYZwxwNUrt7jS5PsFXMINa1
yz1lbs4ZLVZt40/OxvfeTuf25dVehoeflBXPx5c5v3Hwgmq7+XlDv3bH1NHbx2Qy8/nm0nZ2kD3j
HpZmoI1SJrbHexlIq1noGHPgJre/4uS65/eox9GGZdcP2XbplwdqrfiQNA1BBFKYg4UHAAHoCsEf
Fma6JZHg3+amZU5HRbplPvqJ95uPgdu9On7aMHyoJtXbzeuRYBcLFmdr/iDCAr4Af8I1AlvX3qZD
vXrb9TfwgbLp2WxigvzYpCF/F7Ofk4orpA2BM9yKy1jJiz4agtPPRx4VI6rgw5yLkj/CDtDy4YXK
S/Z5QMyrbz8TuRUhtfPOGhoMLn2KGyX2iqzlyDRUitxmRcKAlA2vKTPXQZtu09mwv/K9cjF+ER5L
gsV5uRHIijFWDrJFJkuBSlbID5I+5ZwPzgFNCyyoDvHJjqDRq86IQfj/pZ7I23n25JAq6sjlV+ex
HBKSApMu+HQnS9vxxcciySkAzPo29qeIpbw4zqJzWWFCuJkGvH/NFlsfZqtJoh5XCVvV/Mn254L1
BkNbW5ZXP9PJxVBlujiarOK8+3WRvRQCm1zG4ziJH3Omayl98tqRAyfri8hCWN3PnZgy3PfD5dbn
KO15RELNa8kdlVDmAHyttsMqN2i5PT5nVtuoIV+1DfFL/jTsMcvYO8eg/rIoYOYuXzQDnJ/vcrKP
FqqOlbxyJF1UVDtSFotf3wvlaH7Ch5zAoB490zOuLkmW1aEjUHKEYa8T9zqljQp/Y72k3hKO5WQN
O/oSkaJMnJKjL1r4sm3ioSIx4d3WG+oZ8B5GHpLweAkHlkrkpQt7HvyQiMfMWW97eAZUHc8Xy0hJ
Lr6oGvzNt7hDuMtPE+EZlb8p6bXOz5EotiRla9ju7qn2C394Dya/XpLDnBSQso7+pLwKs3VLrVbu
ApJA/meZCocjOZshtXm4Z3Llrvym3raN2ku24aZd7TD4Lk+yGKDrnkVuA8m4mVavToL35Wom60kT
TJNVWBU0vc+st4wva1IrT6Cgkcc2jBQd1Lojx8stS1VRRd5yAVHdTuqzH6GRc14lMtjq7PudWpIj
vqUex9WUg15LDuxoovJ2fUX+24rDCtQjuRmJaPiDnXZFCr3WW0Q2P04BsU33LRpzbPyfeiB82j7p
0ox1FFvu2pcvqzQgwHaG3WHmsO84LTFlEHiRcQyjvC4iN8Yht1jBuAsmKlN0ibjcyeVddqogQRzT
HwhDzCH5sdxU1bitf5hJttWE6H+bvHlfbz/R/Mje07pr+x5OdIufWNJl+0Ec+x4/wcl9q23kVaKY
yinRYnJeh8VRh4KJus3KqN7+5eeQJaZkJQL2tv3TJQW/LadWGuuZ3ijBznG1HT6YLEgRAE30MONF
L2sSudcTtmd+KbXWLR3YUyfiC4R5VosOEyVsQpv6w5m85XbloO341Z8f5OmILQ1lNy/7cmJr8mIN
cGA1ysj35WXBKi+Jxg4jH6MBF/eWhOxR3EhJj4Cahmy7rPON9WRyT3HPw0QVb7zJ3XQL4zAo8RkB
7nMuy/yYcOAI2Efo2EJHDEIZdysz7ptp3sZkkKxumdMgrW/q+pAV8EKS4+WBkAfeFr0SGyh/F9iw
VdxmrqiC8A+JrzcHenI5rA+M4B9aW/A4b3IVyDkJTkvlPmUIqLjqIE1nZsPUssx2AJO5iGok8ZKh
req2a//D6e7Xs9328f5WqwFYAb6GiftrvkububWmPiBVdVkaC3LAXAXnAGbS7z/qTQKd2QQXw+az
SFnx//52rP9HUnGisU2YEEr+PUbscm7buFOJlO9QG2+jOwJPwReTF7zhVmrJK/u5OP7+Wn5NIXg2
7BP+53HzlMMZ5+6v1wI1xyV9W6RPEVU1/3NO2z6WaKSAAZrEltD5T8/53z8QNAyJA3x/SINpDfbr
B5aZtiGp2cljNzdsFCnWnuEaviPL3M+Z/fsbfMtD4Q7J3UKjg06EFht69a8fOFeFTOlT4D/+XDGm
bN2S9gv+BM87zrIPx2OhklW/N5NYYH5jzGWaC83SYIH4ZT/6wxX9OtJ55hylQjqBghDGukB18Ncr
WiLbmoJFdI/VZVJNxHXM8RmPH+t6DqKOV5BJujW6+4jmL1xBZ2XbhRRgNswajx0n+6NXi9azdzNL
C/DRTnX8OPMjcc75IjhPxtOlnqUuy+zvb+Lta+TFSVvY8DNIyWLcfPNU2Xe7AaPneM76cluZ1h+B
kOq9xrxfrNDIu//88zy4gojqbRtY9JtnFsxEI8B1zPnntjenW8tBu2Vlhcjb5+l/lFoD0gX5ha6t
TAzBVP235UBMCZnoMS/Ol22JIHl7G0FZMS8aaCPc8u9vcFtf/n8RivxsRPlJMgPRo9BJ9m0+c1rW
OderBw2/sTSMiqCuA/HZ10yYP03Bf/8oXl1IBY+eAxwy3y51wOUxFGKNubqEIqNHdoRxhPaXL7+/
q59SjH/cGLlCPipCIPOjMB++Xddtm7pMkGf9Sa+unfUHFxwqj9JATDLtv3qU3DSgBHBDbjUCIrBy
WgTskQ5OfctujQQH/2WpyPzcuZLcg/1QJzSMbK8WYgOvPScQ/Z15iROXktOnHm4dxyBduLJBsF2Z
lQYcNhjHvoZm55FquxOz0wr/IbrU80qfw4h4B9eVzi7garIRBTBBjp9jEKYp6SSuOGgEeb2v4Fbx
Kn4GKAFSe8YAfJJtKGzICTYL/8cydjlqlJPN0k0/AJelm6PhFgZMI237rKsWjEN1blzDDxBi+SY4
i77agjnrEtsAhCCvsrOxQK3wDvqhhsPX9Brj195XQQUA5O+UR8e2me1+BjI/IigqaxPPd8VayyIR
dCOZJc4Wpe8eVNjykTV4XyIFm2pFnsbVjO80P5HPr4rqWRD2RuLsL/QZRGvq20CcbnCCYQ2Ml8s5
LJqWnl5nWWlq0q5kYAKqDLsiG0KQHpZp0wnTeAed3XMfoi5SdKlNO9Dm3Qdvica1/UC9YatoEQNi
Hjm3Q08R4QMeSqjT+MwlcoJjpjvHKeLaIej818LRsw9vPH+e3M+ONy9DeCZtlqj3TRQVJeDkprdo
cqtYOAD30LCZWvqhaRfe7X6iWRZ4Rjg0ZPtiQjNMJfGC2WC6w/M79LiVK5h8nKajUFMXzTO7P0m7
GqZX367LJdsnkoAbdHbQ1DA+yLxYZgcbdSu5/VyLOurhqX8X1qzbxbHJKvx6RNE/4iwS31ucuMBq
5stlaFQ/osEmqEqObBpkOTwR8FQ+RBX0zm3AZbglLoKptMboA4t4Gz6pDYhwrHMv9XZZmk5P3rIx
Cpd8Sk65HMVVbov1utbzeEUmo30MtO/GcIyzc5APaBI7OeoPCYP6CsZEi9FOuhkYB1V9TO1NYBs5
9J0JgSKeOOySUnIb7zZU9ue2ZDo2k/Lv/Cnfmg5nGW/XxkhNMx76GLW5ebcW1WAfiMqHA+5sgdq6
9+uvdHN9ch2pbrW00tt6xMrpAYaJ0b6kV2Nron2Gn+Y9TfY66voq/5b3XbKvMpXuFtk0ey+Juptw
devjArRO71B7S/50uDSxLJrgOPEnr0POY696bg2AgCz51iHgPpWzA/ppiQrvmBV2+6TgpK4IvgFk
IdRt0+dpXsMvFQ0+OMqb+gNdsvKDTRfjGwk0Pd+1liXuJGm6ox765ntfBMl7koc4IbNBRN8cSj2c
ZxzlPI5ukeVHteBsdnASP/ajJOHAUrDvl9nciH7DgHn1FGK9iJIs/JgD4VmuUSCYr70rCxxGRg0c
c3KE1iCFvPB7OHh0JbYSS9/UEXKEvXSG4v08ipJzUt3eev3gdHESZu0Xu+jV3RxI+7b3nW2EJt5W
Q03H6WYmnL23g3K8Jvtt3eSlyPD4s/p9o58Uat91DeEeDegKP02qm77T+XrGLu6sX3C+twjK8QPd
ROvaM3KzCqktiilt9mqdyvnGN2mX7mxH5efFof/HwpEqHiexoeFDUHM3eu700VXGvfW2psNkel+8
afmKKzM5S4fpM+JY2pNatPNdOtNuGsFzKw4yGJqzyqT+tKiZmMymvA0dxpRoIMo4oK8L5lkj5Bcq
0+1OuBUGYRIF9Pmqh/czkuv3oJsGMH7DkD532dJ91LOq3V03mzlOHPxYu4Lro+IaknNj4s0Z9hTa
yTxELkQO+u6NxZeiVuuOIk+NVJyWsUqNDqB+GV4rV4cxjI7kBnuE/NKH/nxXkO8fKTtIWrkOyQAK
yuo4kZr0bvOl5rvKKaMv2iKo2YfEZ9C0i757AIJYHlnoIY2AAgyuBqelV1dbo+2YMv3stg2dOM3s
nAo1+l+0SJ4nzsnPK6i58NQpuUA5qdPvCw/klA0BvCXCwOVpwL+c7LTsqNgCZMGwjjvFj/Ca4AP0
HHrG9dEz1KLoVcxKfCh00r6O67h+Nwzw/YiJ5F4iLDjRp8qFFtoNT8SX1s6bmvHOopHh5xWDw0lU
oGTihnTyOQOBxl42syLZRR6SD4KscwUeFG5N3xSn0jP6GW2X4Pqhcjh2g6XCF/0n8nLdQ9Rk+spZ
quiprvV6m/YFDi6MJdsxmGYPjbSHG23k9ND0if6gobh+pacmi4PbLZCeMJsc0E5O7xwxmNtZB9N1
Ps2CJhUmbE4gv+Se4zEKS9Ie0fVq6eQOi5x+v+K7eQ5JnXyCFTV8YMNP6Zupg/vVsQY0TH5+rKLE
u6PC7Yh4oH8PQPKlgRqDFu24plb7UJKCf0hxtnQxyhD7qLH+fVKDkTTL8Nb1TkfS3CJUKskO1O2H
VKw088rSej6IoAyvHGp+kKVW+Y6OSYLMvLa+WQkUdPtuwT2XR/FSz8S6+8CQ0g7vSk/Qcgdehy7B
NFWRSu4mS6UPZFmqswUU66Ua9Bd+JyXRmzsv9Kkz+8IExXmOCuSXnnLyG/yK7mdjJWaKq2yy75H6
mOfcHcfulNHTQcZR5gS0OGp1eMS9ggGyzkKFnbqHijZS74YFtNbBrliHaNzVImnOrUW9/3axOjhU
e9+eBk1jj5FCj4M5bLpuJG4IMUsLr1aU01Nipn/7IYuUfizSfKwPlHwXXC952eZ7SzceIkS6wFmn
YOz79XEJG22y0xZ62Huc8W3Vljy1dkrLm5Izua5iJyByib3aJOM92ZKij4Vx0g9TsGLsb+3Kv0Ou
RzM/LNx42gcO4sOLl3P606wjWg2eT+CUNsiKrsbBD248d7ab4sMqcCKCLpk7OzI3LoudfR1KKgKn
bmtMtM/G3jNPkZWW+LfctIpoZETLcpB2WCvnp1ygmtm5mazet4tjraeJg2YBWKdz7bspKuYmdunF
GNwHFcvpHoHcuse6n98ULuAF3wnKm8Fa5r54Vy2WH630gqyBW9V78jR1uam0lOvV74ZBFuEAb6fw
wYI0pm+ZDyHlzdg4i1sfpGMw45UZ1dld3ZDmxewH02sn6oXCT2CK8qrJpdfCc8H1WeakSfc0x4Ja
lQLB2tOxLMM2glXQuS5TrShHGrzreBWpfvuDO5wtyEcBvsNE9ruAfgSk4sjZvTjK0t/GrUuhgCvn
nto2oY81PSZcg6/QnzP8+tTmkaKBlcz8x8WSkB/iztAur4pZSWHY8vKsfM6/sgh1oX/IVAUDKu2c
OYJcBTckOyjwG55379BN2zxTzK2Tq6IL5Zd0HD+va5Y+p5n6nGJQLHYcE+qnCW3HIQkTfbLZPGwW
CV9T/grWW1yJ1VmL3BzHTEex6tSqdgEyTQVtyKufYBX6e63pBW7AnbG+jkP9dUgTACYtFt4uBeVF
hTGEATX3W9MXNhv5EOEfegoQEOl9PpLrYTwwYHbo4aZvTqvK9wq8WnjogyDFCtW0T6brh/RgZpin
dDmpUxoT4oS+rsHGwJPoqiPuF+8JVohziLAh3cJAs+7dcpa3rqJo2aY9xWtgau3edZPxS2MCc8LV
BVfKDtiE93Y0dv1BOX57Rj84IV3UU7KL+sme4w4qdSz9HkBE5NS0z2wRRJrr3ufmQKpYztOa6Pxb
Qt27OxXU1/aaSTnt1qXU8DxdNn96+Vb7vCC+4BKSR3ad/GhooBTT0zl7ofuy85nM23xEtBOdWjuq
j4EKigeLtsjxWPvZRwx9z1WBEizl4HYM3KT41E7u0OILa9tPwk70jXFFMkP3nIswxmAkIWdgUytT
mww3BJuYw654V3AsuRknJ/9aZiL4XCap87HE7HM3Urnde6prrwUp4xeS7265rWl08RGF3d37SSKI
W1kct0Eov8pyOwwvAF7ZtWe3f23H0MoPlQ+hdkcyGeNp4zV5G/c6nwdqTWtLsjCYCshjFesITU3z
wruvVO++ZnjVy51LI4xmV1RBFtLEre5i0l+MiWxRdDbxjQuoLEPIqYm1yvSmhlLyl+LUlsWlEsL+
zMY76V1EO4/xyhpKYFSqsK4AUbvPm27g6KxjaXb5Yql3njcXr4ZGPmwPnDyP4IJQQ7WJJ+4o3elb
ILYOTSZTQpq7uTfqtXSHOY970ozjLh+r+esAI0SfmJSc04wii/ltpGqFG7cYR9CyI91LOszGbK4z
je022eh3unyNybEOsuFW0tBlox15ybAHQ2h5B6ur0fza6+i9DH1VfQrUONMGV0DPsa3OPpspcJ6o
roURqiBiuJ0/TFl1go8y3LD6NdNh7jL8st0cEXqi4sDUK7LJwdqXbEo8fPce7UjViMMARQqDKJZZ
nRWyHI/p6FNKqcu4KAnS9GE7xoIsofGxS0wNdnr92MCYKd+5rTP1e04VScmSFvktcFPtYHtfThbG
1Ua+842gA0vpdLn4UiEbtZp4tMIZxzIFs3K278us9dso5rQ9S7V5QeveYAGcbG/ZZ9SvQgyiqLnl
sm/GJanLW2yaLlTE3nAAUw/VSHaI5gnIvCNz1EaBzAL7Imm6OjFVKKPgxhEN7uK5a/3hmBKrNdeg
YK36X33Xz6NHO9ky37pgd9TanhLbpfZyUgilhmavF2nZxUNhVMl7kBZyKZjzhg5PVG9AILXO99qK
QKdp1Rc0lcHRP3sfPapM2dMlWWupreAAPXJLjbpOMqvbKMKqQ8mVdZz8BfNwxTEvE3v2T+iqV+Zb
5wBW+2TUlGGXbEISXRYn26SYfLYIluPhBcCc6AAvElDOZ7uAxS1jk/amK08r1S3eFlte0RavIjTN
WNNwbDBLA72T24PZ2qKygOPm9aJOnsTgqdw/+AhVc3FjG9Ph2NyLfCDG4eyQdkeFSY/12IJWV6JC
usccDa02UREr5hLRG2gI5SkfgnpZFFnYkUxqHiOpMgAkDmkzy7wCn4XiJiJ3APPzbiX0C0FxVX5C
FWxMIgVTS3YRXe2XVcgTdb/6RYWmerZQ14AZbTGf7aRh7hxQm9Tf7IYWI1RpAD2Uh9bv6UA/anQq
826ljch7DENm+aGyv4nydHzwUMdekQfOaeORiLh0fXNfOOALD0rUiLXGiEKwsqqnAq9xcN0RwuEg
bdRCH+JmKpuTHmxUjHOooCUjoS6/qdUGA5loEFM7n30U2KFYl8eeDgIzAYJVHYhAOSEmhfKwXPty
qPdJHc6v1prMCw280qlzHkNMlN4eBFLzVdOSQO/6YuRo0KzWyGlEF052IJzQAOAyrxy/pRA2ybgQ
UeOVXsssPeLTGhPrWBsnRJzjdsA/E1u2LWwIu79y+jb4VI2VdPoYUmDaxiQU883hHSz9uQ592+xd
2zPDR6QPyCZ2WqGyi9F0dHTshoWFrojk1jnl5I17vCMOB69l5LybRBkcgtKvbqy0p4svwmvMFWjr
aBnaxe5iwJk1MBF2gTVkJ3wLvJhgTsFOoK276lTVFTGoUvm6IlhgbCTRe2PZG6MZkKnvKMhPvOw9
DTfD6FCgrfhuIV4ieQhG6M5iGe4/c7icsvdBUest6gJQfUUE499oetvkryyRYjmJURaPcBuSe2SS
6bcUfz/tPKd1Rq6WGDIj65rTgx4CEf3uPfMwady8Z4WNjepwULespkGNWaH0okeH9GGwj4p2uoZd
JPP9hDbmr0nQpSb2yl5eNbIokCdq74k+fUDA3Mb+6MMp2EUBOsQMwBcK/X5ddliOljOeSjff0/Jr
xNRFL+t+B9g5Gq9TX6NO65sVOWgK44zLxWKMNILTcKwaXPFHKkTUWW2BsXCfjgLUBZFPQhZmUAHy
QpHCcdylzdLfC6PMXeo6wLZsL6UDOUII9WGagwHV8dBwl6gBgs9SZ9CLawLwd521Rbx9SEvUHTE1
/Zj9MomQo5Q0ptqzoRcor0iXPKxAaUE0+ErBYR0R2O2FXeeHlZ4ZZCg85HTIRmraYAn1r6nPmoOb
9CAhB2/5FLBajLfzQNPdfdWN4WPvafDUg+V5HQeCnCxQ7bb3okrcW9AIZYBMKFnqnXaS6NayMvd1
qfIScovqH9DqQfbMQ/cLrhjTUGcIoiXOvb7QcYBNe9kb+ov3u0rjGT+YjCavrL9aVLeF4y7ecfAn
78VKMjWfyVyVgmQAzSl3FdSHT7SOS5cd9mV9blGY2IcAKheHgsjF1dDRTaM+1E6RfQBVoyfAn+zP
I/H5PhO6A8hPZerdJCbS0MJtk3NY1eJjh8oi3Y2m+iT6uv2oh7bdZXlD7hFFJUKpdGTIV/pTak10
Giz72Yrx6Dv32mDv6cm7fG5SY13rgkm9BzsWvAOW2N4M2OhjTuTlHXmB4MpK7PCFjDH8gLRJ/VdI
2uIwS7t/HOESXJd9O7hxMYbTFq3REBIKMimeoO/Dq15kjb+HD0PgVOfRfGrotVc94pbN95rk1l4z
1IGTCs8cCF+c22ZpM7SBk/MxS5b5Y5QMDgxhY2Od9MpDHVagGtEW7qUnh+eQcP/kyMR5bVGgf7T5
FW9nzTw4JP8f8dyE9zNF/pOCGLKbQ/MFgfLwoIy9QBwbWtthHqwPUWqVRDQO1HT2A8i3JuzFPoRt
SBbNups6V/9VkOwA6cJBpWsh7e3mzGlfrLCST0WGeT6WZPWvlWocSmEoLaFRfF0M2X8NVJh8kH5l
gyrrcU8NHBfTR060ba0etexb6b0bCqBK86EPcftjWe3wPyMSmJcCpi7GBiXadzRe3jyCk4tXw92L
1p6H7No2WV1g/gcXMDwn+Tx5X71GtuUVjKl6kHEitT0AnBg9OWkWrxI1CzUt9BFF5ORY4xHeOSth
Y2iDJtalr+352kD9QIDnu7N3BGE4hZ/9phlYVDpVVjPEpcDLbDrejw06hb0FbTZF0EK3yhE5MmE8
qqoFLzSTBhm79JCCZqr9bnfWQudHCpoI9Q69mpYSmu2apyVqIZUmm4icMQj355QW6Wp370cRDhxh
cjH7Wr+04ZTQbIZCbMi5D8tQPhfnomh7miWCQaIN2sFWwvTdqynX0QH4VqQqX+KplYRku1VlrAxX
CX7mIorJWG93Iv3UjqpTls5j0P1laJ3oejv4eiX/hhY+8Odba+g5MN8WS0/jFBiQ8GfG4x/Kc78a
RCj+YaCO8MpS5ESmh/Dh11J0Y3PmKGYVfbULXCQ/q96uX3qUn7SoU9SeUzg2dWzXUrvBLoBQjlKl
oo7Sx4No5uC5+FHo+v11/Vpd5rIC6vTYVWkeQvHw3zr55t7iBl6aB9/KVm2Flvoi/KhLSEFE4y3l
sj8UKn+tyW+fiI2bp7F5hyn5bqiAf2oySBqGg41f4nt9+cTxoqoRXqMpzfdBJg0iuNGGbRxneUGx
8vIq/pfm8CdIH7nnfwyOf2P0/V9cJE3/pf8nycH58Tt/I/qi/6J6iNmedkO+SxmdMfwT0kcrQpQ8
IAIwyeB89iLe6t+QPv+/vE26yCu3XSwtAUOQWvKQ/ff/EXQpRNKwNc9BoYGBKvxPcA54zn+t7GO7
+h/2zms5bjPdoq9yXgBTyOEWQGd2q5uiKEo3KIoSEX7k8CM8/Vmg7HMk2WPV3I9rasZjk2oS8Qt7
r81/kEo4mobA6S8OThwgulnrg3kgnYEVgoVoArq23C1Yro553Fh7YlKxO1fjOH9lN+fcWcKkzXU1
bbyvqgEZUFcrz7mT02BapndZkJ492BljFd+ubQgMnelcklx293Mm0wcQeCzBBvDMRWxrn6s6Ql6a
OdmR5G5wwDymyGPN9pPiAtNPs3GiUieR5wWlvEJeX8ziMJqE/h5VhTjyNi1PkWPku8HoKHjht0OQ
SQMvj3gAZ0Vy1GTHtDctEM0Wig3+lCSKI+pYtkZRTgBJ7ea7One9u5lEHzhj9qTfJgW8tZMK0kbm
lGk0AkDpy8potrqj5Tut0uMnzUu9i6aIqzbR4ES69kDlXYWaTVlYNgw2fBX73Ksxz1SUxUy8MtBg
PWiLtme5r5kA3NFq4LSm+GzzdNhZuVp/Zf3VbI0Wf0WTtvmuHCrxoTEzG1Nfbma7upiyPXthVLrm
yNjMmbWg1/ThY+WmEfVJMt7IFltevHmcn+gJjVvMRnLPhLe92ERH3Cybg4MiM90ysBtO9MFgAQ1y
JhhNONtagiV2NMGvEU+Tb4oyR04/sqMS5vAVfLCfthYJEF59ApZwMBHlbwbsQejNqzLsrOhciLo4
KK5yoJQk3ampiEqWbbNrGklCEBU9XVefMu02xx2i+uigY5+/4mFe9K2nZECdeZ2snN5sOLFKyh7j
OfU+OQ0ZKRmqeYZqRAbXcmwevMhMzySjqOexU5kQDExJP+LZ6u6yQc3fm5VZ7yhydM8f8fDsrSkH
jyZyw7gt0J7OcWwu29lxGJIqtevc45nX6MP6xg3TzpDrOlm9ei3XShX3dhRki5m/DMh8LhFAkj37
U+Nk93W+K2qb8YHrpE8N/otLGdfWjVJs2U/JzLhAkcZJH61V01nF71Bvdw/ZYngBsob8UCjDoS6j
ddRZWu5Fb2r9UwkE8NzEpiAXL6/3WZbTDhaM/rajmVjv8no86clocjk27V5RewrtuH9OBuoUlgJC
wwkQOc+snr5ZzVQc4hlGEuBH61ABKNo6LtTh2Sn1R8MULwTtgQ9XYlP/5LjlQyWN5bEj6ocmslRv
VWKDSJ4StMc4yxh+rgiFSyI1SwtGJL7PbL6yK6SrhnrBMLwX6oNkV0q+KV7S/IObqkUgDQWYuxTF
KYs5iaNhgGUfGFq7CNjfO0bXMzbBU+33Qnvoq/IQ66N9BBO3K9G5geV1wOaneSZuGEjzeyvK9/Y8
9kc7WsoDZSMlTj0IylLP+NRXpAk6aJW3DNGaEGgxA9lyyu7rTjW/LQylAkNAI1zWiExmBeIJ4cn0
wSlr5UZaSxVwQh2E0Ilgw0hjfFXaaTvmdnNqWrqxwPO2Vp8Vu4i59JmCNGflcpNRJJ8UOC9YtQzt
lqm4BkpMoV2Qj6q8lKpsX4yenpwg8JB5trNjjjdtZK4NAMcdw33qgdLUyEMWqHoI7yqExHP8bukq
sQMJh8JmhssbtHKy1/IMpW8MGAPqdEdPWA1ggT1PfoiX2QQbJ0jNyNuYqTx5bpRqQ7GcKvrM80wk
10bTlKdMXyPMSFswNsRAkOtsN+SFt6Ud5Er6keG7eshVGrBKBQmvZ6L6kiNiP0UE3N0sxhiHrrOm
glQApb+lK7DOccrAoql+tpFc7DLVcq8qAos+qBlRX1YsMVjoYsl93Af2hqWt9wiMS70saDU+Eiyf
3hWL/Oxh0dzzRlwCWkh56WIz5VIas7sus9HTk39yVwxme+1hyJ0zdWzoJNOcbUFRbyqw9lsNZni4
6Em9sbrG+CjGQt/bRDxs2sittsmU6d8AzAznEeTHs2k068uFNfFTQrIUOGxN5j4h497WILuDcIeE
Udccj4GiRclV00iDZsJs+TJuJlijHPoysZYQ+nm96SbdPblr+RxOeZW8M5xs5ELTYLfCuWdJrw4k
lMTGsIOJ2h+Et9Qf8gFdjFZnG1yKy1VIw9zUEhINpmCV/IxBKU12StPWbip50WSswwaNxWf6LRGO
KOd88n7Vc8otfgJzUe/RC+KyFE3rfRK2nYZFOapPedRGe55MRJ71ejjrtnVdhkx5qdExHmts7ls2
Od07LS3zg2UqGAJQiBMYNLof4tGNtpraqO8TmTIOlA6Ll5mN3xYQXntp5+ZLyXzlRV0GHv8DiWn0
/ZNJWh9deEjUFLqHTjmR4KEzXStZQqDzXhlMCjEdA8KKQqTqjUoXRm6WZfHDYFGIgJxliRmU0Ppv
DSk8+yrhlvan2hHCX7qWgaATuc0r9jBxkHmi+9AWFHBxJGixZbtKWYp9bw2fmArHPs9ahjMudlHy
NOxP7Faf1Wh4JY/pE5iH+1Kjz8duRCKF0RSHlnnPBj/sA5jS+lgnjvMga6E/imwsX6AsTR/biG+U
pQ2U3E7nngSCOua3GI510zWy3xE8xYL+TKnFIIDZKPbMTapXvcm4N03uJkxMTEimwb02fTPbT50d
vQ5oYV1MyCMnDq2QXm8VRA9BVKk7HFP1sivoEM9p3SjVp5oHKLWXJ/G+RGLbCMzsR1cRLV1eprOA
NQT83bk8Dm3qfAJw3HxWnSjOrtGU5CcnsbT2gZlfEu1ysLqknLMRZOILJ8DKvrrJ1CkfrCaarI2W
YIpGZ8Tu+0BwnRGWijojSKnKrbS7jx12A78lQjnEmc8kLDY/0naMezutcWEW/XDhK6ethwYfGmBC
yol5NxD6jShHqSxfoDh4ZO6v7KlFPpQLnNkE6MGRNwi2KyWNEQ3lEEBLbb7IJG4uLWfzCDfXJxJu
fF7NNsfWs0HYmcqw08ppZny6lltAJwaMkTAb05Q0gS2abVynABH3CMdMGJVuuuvY8wVzZN6KhdiY
rFHiw2JiIUb7Ex3bQk+PvYo8RssBmqGhuksimy02mvPPg2HnAZPLGXC1TJnudd4GIU60adO82oyR
WU9+lUDb7KOatT+neT+otQ7zUS92YKzUV3izlNFQeFke+ww7tK+2W9rux+57JtHwPaEoatin9EQc
vKUXvbUm/23iftPEYUJaVcT/xy74Sxd3n1Rfv/3Pocufy68/dnJ/fOMfrRyAPU1Xdc1GA/1LK8e/
IijIVBEfkh6/dmt/NHKmTqa8Bv/BRnSJreAHLp/JH2daKt0i3ivrP2niGIf83MSZLn8xFoDitSq1
/wI1awjPaQvPq/aK07HFnZOKbBAUGxBPvIKnkPWEHlGec6VOecjWT3lsKQd1dC56NSAN4W4QYd2Z
xc1DznHNwZlakRqn/ro82FYmqQfLoBiHFqhFYOKYAj5L8oHbORcCalgeT9o1m8b22TOKsz3mZ0MZ
d1FfR2HfWh4orcLycznwHmnTV/IP0kuxrt8bp2aiWLKaVhWXwaGlj36qUrF46tXWOsP32vEZEd3k
W4LNqEnZ1vbpa0c5GBYGnAynci+OMeE0d5jYx+WrJ8rzqMl7HmNkoiGbwOh3HublCnzzpMZ8VZsB
zUrS57lmwwaA48XqxZHd90vl2MyMu22VR8CrisT4yK24T1vX9keVm70iyYwYOvei9caTkPmzoy7a
Vo3He7UV5/UI9AXFmCny1wwLXADlL9saOT2hUSC2GgB1+3KUCK7Ge7ecaAh1Oz60ufcyRsLbaYm5
J+PsJAa9Oix5ngbK2HFggN8TlnPUEwQqk5jI05zvx5q6xRDHeMqf2yZ7rhbr4jAKt33b7DYmvxDj
+Neqn69mzrmajR50OcGqiimOC48hnwlpQXBHzKax4kDB4SP6k80AYAg12VAGQbtSZHXqmRNuYmU9
lknxjHQHc/C8YLUe0TCtn1Uz9md9vlxpwq69Pu54wZw0N+bNKtVT7VRKAIj41cj5MktLz4glTzon
Z+9WyJAyNLV+Zc6PSwQ2I+9tVBrYV0PR8UESeDQaXBPFmpUdqxkIjdngKrOmB9bp4TSXY4BIrw+j
Kn2mVPQ2uT69uNVyknqcBlmCWVI0zlM6qV/cxnjnIbUL7JFtjN7vF8R/+2aSDwvzjTStkUi0xj5G
H+ArqgvPp6dsGYblZKMC24wj5xMYknH0UClupmUd+eqF4dNYPEJgevGMsYcbx3y8j/Oj5siHph0e
sDm+FmDtMKlWfTgU0wPuF/ZqaU+AIGvWzWIrSUBxybxiPe5aCcfBM5+qpsyoxawLkmJnCzL4AWAx
8t7J4VI07KfUaee9PXE5Ktp0qXWl/gzEwCPBMplDxF4SwgOXXT7FUTA3JomqXi/3jTPLY1NZ8tAV
tnuYpKK8E8mcE39bF+9KpZ6J6s0lyrqmCyB2Gy+91n2G+GffabhSkVNMSE5NthKotkKvaAz8Jsv4
DGWpVaBt67AoMrMpH6H4PRaTYg/hYrJbZ9mVBnSRF7MUn1uDbBOGyJspwRW0GGlY93O7aUyWBiGw
DDtjSd/GYG4Je7Gd5pIrybUkQnQzKuYjYp8YMYJl4aS0nqdybl9KfArclVmC9qXxXWfOALV7NlL0
gn0ry/Wr1ls9uxku/yXTXyr0TX7XFMQNSBXVn65tDafivM3cAsPCZdhEGmBcmFPvTBWZEr6TyMc4
8eQo9oWt70isYvvKzuZk2uL4w0vnb4A56zj7By8KT3Emfh5MRm59h4HcL+PuNLNZAY+i2gOvWIlN
DXQed7pQ5p8XAOS/mSn/PMW23j5thZMCjcVCxAKan+YHnx8JNENpMwvYx9zqYamJI1LLxLdZhvzm
k36Ghr19EuxlF4+bCnMTPfHPnzQ6zmRkUV3t9V48e6v0dH0cZ9rILKnzwYDzd+r3gfW/DXr/2cX4
x2eCALRJMPTW//35M2MDGJxLFO5+ht1BTygfQM1AwzLM/YhBnsU7j/18ObUdT7d/Po3GzyCePz6b
fQUaG4YhzOx//uwavzpbWrfcd0VrhFlVuNc5Qs7J4+KEUETsVW96GRHEbMUo4ZjIjvsWWjijh/kl
sSEIlctpiFklL4a19zwStbOBRAd3PI02j2/X1mGuI/drquxcQrkv4BJNRfyoWkkR2pN5GVzyqLFt
ejvLqupPLIntwHR5PPzzb/o3l5BhouxkM7NmrP+a8KLnKb5uJHH7RO+2kAmuqrdciwV51W8+5++O
qKkZa2kFfhJs2M9HlCAJ0CPueq16uXkgY/Q6aykQTBa9fml7Wdi54tzHWnHL5Xx1erW4JTHvUHOJ
XxvJc3ktVbI1iVrTpxMIH0Zu4/CAFvaCk3KXuDzuUeYUQRwn9o7UqOkptvR5x4qphvAwp6dBbbt7
VFSPU8trf9BT89inLhMtu69OZpm+RqmFFYUJI72RW+0mJXuNKjiERKAvPSs8VO37ZLb2SQIKIi4W
AGf1dBLOSmMblitDIHpmnT/bc5XPrSXmwNGosf75QP7NEwYXn+s52GodwFy/3ImwIqvGVIxyv4zA
gSgnJp5sVq3bvoKV7J8/iwr716cZKC7eUy6UF8/S13//w/MFOh00WwTge+Q092aXHovqdw/Mtzvp
lycmmzHQ2et/00P+8hlp0gjsQ2q5rzxZb7t00gMzWl7WJ32KUnrXkwYmdHPvKfoF4UuycUpkNFP0
kRXDF9eWxJsUDB9dzOl7mfESx/SDmHiG66PFrwv+uo0TpWKfG/biZ5ZB6KS6dHc5Gi4EjB/cnn9s
Qxg8mDMb1dyiboHnSrStB85Ob/U1ebDRd8NUozHS01er5BJsUnGW0yoUj+fAtTMKVA2GmKUxiigT
cp3V/h7VWMLWfzn95pz8zR3LuWCnisSJNaKl/3xSyATrYWiTVKvlNAoyKUjTgxPm64rgd044Aoz4
szCf3Uth2dDDulb1oUuyiOdaJmhgQ1IicK9o5VrYWhUOifpEqiWiANVZfCEB7g0OytrIuqyAudBq
eRIhjK+A6syPYD9flg4EgkMeAP6NwEMIF7QKWaaJ+jhTiPk1ChF8HOPOq8f72LIHP2u5Ps2aB19n
S9hHCvF3BWm2O91aHlHsy/M/H6S/uUl4Z6x/wWWie/vlGI0xkaFAsMo9mcghJc4EHoIfx1SJuavj
35wR7Mh/vU9c3sI81jR8E3+5J8Gl4Yc2h3Lf6l2J5K6rQmQLx4g3FYLnFGISl+Qy0yDJdZhGYM5T
GudnRC+o8qrI9qvSq+EUy2bj2UvBtBwVXzm7Xzqh3SnSfQcnqQsSj2p/KisjNOruBW3E/ZRDuCUj
lOE9BhdDPBMmTJU6oldZ1HMzlCjuKzCpab+RPSCanlP61l4u5mSEqcUXkq18tJVV4VKPcltHA/qq
BfXF5E7XtyaI8XsVjr2ojuUwPqQ9jaQr4iFYGlo9axmxD8YoY0yP5YJ80IV2RZPCKIhqTXOGkKSX
OVz/Rin4JxFS2SCqB7nVzLbbrLdRN1lEM44PwNtoICw2hK5dK0HeUC2BvUPiInCq1Hx1q1hPTQae
DqJvc+dZ00u7rtEGDnCWp+fUoGfxJkpxSO1PWSLvkZvZhJ1bbMCKoyKz41Ig5W1jbuC+z480xbsi
4s2C5pELk7vDHvtzrlmfk24sj0KzLrKToaG3c7A2RqhnIKI1bcWo2Lrkvfmkt0imfnPl/s3tTa1j
AbYGwmYavxI1cyJhWOdaxb5z5peyk/dkIl2oLzh4Frf1Wn+9tdoVcLgtXhneh+s9Xyb9dh4JiW4y
vg2jNfGSZbbxhIdCBtJImPcxUkPdLTfeNMz7XOsIC08JtibfJN00ZR6/gFX2znWLOnSJeS/2S+Ld
gQukyneMi67wjMn6+REXIbaWFi6hraZDMMWoqeEMXIaYxpD3YWJUnBDAKgcnGx56yRO01fv71qUl
9Yb8LIfh3iQkfEf+xrQhIckgFHOB1Dw+ZGg+wwJPi29V84vdoW7ERnOPYT3bg9y6SF4iNJnDg2FP
17Wa750/36//nbD9bsJGoiA127+fsL0T+XNSFWAOvpV92s/fkzLevumP6RpqCJMdnmPpBphz400N
8YdQgtH1v1SwCvRE6/zNXF/zfwolnPXfUNPgj2KI9oNIwtasFSevm2+91H8mklg1Hz/WMhpMDAeQ
lKfxE2gG6IWfX5utFOvIhnwkE6FxaJj5tk9kv0XQ7N6spEwqhH0x4VR9lyzWRrQI0T8k61w9d2yd
GfuEo4uJe1EQUroDlmcwip+b/ES6eJpde7tsPzMaY2q/2CUJcHF+6teZvrdO9/GhpsVRX2f+9jr9
72VW3mVvK4Fy3Q7I74uCWdvRdkjSe9Y1AmE+rBTk23oBsxQavredg3zbP8zrKgI4cnKXve0nDAqh
MvDi2k2fZa8kTwM6qmJftZWItygMBdE5yL8h0iqwUVCqqyJNJr8Y8WWNlzwhNMTZuk2+1Bcycfl1
WSa0TkB6W2ZGe5J2jXbaFGBElOJYokHBZ9DoYIosUAZOgV5TX7D+ocfgeKLSn4thxETMQ24MBykd
LdASmvKXcczZWGxEwrsHzUHZWQu+a5CvDDAHcoBgeA4l9uGStPYimJA8YxpP3KUxtdAC/kpwsw2J
kxkg04rEEb6L2nnJvi4RCkJLYKeEuhXKuErBZumg4nZYmKL24hT9Oiwt26uKMNpHsWn4ozRbP0Ns
e0gURe4w/+rvBTOP1Dc6lTe1Vo430KjW1vbq+dmpM7EZ8yEP5tWzn7KZ2kq3EHfERxk7mJbFoar6
YSdK2TBaKiseVDIfDi5yTWdIxLYoSuaIdhK/s3R05zLJyVs0YxGavWX4GczAfbd40Q2UY/ExKpW+
9gnkdiF9yfod6cMfoJXGNyNuuuuYSOeWY7L4lKCRD2Os9ccWL8WN66HazrJKH/NuisgWr+aPzHpQ
lI0DWcgRtifMiqnDjEpEj8h4DTQOtvKOcnrq/Q4y41bCVb6L7CjfQf1PF17drZgf68a1WNzl9ge2
6uV7zOdCww6OuBAWXmNM1C6tMwWM+JZDSa1nE4TbFRusH/0BM3y7QzQaPxoEwZ08UhoR9NfW+GB6
Wkd4JYnzGSjUNn/VRtMGF+ks1uTHVVluhF5htGf2fgUI7xza0XrIGifsssE0KHom4s/mOo4ZQy55
ib9gkO+GONYhSsPgMk0PnXQ2c66HvGtvYBPKx7abyp2MnPrLqCcfNWQBoN5c98iZZgVZs2Wau9o9
L2gob5HdJccS0NVDrBnL02AsxFt7AB9esqpVT0QrIkhpGsM5Qqv2ttCJv0lCd/eaRVhkMgmK6cjJ
GOO7w5NqZ/nHWSzpRwaNKUyyxhUfG6X0wpExwJ4SDOsg45eN54z9Nq3tEwh4OyjcNN9lzNzelQhM
juPUrfLyGWG/z/cq77QspbK0FlDAKNjSa4nYctV6T/ASiXPmKqZmTCwX0Ser/i40lWbeVONQB2M0
Ega3FppIaBJcEmpQW914xDwHtm+29EfTgVvSK+0H4kLfZ7XifJ2sCmoEVj8V6sCI5C3Q6yV7cNrM
JF1uju7UHlcSKaKEDafxwTM75zyPbcOtMXTvl9wlmr1Vqxd7YCFds7q8GoSFfIFSzLxBU/LJ94qx
PqFuNTFYMva0m1wnM65o5pAg5/hs6trwqbcU0Hg5HDlRqBg7NG2BRYx/L63jZyTZ6bd8hI/RyeZO
H6JxY9njhKl2MJ70JEr3huLoLpEK43ynT2hpTGGPHQUhQ1hfmIl60ZqJyMRKw02Ej6a6iazD9UqS
J/NpXPMUhWlJqRqlqvSTAj7JXk/6CeeE2WG8i0fjvewj9wv6BQU3VoqtEAoew23s4fM9S3r3rpKl
9TxYVJKeHbU2koEVjjGoxnSNtTLC2OUmHVZYUz075DY8YPPtLk7sDSh/B2MMNQOmod8hC2AwJdnx
zJp7p2g63su0E1yiFh5YdXqhdC7vtdGeD7ESdQF/KEncWQT+UdTermdme0fpz+waTdELTEbrtVLM
r+yqdXKW4Gkwe17l/V62aVi6cJMr4jxOiXv2DCHuErVi2JstL4mKM6tRSfQ0p+lDpbbvWaOjGdFa
3DERlh/Ao8k2Rb24IyjduzVaW9GE6gkI127smF4ml1zIeItlKQrbstU+po1l7rLYUrfc7y/ZUrr3
jd6NQUJu6EPMXpeqt62PYybwebeRlZ+tismy1ZXyXJVqvMdYtNoxCrvfmXADb1y5RViq3nhN56r9
2rArh9lZazllj+k+xmTpHfkJ51AnLzSorNoiOU9YBTAgxWLWPzPiLGmTENZM4dypKcgCTLSox6td
P0xDaA5T/0lv2yTMXabR0hGf+077kiEsDxZej3dyLOKBUcOYXE23YXmDPCicigTujTF1rxpD2w37
meF9RpzQRiJq31SxK7amW7kY2ZTofSq17mKrTr+DAdnwU6TtOxnDlN9kEFeRS+iFi7EhUQ7jcGpT
M0HVM35pVTP/3EzjsEUSIr4CsdU2M0pHinb3c+Lm31qRdgdEXg4LcyHCxuLvIsvxfPBl9l6mvXpQ
0bCFMtWw00AAuFsw/L14AOx4dibKrrdKxTcRkd9wzBhHvctglvRZA5g6rjcIQry9gZRj60xUXsif
rJ3QE3lKCxZ1aE7qJuw1RUGLsPTM2CoJxqArX3prROho5g/pEGvBMCf2fgQ1hF3lvJhjjYMIlINa
e/q20qyXRq1vAyJrgmlKzMbZsuMRrfgzTgnGjLOfJIAXUlJiwMYT74vc8UJTeXOA8Xhds1vGYvBh
Q4yhmpT3Lv7XY1Yt8RbXjes3jBiQFpWIVZLk2C15DFabDWmhKPdeN43oRgawN3OGfMkobsQ7Xwk+
SNj7IK5YKkycdj6zlx3WRFj4MV1fV2G/1GWIscAFijhoKKUMYhsVx3in9BN+e09xHnoTm9aSRRUR
0tq3JrKVjYVtwmcxUvh6SjipjMgI9UtjuI26hnwPO9mGASHSjw5xxiTLm834gJcxCVQSXlCg4h08
TARf7rMSf1mcLu6x6OcbxKDP8M4/vDUI/+2lftNLMSylvfj3rRQ5NuW3lz59Gfofu6nv3/b/UgWm
vCqcJ93Aj+euM6w/minH+BeTX5YwhuOaq1yBzckPYgW2FzobqD+l5X82VKb6LwTnZIUZFospdOza
fyJYIAP354bKBNBosNRkjUbHx1bol0E0s3U0FlUq9xX701An32yTLKUXWH3/NNvii6sixq4J2dmU
mI8Dkdk0UdMsjq4m6kDt3QdXuuJI2rM4T0N+J90V9EBTrzet4WPbRiqWSWAlq4MSX+6yNY1CDdF2
kZjpNt629hReXdx6AY3frY6kys2L7CkzXbHRGocaklHcytqRQUaWb6Cihgsz0T3J3EOulla4fhiP
2Vb2xVZqNcxJFsF8TQdWUQYfatk+aW5SB4slqdAXS9kA0X3EbHbPM/eLpPLne1FiVGzq4x5bNRi6
gG7xprG38vWS34ckC8gqbfNkaxl4/NYp/VHh1ysxiaIgLnEpKdS1rXsAIdlvoo5DI71oE/cFYRSZ
eNWFMvm2zaGs3LYL1YY/lJAXql8Rf+BX4DCo7qFIuy6MWr6KQHHGz7WJMhWegj8kerXPiIpHFIHc
y25s/q0wb6M79Jv1O2nvXD/18Gkv+ir7nTkENZSuDRnOyy2u8ps353KTd3wkQd3WyTLZcpSjofNg
5wcyaluE6hJ/ALOJQtZZxaxV+TqXTbVvjBYkRzQjeBSzHhNkH79EuaJxHLwHT0X5TE57HXQqVtDV
67U1e9cFwy0R2Wde9wBPQ4B8QbuN2XjZYiJeGOhy9IyODx0t5+BqysPbRZI2M6pok6j72uE60GaD
rFeXubTqPYzo9gMGkzJAdXCTKT9UnAlzfeV5Wy3DfFvBzjk6Xq9vZL1eRT1fy/T9knYa78Oq0zeO
TLLAjuzVMc2FNeRFHRSWdeF6fp08Cm0ma66fj+kXBh2c+4X/l0W0MeRHlYxPXSzFsuJ7Co5Sp1F2
knCxnCGGeUHbtU9v57uIeX9JRLwBrN1lGydcMpiTOPUNMsjBdvOjyk6Dm5yrGuWZ7yZcna7DpVKt
90Lc9POHnJg233bxsmv8INx5SHYIKb5AVzk4pvMwL5z5seE+cZwxOo6Q1s8JAuoAYcSTQ7cYsLQ3
uOG4mFzuxreDUdbcFKPCl9ai+AIIWt9EAGeOuQ7V24y4aHPRRccZ6fs9HtOavmAEXtMiFTD6ugYl
reubVlRqWLQmh1SV/Axx0p3cjsUBhhDtzmgiIpv6Rd8ISFFk+hggkjLe5wNR5EAUUCCMpTi7Ojcq
5lmAV7TQiG/jfKNyn6i5TG8ysS5vt5eRLctehSKOkTMnZ6NykfYNeBfUgtNtJh7Km0QtdxOKyw2d
PrehcKvg7dwq6CJ8JSrvbOjzPEK4BJAeeAHsLFa261UOSnnZVgxKd4icSYkm6GwLJDEPMbLXwdsF
sF7h3OK31FxAWs08xjzJ/W0u3rJ/O839AFisb7mMcMIwns+06LlOLWVv0aMEi8JnYSlX9uQc8PSy
0i/MgTgFmnhFrY+syuDuURXu5oKUkEAvGQGo7VDeOak6XazJ2rlj9kWJ09lXIGPfRUIXG+ScaTAs
qrKPLe5TNEfa3ewk3taxuchK4v3uFOQeAdU2T+KswDbFw0FbmJBP5s5Lcqh+ysQfpo2Syt2wA9a0
BvAaq2Ma1LWHkUVa6JRsvae0UPdqZRmApZHyOLHGw23k1CkOSqlo0G+J4bm7RSvnXd3zMKlNKWmK
+bUjyY8wDhp3kYPgoHB5ghUOS9m3Z5PuTfrm7aaFCSNxPig0531ytVouidYyb/qczTs7UqircBPw
2mHJMTcTq0XUrYGocNcmjVreTbY5XQZHvCIK59DM3AFvx9om6zwUBX8k+Cua+tIWG3Pqu1BxmdPk
qxzcIavuqiM+DqFA5Ds3al6bNYm6GLINN31NWcXzxFTydKu17YurAighahLMaOM8FqsURqCJUcbh
4qwiGWN04+OcTnTqSt7lWgiNAdqhGCuCIL+rcPLlMygJ4gJsKgJ747nr9H5Z2uyLnlVTiAzds4JU
1R+sGE5O5451dp4BXBxTooNcH7wN4h9QNeawWU2sflKl/ZWoTJtkcKSyGIeYi8iM2RacxWn22LYg
7q9RWzWNcmQr9AzNovraEcRupmo1+LExiVc0Wcpi85TA6hxwY4x7XOrVFhTK5NUwq8hGrTPoWkWG
GiaMeRWFuuZGZ2+sFmWbG+XYXegEXOdQMioo9j0NgPI0Qz8MErQT+V2UeEbvt22uoTScMdVfLGnr
6Nn0MlLuS1D7x8SxH34oxa7fV88/Zl6tg+Dv/3SdaFM8OayFkLczrF4Z0r8Cq3MWzQu98LB30hnN
9JK8poKXi1G6D0NbGVxW3HVmypX+z5/7l53l+rmoeGCSsmg11F/qKW82dVRe9bDXxreHHfegkYqv
5YiQaKrF6z9/2l/WTOunsXJnuk6yl/cXGcFI3k+6lMM+n7lA1kqAkaCCUrBTv/9e/20CftMEsMKj
Lv+HJuCZcGiwPelPG5Xv3/VHD4Dq+F+awTZRXRN1V3/p//UAKCb+ZarU3UiS3TXKkX3HDz2ABtPY
RRNGHvTbquNP5ynR4wZ/oOOqqI3pL/6jHuDXvTehoWg2NPznXK5E5ZnrRfaDPgRvDozCYZgu1IOk
Co/s/f3KyBwQmc4o6T2t+ZjRhYqNqooed5cpPwizw0nSeWXz8Yej9zf3rfazwxoozUoMR36Ht1td
9XfrBuiHn8Ys51p4ySBpIErtEgtcrP7gVACuJsmrAOmuOXxyZP2/7J3XctxI1nWfCB1wCXNbhbI0
RU+KNwhKJOFtwiWe/l9QT88vUfrEmLmei5lop4JLJDLP2XttLVm1hdc1ayD/oBEIDHJtaBJu+ep3
nX7iN2KEh3lu3LPk94ydckT4ZpBXNG3/fMbf9TM/TDXfz5iXEM0gyQw6EoIPZ5yA6iJQo7u0JojT
yL7m/H6wMRZscZRhtBjUZKRBgmOGNYdDPUtlurVD7qKQWg5V90qXRhrrRKtFAJqxgg5UxFQlXcRH
RPVUaXyV9ZAWAf7IgP2k/yDj5owMMkHjVWrORdLGQ7H781X9+hjw1utsudjpILT/KBpylQbQp87l
JW16/4ESlkHdhGkegxwbwSvcwP5tHRr5058P+2FCozaOVI+5mxRnorBNazmtH54+8LfIrmVUXpbe
bFySsNRfArQmsyqMH/58pA8fiO9HouKDmR/wgu96H8ZZXdpqbmBNXoIvtl+W4nWOUt5T5iqr443e
EP6ztnTFehIw7Vh8NmiWQfHjoOEq2XUjxmICd5gdPhzeda0EjAAEU7fJBFHN6GizfDkHYr/kBiBO
tVI6j56eS/Pd+Fu5bxC1SGzjE8Oyx2p11rIptMsU4vQ9FEXTCmJPqbeaVlOga3NBzhZI2nYv0Ez1
n+jXjF8fFDB/pg0sGLjmscf//KB0pxelEKF2YfRh8ZIAkomo/aNWsFdYrcvoOMZJ9jXyfNjDc0MY
TmVPyRp7n/veufNcrVUcuWu7Soe3BGHD6yCwen0i46Vh+fEuo71gEOH5Z27l7VzkjD8MJ6fF+9rG
nXWBILoOfS/o/HjeTVDi/W2HhGENPUW/HgolemqLMe5Oo9xJs613OV58cv6a4qbORYHyKB+jxzEt
qoPC9r2qRVPfw431gpCEl3VfYbOnN2OBCgpTWV6OtSYBC2F7jCLDZ0k4g45fm+i89vBF8xszja6w
iFkT1lDU1Uhh7jqz0KzAQTS/MhJlMjfY/Tyv9NFLz3OaP19CHZphjL/lfAYH4q9HPYbqwqBLcHq3
wIJGtEmBMdJYmdPpWy1h8/a6hpR+LDp3G8qmxypumndNbIwkH7qaQWEzzsKv7EMAFCdloz33BVzp
Ghzhgfyk+mA0fv6aDLXDe28V2W3ih5O7GmCpHFsadWvMbTV0G9M/wc+cNpS7m61hTAa1BspXAGxH
wvPWqEfCTSGtNuhr/4SROWJzb1Tdnk+NiXsAgP7K69z8aSr0+Mxs/fpWWJ3Y9X6qmSz5i/nFc6p2
Q9We+gKbPBrgQGZeQE2O70QC1IJNX4csrIxMGhBTl+IwHsdxo6Kh9+gChdTzO6vYl/ynhKbYbcWN
hihN5zilJeKGI8ySSkzzyu7ykN2uVhYAzLJNtMRrXI+WYWNHb6HHp4wk9Abd6Es8lu507gDUykNC
QZquKFbQSYG/vsZhjIT0ixy1aYFp+WyusuqbqYq0s1rYfn1f65dd1rHGBtbWzDviBLoQLjsWiFVq
5tWtTtvukCrL6tc9zwDpO5xZNq30ikkpDFExU7XPxmbjZGOkr9uc5tOJLZEDaTtT7hgHasr97tyR
7Mui1Rhizh3ZNgpti9khDU9YXS0nWjc0jRhwViaLbZknrb8CQgOCbDOxM1troY9taqVCMo3WGG+K
Av1aP4a4sd282MiQVcEWm2Uxr71ZMGOWJoSCdRG3NM0GyeblCjocWUFVlHjvWj+wsQ30yuyA0Xu9
dykg4obH0nI7V6TrcpLNrPYSnUkLvDWKXeKe5DA3W7YyZbJVuVOovS4l+20Kl8iKXXyA+a4l7BEF
o2Obj1pdzEZgWQ59Iv6nazTddY0KSleWjyl1m+JgtX5HySHunBuKKBawadByxlk8xpK6nhvTBtxR
hKtpkHewASH9mNm2R7pWbqqO4tnGM6YZB3iq6vGi8ODJb6jV1y1JBUZ/bKnb5kEUWlG/7KF5nIkr
WZ+UM2Hcb0CXfCz3nEAREHsbNwdDT/AbJWDlKG5RE0CTQPds7sMMStTY1j65mGNqry3CjGbAXOms
nelhbm+NOoSozb7frTeGIrzxECfGGG0y36aZsPx3qwWNUTJ8Ivot05ggyOqmBE0z/CpFAhvvkXlJ
XSDB2u4NqJHv1NJyvXRqH9dKCefpQvQln6QIlg9/wAcqaW3DJDbKL7ORl/GxoWgybeUo5uSMnOTu
zgYP9CKmpVvoUb2zCGyboGtIZ044eZIOyMewCIheg0raJIR0fsnHkZVFGqXDLRij8WvdxiiA3TEK
N14m6NiUXsjviLwiprVsB+MSFqtlX8tOGHdGB3FzNeIE9tYd4ZbY+c0iTfYtSFtgIy61m1Oiuf5D
qSOKWZdp2sidm8tYXk2KMuVab0aeTTyWnFgFg9w44wvmP8BXYHQXzJJtgEJ1qg64TEPzKm2hzN+g
vvPtw2SnY3/RTd2y+AQxcYXoESVcNRYcuqrmGVimWXQzoHR3ufjl1EfmJ84L0NqlLUquom+gJKzi
rMrmtZ8NvDp1jpf5uiTDFIhwz6og4t8xp5pdGZ8aw1YoHa2apu0hHtupvyioMUnMen0DNld3dWuj
hoa+OX9Pu5srYgIBGrqsk7uyeAAj6h9pNiceZUeRMS6gMb+MJUzM1dSm6sbqJl2eRSxz07OqJs/m
1uNrsZOlblw2ftR8sdn5NkvUZGIeK2RT/VkYQzYLVOs2wH4JLNrVuHMy2pCN+pbRfb2aegnmsNHV
kD2OThHJPe3Y4p2Yw2UOwWEbB+wDPEAIpDPIbe0U/qOmh8UWGUFERcZmmlPtGN8kpICcUZhIRSAQ
dZO/luPMQj1t+g+0tocI61nJazJroeUf7LIymreCCVnRrWBIbcZlxt6kAuDoFgQpLUrak82Z0fam
Q90o7wa+tNags/Ru0ufWH/w7TbFMP85+1xqvxDwouSrQzg1Q5Kkgb6bCWMIBRlJyDjWPBU4BADPi
hIehu5iUC1xz0Xx6rtzbBZAv5P5L6Ad8ZjlDu8mqCtvIZNO/B2C5iZuyGM4i8nDjtSdkEd+xEpGv
SDmYRpg65bDKELWCTRwHr+EroJpbwEBG8mRUWP0H9OFapu6pxGk+PwYWBLAF3LijFtbj1zgCgkIG
KVX3Q0LL6prmeTjv2h6g2SaZewZpYnapdTVhSheXhVMv4Goq6c6FjSlyosGdjnJD/ZSnhiIbrFA7
uwVzh5T5xpisqQ2GHED9bvYaRn9mT5EbqBAoJ2JhMNGPoASNO/yAjDW+dP4DY72QV0hiDCZYs/ZJ
YSxiBwV+/8UEF+AZqywb3HsB2XqkURB1NtEDuTfcNKH08aFGjOhNnVg8TTYOajpPLBTO5y4qKusK
SnvuHMi8hr+aTJMWXWStVo9BIcHdgiMpelTC0InYRpJruZWxl8XEwOj6Aase772ispSs7DB2/1a1
/6+S8kklhVIFm5z/u5ISvOUv40v79mMv9e8/808vVfyl2/4iprax5P3dMP2nlyr+ctmPIDNlnU+Z
hd3KP7pU/y+KgPRZfRBOTH9LA/afMor3l41qhLKMI0yCF3XrP2mloo39ebMBIUw4hkFqH9zZhS/2
oQ6QpXSXDKJb94pU3qcu7coaNKI19qtpBmozuW3RbetGXeWVOS8BC7Sn2IEjrtHrLUSuku6dNRtP
YdKzZixLlgS8p+Pb1DkLIJHWFZ9CVNpRd1V62hKomj/bGqHVFpop4nJZkSpLJ9Vq8uHQcxOTfUh3
6zbtaB1MEGwu81SAb/Cwzuxdpgfoi5Bkj1jKMportEmIoiTuJUbGxTKlPSOfBfNnQVKPNol0N3Jy
5gp3c31w5yQ8VFrb3ZR+ZB9BgD2nbqM9JXlBJb8psYmAgmb9bkas42g61p6sT/BdEYZP8nrwoleh
ZVwk6F00QOa1bSoUTz6voBIWAXb0UXd6lL3X0KTwOvt4xEudJjTeMNCKDcbdZubo8WBeO9a0+Fi6
i46gj1Vv0q4xvLtw6C9gp5ZIYMvbsZmN84lyOmKgcgCAMy7/V5xjwDm3vfopLNAEzUY3HelEPdOq
PCy8l9UCqcKq9twIumhuVd1OqTZ/yQgtDmorjoPMq/ttz2dtnSSwd1z/brLCDWJBB8mgs5wCWV+C
nyaYwtq5s6ufrEzT2Hlm1W0k/fyhoi3+wNRJd2npocJKtyAB0+aijcxHVofXPddXVA9nuJDasSNg
9qWyjfauxkkMRZXP+dqqc6ZjEyz4KPahN/NlF11zgmnZPtmZd+fIpCIBB9cDOk2YGiEU4xlB2t5v
HI94De8evbBGKqk13oPkjo52AVyOZo8srk0/7L9pOrm9a2J4rOsOZ+plkbCBhH4TT7R542be5HF5
a1FY21iovviWV9aNzDt/K70QEaIV823lzUHeOSRBnPMRGoqp8XdtY4GPiWqD0BnkXKuUzK1V5w1O
dWkaU38WgTbC4YRh5J4lQHJmF47+bHPhgVRkYBRJCk1YcC+rreGxGwU7p/SzUTWiO1Twj1Y4LTr1
ToDTrO08Kirhu0KXeZGbLfbaqKTpl0NVaVe0ToAkpcbt9+nrfxP9JxP9gjFklv2/Z/othazk9eXH
if5ff+ZfM72n/8VP6AJzJJs28b0496+Z3nP/ohrpUJWn+LS4AX6Y6g0sCIZvAwDQLd2kNfLvqZ4y
O3YGB0ojG2DHpPv3n0z1H6pKsFCxauO3JXGYv9SXT8qPVaWIVcLs1VW/N4l96Wia++yLCUrzz+2e
ePAViR7leYYGvQz8mDbqD/fqNxXyD5U39jyLMsjg/mDCpaOwnN0PNS0CFWby8Sbkg705bFxVOOS4
mzk0uaTY/xeH8j3BZwieCX20nw/VWulgGIVYxJdMH7mJO9KSkL0oZzb/xVVxK33LoTKK7Mn5+VCz
MWWQ523oTdOUUFmZm6DtSOnqJrc//PmqltLkD6XX7zcQQ6xu47g3rV88zLQR+iwX3EA8IPQTlMl2
q3fep8EJIpTXa7fiC9SEuBmoDFfrPx+cMfibgy8+GUYxtZMP19kBYAituut2WmU7sCeneFMadvOf
xaByicJkXLrEXTlwcT+a7mXkWQinw37XAkMljtksUYiLqXGHTVoXVCL/fFEfmgXfD0eDSscxRLiq
811k9sOQFM1gWrGBb4LmPtbdrH1zLfPdi6qCubU4cwgE+KT+/OttFKaJ0ZhGL02zX9ZaYYwiwLPI
82OeF6yg/JyH5VebP1/X8jB+HikcheIlyGQdAYG1vIo/XBeEFuLimqzfWcmgVpamndNZPSnDRPWl
g9L589F+dxd/PNqHoUFbjMA8kfc7bxiNFTSVVTQUlJrTjH6c79NCz7Kvfz6kubQZPl6hR5dRWCyd
GZAfpjIVE345jrx2RuzYJ7uy84eIAL4DqSZwszAfBH1z4w7KWze5LV+dTveOBL3s+6itdkPvD5t+
wkHajm79bZos7aAcPKRm2DW3S54mKTbR2sia+ZOJyfjN8wez5CKsBGdh/jLiPBlh5+p4jZIRaPnK
1sYMhOIkhg2pjCwHJemHtVeNgcXd25gg8Z712Z1Qg3j1pUvLcx3VkX+i6BB98i6I354a8/PyhmP+
/Ng5S/2ckjDZI7QZYhIAYhHQnyM+yXO6jWwieT8lFkFfo0NmXAX+7UhabXtObXUApjSxrBuIBaK/
iikFUv3KotAXhKWHisQESxT1ZntpOrN2mJGWBPDuMM+62GkbxEoPPVW+h44oKSg5SbNubahDFjER
q8FqvU1fTccuayXixbxfYyP2odmKs9jO7tlto+KwlYXWes62LVsKdFDdqfLded8kOMqVjXhnCnPs
IQSwPGptM+zSEqNvKNR7pqybDhY6uQ8R5D8n7k78crn982j99QXxhGBhwFvPN9h1PwxW8m5EL8bl
ocv4Usv6mL6gfjCS6a6fQyTqPcmo/8URKSGBEMFwyHzz8wTgt9NA+FPW7dowPBgQvnMj+uaX9nlr
URCn1PP05+P9+m332Cag3aesvtSrP2whZeQPJc+m26WKMDMT+8AhIstj45ntZxblX4cpFnfTMWF5
AiqzFi7bj3Nb1LOpGek+73xvELBJG+OAo8j95Ab+9ijYDlmmUBzmHv58FALctaIbuYEa4P6W5Ctf
21OQ9q7+fN+MX+cxrgbStcdqkRiRjziFjOK2Qd2answEC4FeB+AmQCyBI0v8LKF0WVIw8FHs0Ljy
Hqkd7io7Sz6blqxfplPUHRaOV88AJkcp4ufLbZqKZMbBJRoYzDH6TD/fUr3vtjZuMQ9N4WzjPyGf
rtWrt7wa3ZusS0dMi/pwUcyzdaRLFH7yBMzfnhP9ZIoShFNg9vj5nCJb0wj7sOSOGI3yoLdi4+uY
PGcYy5ch0N517Pb1l++e/ZwEhFO/ZBI4yNAIgsDsCKjjLTem4TLDpDjP4zPkUnPdwM66VSU2yxof
3F5E8XgsFUGTevfZ4uL3F+CD67BY0vP+L8/+h68wkax+obyRm4rzKmrdetuPdnQfM4ut68ZNg1Aa
+rpwnY4vVlscaYa8eIl7J1vHP/R1GK5JEBo21Mz962p2qzvPnt9mEZZHy0M2SY1ZIW1ONb4VXb6l
mVR/8kkwlsf+81eWYfHDFXx4C8aOTKioUtRntDQ6hrNfHjsxwXXQ9KBLAHtYPRWbNNUPVkU1Qdag
pv/8gli/HQUIxKhReabhfnzdPcVcQpdbLsl8mFL73BNfWVZduTb4kdzXX6t8mB4xXcff0Ft0/RCt
08qkxkE4CrRduTV1eBitQ7kdfttYYMzFfhhzwB21ocWrExlvqjQMpkr31kWQK/SULqvmPxKkRYTr
IPRzTRj5fq6qF9Tdt47iQKRI0vOgmSo+uee/Lt0AaekGBT4M6Tq7pZ8HDQU/l/AwJoQGx2YZEhea
5oE2Q89GMGt9sk78zbTtsORm52njOkQD9PPBJAndSCYNufuOPkSswlebkpFNn/CTIy2/9GEkcaRF
amQj/NM/LuxJWeoJPBKMpDa6ywwrekzzGddhodhNCJVRstcdzTuGDoC7Pw+h33x9HX0x8VuIxHQW
3j9fZBcRUBCmOK16V31BKXM1uc0NKb7vudt9ZcvrBH8+3ve15y/Xio0aaREbbmq0Px+Q9DgJB4Qh
yza8vOkt1j0qtAJVUji1CCSmQ3RXJRiwI1WzuLGRRQ8yaoOFf/PnU/ntYBLIOnHxIEv7+FlO+m4Q
JLvK3QgPL9Br+BU2Lf6VllS4FeP0/c+H+81Hk5wK3EI+8RI6m/yfLxyMVhYV/cRDVi26+toI1zNe
0k/2iL+9v3hM8QQtt/c7zOHHeTWVRlQZqK127JHbNRZ38uRKomeckNyAEbXGOqIjGWjwEeDqgmWh
GgAwcNDOZjKwPnlff92UI8NiV8imHF2j+Pi+jqoXkIAzTmZAvIw2iJZMOxNArDC7AhMhK7ood7Hb
masq6/VPXquPciZ2sCgtTVyXgnU7Us0PY62DHWNapd7ulGHHX2uXoiPGh6g7ycQQKGucihhu4mB1
ElcVLo3VgKlZBHoKmnpVNG6crUdNjRdDbKHRNrsOl56IhHz988j4zUSDL8QB47Ag7eiC/DwyYs1L
lCidZgd1st32Ni1MWzb+hrV88skt+c2haALaro9SDpnpx9pPkhqybujp7ro5LN5tS7nXcxkX5I46
+n9xWaxBBZ2bpaT2y6xWY0zpas9udkSGtNfYJJ1tpdzwLG07qoj/LjRe/T17/CgL/80kxpEoi7BE
RLX2sVIB3yJKq54jJXRKgpAWzW0RNeaGrxtSq6mwoZXH6pPp47e3kv21jVDbsBG4/vzUokgnTj0W
zY52PPYlAe0mSQszaHVTfnIoX/zmQ89KQ/d9F1GjxYz188E8YkD7aDYYInarN1tHQUhfJ7E9zgFa
gzJfO600A4c1eU6k2TBqW3aO/bSZEWoUJGYIXi4gTLN/CKXKH0yySGLc3NAPAhrCDpzxsIlfQMhr
F5lFlxqDU47nQZYLm7/kkizMcxUiJX8QQF5HdJ7qTGixv0uQCMwbFIkktEZZbNw5PZi9ILfhDW9T
o5icDYkmsfkEZTAp3pyUYkm0qtnBxGdTTMD9kv7Wxvcyrwx1yElsJNg+MQp7o+m1cSxmurw7ICmD
vBQFtoILu+tVeO1ItCpb/l4bERSQUI/xy4ZPHJQILqILYIYLD54A4XTbiya/HYARQuIotWpvtDBU
VypqTSJ14+ShgKBCOmaPbPEAfD3CttVXVbZVWaKiTVEj/TpPF7wRlkK/HvEIy9HHHj4INREkiIzq
rAB5qFN3KGozqAuQNeCbyBZ6cenWK+Ac3YTPHOPCbS1QruwQPKTqagzd4ZYc7rbbEKTuuzc6xABy
oNUQ9QcWsdO28SY/weYSIdSz62ie11Km/q7E3Vht8nAp/+ma6cO8k8K7J8stX095UVlraccDrRl0
cXh0+mvqvNseLeYjqcn5U655+k1X0pIPCwAJmkrzjdX4pz5X27KR2wnL2U2Ix3ywY5RHSIl2po37
OvOzYhv1w9Ea1IiLTL6kmUOQQg+5pE8na4uS6NWGTb0ZUFRwDq27cwjz2Ph24uxsf64w4ZF1mtJd
PJMQ3b+6HRIAu4cqW7rDy9w44MAs5HoD1HmR5A8o7DcOWShXwi/ajaGXyVVmjfOaiAPjzCvy+AI9
IDkhLjJNmYQPE0DPndCM6yRB0ox8JzyEvp2tpzTrWVTQ/8r5SgRSuvM1kXKHprMh8s1E9yVzdiLa
F0GV3R6zaTKDWc+azdS1iANJZkY0T8jKaEGX4clehZ59g0Zn2hijF28x+xCsQVsrCE1Sz2eWrjdk
wtfPeLX08zJ2sT92jRNMete+O1pTrrUONa9HwXpHA1IsmOp55ZbhdLD0xDxI5dLCm4YjDbMtUWTG
NhPqqUAN9FQm4d4V9m3SqycUWeVmBJtAzzh8KsiTbnkDC+8w9C5ZAlqD4kxod5nvhUcZAgOGY+Nh
yLM1nkODKDL1SfNk33CTtNpw1UStdyN70kdGS56TAe3i/0dEprTyTTaY+j2rS/aJLBBcQrZ4tyVR
lyoBioQnCxLBrBDMNiW+gxUrzRapV5X43V1WefG8Mhk8jwXN+ilwG/YRfEyZJNKoH7/Q+80um5FR
liqcj15mHPQe+rhWdRVt09k74y+qzcQLsQmFKZQ899QYjfILSdOuJP/ZDO0xC2YUvl80w9rqaYT4
UUOuVO9czay+Te6c1Xsry80+KLyWJGVVYdI41zQHi1fmem20ytUgtCPlWV1SpG1Qm7XcKXJzyjyY
vWK4i6nqX5l5at6FRZklhzF12o1A5nlpjKa3xWw9wlhvKMbFidS/OnrIepL6br1xZz0/q/nIfutg
WTr42YivTUeRWPTvpXNrD1n47lPc72FCOEhXvtulQRJO9/SZive2bnH/qkIaz+juWqJWa3HyS7P+
ghBwDNC9QeJkxXLnEVLzZZD8joLXgq7RbI4gDvJ1MpX2AdG6fKQKtzTi4WgtSmlGQgxB8ylGzvut
qe1sm01a8+Q2sA3SNuzyA5lf2TZB7PMoKnSB9MvHMXBCUcAynCUvR25qAuUTxtHIccQ6ZcF1QP9G
cA0l5A27Ur/dZuybij2h5vz3HUC/hyYcF8WloKW/8qPFUlXpNjbOgtYgkU1xvoxBbTwSaRXf6kWc
ryoXNddWcju1B3R6XKK7GErOInPmVJ1seBjMqR8vojCMTolHzlSl4+GtMC2f27HNr1p1srP1xAEA
A9hyxUqkOTp1HJ+QP9XPlO7MDYUzcYpaXtVNWRXzdu6nbDtWE/GcGFuiU57XgwuJh6AoXqKGl4qn
SxG+OWaFb59cHL9f2yFqCW1ujTuZcL8TqLgkS+Ok9GJuqtba6kxjaF7Xoq2/imWHSRT8XA9B1qQJ
3kiR7MVE6o6j4ccwWrs51rjTz+dB1l87VbdPQ8x9nV23AbYdoemYewJ5gVoV4TGiGoE6o5Ov/ijF
yZ4bDdB75UenKRGIzVDpFeoVyaqNFqE2R0BrGByNUJ0bfJbrYPTJadfw78MdLOO0ZIbqQ+yjxJXe
1YYSp0RU4X0NJ+vSEX317ERYvYlFA2BhIoU3VoPHIlL0WEajzmuOqtXDIEIffLZkf+zJX5zuPS1l
XowW1s/iTq91LTr1aBZmuAGCFXiJTuhkW01+aLNFcNpBjMVmk2GHjgGFJWAqcU1H0Zh3QTrX2B1n
3nPKWKV8JMlJvZOTKV/dCEBRGKr8YLTdMsr7mFzuGh3rbVLEw4MNDswlopOTzIWe3XhdW79Yaezc
av5M4FZdjvFJOUVprKRdtk95M09XniP7B72esptkedwm0UfnAm/wTWMPHCjT1NZ33UXcqpFTZEvu
mgcz/kqPNPWuz1Wy0yYEomhtvPAGRat9aACanDvWyC9Wc3bDkn2693U6MvOIcvcI01LGG62I1btb
U+Zbh30cVivqLRIym6ONwEu0CnkzSBUg1onmhDd2zJZrVfeyUQcyKcBixz0jadaalqnXsRlpzFnx
Kc/SylgXBpwnzUop4g4q51nr0ouHg2NVHsQ62b1XSJLwOukFgdDF2LyTVWg82BGKu2GUxhvsA+wW
vHrNNbPF/F6Zad2uHRMKFpgA0b+h+JsFzwzVklbX3BaHL7nc6WNmtCtkX+T6mTmklk5nNnOd4Q3q
U3PdheXCpjHry25Q9ZeJVKpro/OiU+g0ya7zMUjj8URJL+NFMejxfpda1D02KHb061YDRz2woVxi
2RBFv7Oidi/YE4dbKLctkxiBONRNO6unIWx5z7P0usuwqKPdkOfD3nYKHg2fzXMLQ3y/Em6UXBHH
UG+xF8n7toZIulhPu6jiH8m6roNwqK2vMAoJrq2RJNc2UmvTmpAPDZazM7hfKzqaNtzPlvcQz4K6
MYp2umIRAiLGTsMHM49sMsKqW7h6F+RBYanX9YS9TNsGI46Jy4b6D7G78MyLuuWwmXPSRyTHyOmZ
N6yZ9rqeaBcTtIxTqUR464REXcBc7SMm3WImGYpmY4Nw7iCS7jgoRRwE7+YFGRvtOfmEJbb7Uq1Y
6rME9Gn/UUJ98QVq9swtp5uM/LpXAtiPTaIbTGmY72ZLNpvSAaw8dfbZNKX2I+ttgLP6VH31x6XP
VHXbmMryoQkrGHRYyFnhpZDvvGmMbvQyHrfuVO+dKm8CfySdaJXApiDX/IX6X/ElK5BX8c3hJpma
HTHRs8NZu0qBT0qzTB4yTYejFmo4AwsbGznS6rMiJHDRJhfomr9wKcqH2l3faA5TnR/d9JKD9CJ0
r3oUuCsK04oM+dB+QVXvPOCryAmscB+mVC92lEvBreLPphK3SJmqZIwvEo/CTWWYhxDh3NdYD0dY
g5q+6zCdB17SW8E48DLKOu5WY0apMFLKOWNxYT+mtiCFeqq2vE5MwFXK7jRy0EwRbOu/D1lvPk61
bVz6hT+jWijsO8CB6XpiDbsVzF1cmswfDOG612rgKYlBTs3WZV24arsWUyEBim8zrSaTtJYuuQTI
C5gKemyC1K8kkrOuicu0i1SCciJWnAbCyp9RsvWuw4LejtIXgmfAL4zlviN3MF0JW0NOR7LlrJuP
HZ6PLa8iycgz8Ae6eizI3P6ysEV4j+qZZYYNc58pELaM1yU3nt7OQVZY3plUSOlCQjhikWerzGrF
qahFVa3j0TdoWuTzQalquHCExmenIHaLFw5WZx1NKV4PKwYHk2LIWbVtybY011JeI3powwUx3elT
YdrOThgU4CmtVXyx5pqSRp9o05UfWs25opi9wDhg6q76lhxM0kr0G+GicUzdaR8O3XrwZHZBjkp1
JktsQ9KucpqjC7x3lN05dV/gVDLdG5PmP/n0TNnnvLRVubhixLxuangHWPZigB5DZzzhQ2gPlel+
NWbnLWyr5pkVa/4M9rNi0iIKzM2x7FhDH206ty+ulcOKJVetQdMbINQ6mvBQsRya9lgfhuSoWRDs
ggEilrt3gerxjbGd6qSN0WJCUW51onwDksD00qiiDUD0AmNUpM9FkZbXZuMV14SqZYAGFRNoCpT4
NZem/rWUafxKAPwMFUTjBxtUAEfRptUtjndvfGpZ8fDcEjY5aLjh2g2aYx3yGgD17E/1F76W1M7m
3ED+DrHAOlRhYt6xPmZnmhWxfYyySb4WGXZY2UuKCFL1xXsG0D9eSeJAnnWZGl+z7+JxkmqmK9lM
4TMZimzC7TAhdaWeQ/mqiVqDqjUPPiLHTJS3eTMxMch4GqutG3VDtbX9kYpGP8UMj9jsF6ZIieEq
dnosN35Uhc/CEPwZv57yFli6n4nALnWGUWmpLgsGyVliIkAuFZSotFw2MRMHTRO7lGfJLDr2jXo5
GPF6rMck2rJ45ZdnjWTAgz1Sfgxi21fajrRxlgAdHVIczlPhn6exbpeB0xIEu85Dh6ekzXzq1vnU
h2BpB9LIo56AehgQong3+56j9o2FjXi0Lf/575spBi3qVxbtSRAgUkeZ5hozmYTsJ6qd5YtobTUY
F9fUgrj1GNvKWwKBzHKXJynlHpQFCRvMbMr2tUEV6GQ2YgJRLWZxptquuhXQ+moeIf1W6JMN15e5
gnpIW+tZeiZRMQy7QiH8uICVMrwPDrVRVLnYOy8czYjvMjWY5Olixyqw5V5nLqzNdV17+h3OAqn2
E2X48GT3XPTeHHTOkVU5Zw2tkYfnqKnU6P9VS3KInvDuUvsnToO6DHdxIAu9Y5Iw5WvC7iVZcbJL
oPAg3xKcfvnO71scQL2PdhRfTmJO61zn/VmNPM55X1L/O45YqoHaVh0rOhHbdXrQnZYiSktvBfRM
kyzxTKXNhpuPMN8vkLd6mGFT6heD54z5+xQPlo4tnSVkTsIrKHa0gfdGqpsbuIf6kZ50ux+LHrhR
5E3gMbLkYZ7j8X6Edft3Wf1/GtTPNKgk3NBW+Xdp+Jekud1b1UY/QxuMv//M/9egLlJ+H5GRuZCu
Lfpd/2hQxV9kIlOaIA3+u16Rf/WP3YDa7z/2Av0vBA82WtMlcQetxX8kOdU/NEjY8kCI48d0Ssj/
j70z241cybLsDzUTNM5sNOrB6fMkyTXrhVBICs6DcTKSX9+LUbcbN7OHQr0XkJlAAhGSQu5OO7bP
3mujXjuLyPy3LbhvVCThKi/fm170rrJ4XHUtzyGWhG+l5jw29DiWi+7jFeJtIlS37d1pCw7m2C0a
EVO9cTDpv6Z7DwWpJCV88BdVqZn0eu0uSlM3+M3vCbb/ulp0qGpRpLRFm2KlrN+0P3rVolxRCcHc
6iXJNtTKcUOf2o3wgnev5gRHfFecSpUovlq/XBml3LSaQenpopYhagVyKO6m1rDxDaCopUhrzaKx
2W1orykQcAO6zfonI/GzIFpUuXjR5yyEOrUodm0XvTpWkayMRc1zF12vWxS+dNH69EX1E06L2LIo
gYzyGwtpsEci7BetcFpUwwL5sCKIiCNqUESs0RaTRWXMFr3RXJRHqvYYERY1sll0SbUolMpCJSEO
8N0t6qW16JjJomgy1HwaAxonMt2Rk4LIWoJQCek02c1dGcEBpvd6UUkL5NIO2RSV5S5cdNRek+O+
NtHkRrcSN3/RW7tFecWXsy189UAeobhluF7OSe41tG+w0c642OWXpjYjtTE8irNkKbO3nhvjA4t6
YGit1gWmWTIG19HQPEoT4CjsGPtkZRNnmlbYzZ4ebclTp06uTZWrN/jfyAC247+MhZkBnax6hJsK
1Sse6CxsIRsfoCF4D66io6LMTQaJ3CDL1ple/e4mKSdU6g75S5mVgOVylH7dyEk4ln9OfJEjkEd6
3ZwRi7w1cS3BL883esF9E/2gNeqSAEkYkn6p9PJIaJ4pVXqlC4GchDMx1gpMgo6yd5pYeGwN5aYf
rsF8sR7DqNywMwpf/mSmPTMsNmORVI9Up4sr9QI0Ai0nAONu+lHXIScCxZEcWSBExbZIqU3vEBrv
J3sArUaSkxbEyBrJJLa8fqpo9gS92a7b2D/XjfTgROhmTj3KpP9qetc8aOSz0yBqO36rTcWfiYfx
nl8gbXuAa2fIw1zt0Yow+XV8STwTU7/Wy2i6NyLemnYPVm9vtwP/eDlF080FmEhRW6Vzi3J6JszK
drLAnHgdai/nC5JRieUmb5KSnGcxrceuqN9jPn+7xGGxhgWSG284Jq1DNLjLX2pRJlcCbRyIZPJ2
ojfrH3vkPhn2VX335ydLced6W7CmfPncMNwHwPVIBHZDVZUZxt6DNS7SmNYVv/NlUCvtsn9qU0sF
lUNILkiWf/ifiyo73O7ZHQv+YB6mxsEeeIisselOG91vsQsqK/34804jh8R3m7G79SsxcV9JRtDK
nuVXd6qG3LJiOEPjRGB5YVwzXun94wjuCst9oFHYOlRZON4EM926abiVGFHvWvt6WAqheqs8grjj
VTNAlW0BgnffnRsnNIBXzh3loNOJZjnjFsKQvympFZuYdyT4bd8OP3wDnUzZRYy8FI58ocHjO7oT
Kfc8irXHasb1ODtMvdQi+3RfdD48fV4tcO/VYxJNBJHbLCy7QODCDKqU39zkWvZZyJaaMNh/8YC4
zpfvFYttNx9518/8Dzugdw/JLzBklQS0mFzbMr4OhMV6rX0aJLP6YFcfJbndqKCxz/cuRtdzr4/u
44XjnXfxvkib37byT77JjaRjIi4N9za2JreHeEdB0kvUtM7a1kfv7CDwIx7TkACBzKinihLMsrp1
nGP9ylh81SIRzo3p57kVqbhCpTDWmfCitePWZiBc3I9gaq/JCPl8pPUrrI5m6S4lf9p4J0aDKGcV
sa1RnhPvnCqDQugP1ga2D6IKe+X9MJB36rxMxmuNaG0Jg57c8o8sabukiqg+pXPfbkqjEAdstl+N
6PalZz9wTFIKOfQmc2kUvmuR8dZq3tfUYzWfSxgG4PppgJxKjMCFOa25OHONJCs8BLXjVI+9aVlQ
+9P5uxjgns/s3xbfAaDj8bFM+5piyWyHDwzosj3zAieO2I6SxqNUTRmZDvHsTAztDK2HbJyKAzlp
c694CK91r6ehrMxC0mpUUUe0nmhV9S71no1hWelnqD/useGNz/bC0df2EL7ropABpMJVL6bf5lTf
6sRzfxIDDYzMs/7hItqtRZY9dRgaP6n9Njd81ol7m5Lsel+ygEDoPoJrsORqmGeeB+aQ76N0Nhle
IUvRWbQmw/Uoi/Y7nrpwo5fedGWZqghxRKxiaOExgEiXc9Nv5sEoz5VwrrQ7ZA+8rZqN7oTi3qTS
fgMYoKyYdZcOlzKr11arDSAwjfqntYESgoY8TPSKkU2vP3sCjmvptf46FcObHkKd1CtOe5+7BEbQ
/otoxruMzZ0+yfBZiRpvvZkNKxt9M6gsNsuNZT+HuJ8Dh48hN6syeoO30AZla6477Apn5XEhZkjw
vi3XHm4ud6znjOQXMwRJUDaKznRUXahQJA2qG3GypM+pS/eN1VrFT0tG7we9LD/6TeEuGNeQ9ayG
JOFYakvr6VFFBUn6udOvbphWD7AysBnFksnKXJwhdeNd66FWH6U+5R9Qm82r05EVsZmwVo1D40LO
p4gneZegHselTY0G+zZ/5YxpdB5YlYhja4RiXMXtDCvXl/3WiyQgfLTLl84ZtTtHNHDoTQRTXsRK
D8Im0jZDlvZnvFYW75gS6l8l7Rou06w4Bse+ulbk3I8We/5NCFkAeIYMX3y8mjf0pSTdzK0s6Ubx
S+3aRZ59YFLIdkKv5CYZwZ4QIKysTdyMv0tIn3eiiLpn1SRqD5pHvjqyYy3Ls3DNtZC7raugKVo1
dG93PmQFUxgqsnbUKx5gtTDkvsKnFtRNl7LrmUL2XsLjx8qxQVj5L7elFaNtQnWXOZp+acKygSVY
NTtpYO/qVRYGzAyXka08BtZdZETcg735PW2aql6n5cACW8mG1CYdFknc5tvC0rugajJrN1fzZUxi
sH+stFa0Byz8iHa4nzNmvGyoWk4u6rgmxbZfpq1iX5lp72bnX+ELtz/KTRhAnKnb+rUTbfsclL9m
SuLu4FnWFJzwEcdUv+wwbpyg1V3pjqwMfLj+ra5sCjLG3ajGaN2a8+PkmO51TAxwuZ6X7nBI7hyu
mEEuAMMPVfQjx2lndhx5g6zyzZCk/WbUx/G4YOKDPm3DA5jXcxLJmxXa9hqKWHqYZmc8hSnuVVYb
WpyJDbLuzc94uoqT2wMUXXI+cS7qXUa1AYUjTipJbPatomWjVVSq0N6mRRwJkdS57fp6NCEUqHwa
DyPz73y2GVVgS0VFZm+mNh3Wo1cbyHx9Nqb5inO7r9aFk+B+aqNhacvMCNVaK8cMK2O/lJ9wl37Q
KJnYFqW/SD69egwBP23ENLfXKLUrIs+2dUFYeJP0z27m2rklfkXD5twR7GVruc59O72Tbm3/aunK
C1KjnH+JVnQXVbgaTQTDTxNNLONsY7h4w0AProdQZ1EKsVzd23uEHuOM4CJvEaPKxgiRXCfN/SDq
RmUnnM9P1dH8l7BrA4ZM8XyhJc4qSql6zmRLu8uQjKALvJijss7Jc1jJTvf8J1/rliZs6zSbDNrI
At+uQaLYkkVzdUQW5JX1FQPVRZNP/OMU0SW0ScUy9EdIKL90xMJvN7PTs1JlyxzfWnvTSVjup/6j
TqhGX7ALM/XLQ5cd5jmEITnP1nS22L4/QF+YX3NQRJc2Lr64gEbQdQzZI2J0i0ZThhV1bfGXLApO
fU0W3+4Awg8CUNeBY0mGbSP05p3xxdkYbB5u8N3mgBnoZiapfQdzN2pXgpzvUbd8uXanmU9aX6oX
p6ePQNbgZeeczkVQnh21C6WkP2T2zPgXhhAdFEqajFuoGBwFur+AsrkaVswBue99e5HOg2OIbHFj
1+C9AtKu32Htl7/mmCUs8rxpaTzy3YVao6vyqVzW+fay2A+XFX/LgxH6znxIlvV/vRgBqsUSkCzm
ALHYBJw/jgF7KW9s0lRVyJwVb6GIoST94y4oF6MBot1iOiAv/seDwPS8WBLGfzcomItZAZVo+B0v
BgZ3sTI0i6lhxN2QLTaHdjE8oKqfswaCfx1hhnAKfbiPFoOEuVgl4DIx3S72CXsxUjSLpSJdzBX8
YM9c/ChW8en40VIsGPkfN8YfKeO/VJ//SPUBDIEf7v+t+hy+KT/7p9zxv/+NvzQfIYgQk+wl2wtm
wkFp/N+aD1CXfximKWzigI73t9Sx5ZM61rnIAXxlMecslWR/KUCW+IfvY/djEWbbCxvyPwWYANCA
xPM3QzQRJHLN/FgEOQg9AiH6ZwkoE6HsbTd0ruiS2iGi01GeSnZcuCegLbF8XIhDmcllU/ed/HGm
W8L/RUr0J8bz/mi5mWkHojKfABKOr5mrJSfcsFRGAW1hYVKXjlew5Wn9aq0x83U31kMRFIJIKfms
lzLUVgCt6AY7ZX7S7pjg0/TqEnvmyiRzb8sKujwU4YQBMO1lUEwiWpcFlSPEduwtTj3o4anfP9Ba
09HZpavwnDMuntseHtjkDPJo+I36Bi31YdHn9m35rQ4fqnJ3ep3UH02R6QGzjcPSuf00m1Tw70X7
Bc1gNPFpnuJxr9eVteWF0q5lqoWssd1hG+ueaMKggUUxNJhBelEMWxtAATcd2OR3WhwbrzA6l/B2
vSZNBss+ifXbRHTo1vWyXONIfs3txH8e7XG6G0tgDrXhv46jR/usPgWhORQPVqrJvdU3xrUpiubQ
I0YEepok52Ko1MF24uTia/mn30muWDheNzauhpMsAGnnlTZQEuqGhym0zW1WihxsUdJs5tQTP0vm
VgZe21R730h+egKAG7ZS45stPAXrP0kjzgsPlFuRex+G0RO9oIGe3031Svv6q9T41qWs8bfGasC5
D8eawa/akH8CEVm7BdQzVXKtAE1tC3DFfvHoziOBAvZw9WF5Rz7LoXW27DPZxqBAZXuUDJmsYpcW
m5yahXWpcf7udHbYEzZRampWTiaim5WJ7J5St/mOnio9iGeSzrFpAGQDcG7zXcwKicy1dlaaY38E
gJg8KqfNzzZmynPM8HQhlEeWKw7VvWpksy3bdvzqPIuiMCgAXdBnWv3bx+wIzVpZYle4qTozoiX7
0S7bMxVOSHqjo6LvGPtAkNfslYkql9GKtj73JFAbqlXSuTpwrklfOY0/56umNPQykM7gryIPKwdg
CRJTbFoMHEqZ5Kygn2FtRPGwhT2Fq0krNPj+heGfhqLgOt/V9Mhyoa2apWnsDLtNIX85NbUzU/sc
cS4WqwGa6u8K7W7jeXTruAiK58bWvp3ZJhAUxynUyDBiGd1oAEDHGQO+iTdp66a6/4ogla2Gxj3V
IaInTMAYgcLWfw1wwLcGd/evTIbzcR6LIQ6cgS7thaOx4hqt3oCCmvcapWYkJbxw20PVjYIyU9Op
UprVBR4689GDK1jT7qvFmwmb7j1WwmozS05mxyG5BEET9yHrt1uOXWFHM1b/gtupwk9Z4p9Ow0zj
khwlJ61mbW4XvlcA5+WfBAeUKKsByZTElsKU1AzThrKOlPEqnDaJ8ubnYZRULigptrGtsy2ju4K1
tRVeYo/uP8eRaxF6zVMCcO3mm/2+Kc35TjExBNXoHu2ejzXKsjEekrBguFdOdY/dWsOCKVpKSGpv
eszavL4U7WA8GQaoL4wKcq3R5Isu06iDNyVxeKBnygX5IuG3cGUwx1q/MHdyha7UQ2TJ5jyldRrw
8NSv2AmWuqmSpqwiMXkoSH8dmUo/zFJ8o7U719qS5QH7t3Eo2t5ZJaKlGbGsjWx5kXcNOeF1mNRP
mltPOI4Ns3vkkjX9FHpNc4nmTnsqg6wHyskRvxuBisQNJA5EYmc7/HP1Olm6/3Rj7k5J3I/PZa5b
W1mXUeB4g3PR2Zoh7PIg8knqrUMsK+9mpcf7CZdyoEGKROzuJg29xHbeOQRnPFi+9iNSqa1GRcUX
ue7+dxpqFeS6pLq10hGYV4oVQ5T+Gc1FtJEiz2G/DAP59VZrghqf+LsxR925KfJbiyp6jH2nDMym
qU+YWLr7ueQWoEZvvtdF4t+1cZPJVdeH88aKnGZXWNwkmVC9NZzVYd27sfUTLcqOcsevfsEnZTwz
81WYqThoMAScYw0dpKpt9Vpjhw4sUc838u0+8mTlvBOh4bNhOjVmVw8bVpKNlzLuNR5YER4WO7E+
spwmcs8FUS/CstzNeiU+Kfyy0FnnZ64PYWCoydjbg1MXGKpDTGKJGPGmzbS3+Plt1sWB6UFf+Y0p
ln6qiRe4NGyfJr3hQdVZ9ApKiSRNX7SrySnj+zRvp3KlyUi96JEjj74p3WNEX43HEzT09zw3sYh0
+rkFCHqb5/6+jxLcOTlOUfx8WWDz3ntKJ6NYLKkrPhLJjv4OzGJzFB+osL9lqMfclZuKBgEzjAJM
4t4+GR2axDxAmJhAi0D3wjNr3WxX4Vw7LNIokhCmIlVjcOIDFW/7Alda1NEwY3BBxGMbFueI7juO
olB9xole7zRQcad5aN0v4eb5r6attavdNg+tWdiPmNqf9ckiZO5T+6yoHTw0nTbvvN7tN9J2h2d4
d/0RL89nOqfdIU5JAMkMdNHARXTfzxS40t4atceEexyLnci6wYmu7ufFQort1h4IUD5goDLesbup
M3aOgdZ3EQ6vIkm0fT4P9rmok/RoJPYWvrkMCHqhPlgvo6aslY5LfJOUZrhyKS148r2o3vV4E+8w
qIhgbGvswjL8oTWbR2AUxzv0Le5cKA/7lhj/ObYsdaohdr8NfssKvR2qdT3jVrIce/5NsOApLih3
NbLUfcxCfoROZOxq8FRStWheBp6qmzoWH2HLtYF6CeymdXXOSRXh1BrPUyis51xmLEhwZW7gfg07
uAL+Nhmz8KPpp5HMcdJ8cEvhCuv3PuqCMRxclfbb3Gk/lOC54uuFoD9uYfNxa8z7+FPrbbYWYMNW
rpfOR98ng5DRejt2J5jrFtpSVQxXKyfnRtYTF47u5s8p1fOPDFXZqZQeR70tuBAlKvPSO9pTxQ4I
QH3FpbYtHLPeeaPeXHCQErgYbW0Xp1ax1WMjOrvY+zeNkfb7iFsjSh1G6XsErfEQWzmyq9dD4UtT
m+2b+qBtJw3w9tr1juv9fFezBQoyuxHHam7Kre2p8bP3QhptYcgypGStY68y6IjlymH/sbarefwq
Kcb5cEjY6oy5n0Xkh2t+kN8Uscltik4BlbrUGgjPuhcUaUbDytxAYQPRXaQrYWXlpR4N9jEZ7R1q
KGQc4DX7xnln4BCZFUeagzmAvlzWN1l6x9wbdImebxW2iq0e1pygKoQmyXMAnZNpM/Y8fR+amv7b
IxS36ihpAlXLWqNyumhDCqZZMXoAPs6zBxtvuonCNCH9hO2y+jPwJvBSf5A8jfb0Eocbt+yhgbKG
yFip9W3AzqJdSwpvLaL3ofsmY31pS+rdJcegP7g1B9KKTUSKNb0TX2Pt5lDaRh4Ig5Gz/cmMbVhS
yioevTHsU0AUgxdXXwDqBrafRUmj/ZM7xllmHUPbS7JTN3p+9aSmgd8aVp5R06aVXzIpr9IGh77J
6lC4Q1BiuFhjic8ARIJBX2tdmHbEjKfxp8Zq/a18fkJmBPuNv1N9wKIPt5Mx1AeExBFg10AWHQNq
cuwHT15kzZ+uWqd6N/nkmdnUbPmO5JN8BIweiWiXQMioVlE9lt9NqItLlYzeAfD9zCeYy9zV7Z2n
GVP2SrL1+rbyuqVe2J3rE4wMqkfpZbw1S6FQ6sDL04q6eNAVADjcrxMibKz6vZV33vI0mNZMfca6
gn/HkrotMCAn2d5pcmuDk8s46WWLl0xvGAFwFG5YCI1r25loe3I1vp+e1RWAkMF6pbSK4qk2qRGo
W6EZK6o5garym7spcldBknfTu7LDuygFYrLSc398ZIkWrYc0SsKgoyHoQquuEaQdrWKNmS99DQAU
e9xDtXfncQqzBGe3gc0Mb++qrcviOBZp+hR5OS0PjJ7cmdrhOpVz9FjYc7v1ll82xL50p/kdty/b
KOBwhINqsFCNw8aBan2Y0lY+hmGhd6CM+aM9i7VD1jblrYt8YidSyJcmbsSbwL/7VlbRS1i4+tmi
awoaeUmtkWnUWLBLH0WoH/ST6xf1I172tlyHYV26F6xb1kMZy093blju1PMYEcWNdRjUZFySIJkj
CxctDipaQaf8NdVZY3mpCnee4cMkn3ph7LgKdc8IOOp7IAkS1HgaMS9FNZ20UblNG8Sj9diUM2p+
Z6PpS9zAnSQCvYboon7NTH1M/BqdSU01TvfSXfChpZ8ntybCPauDJ2Qlk9Jd1Xqa2BgugTo26ckh
nuf0TJo4ORQm5WS4+7jAjg5vJl37Reno/EyjT2ivHOHwj2MpVG10O6MBmkeFwTtfUZabuvOdNlVs
GcAb4Ccd8hsoeUCQM++rZmbVIqQOaMDIkOKZfOET+tW+TEOBGZbUL/fPZZAVdnO2TYZrvNCLx23G
rzBJBTC+JZ8o36pOecWdoDnXJIricBmTglOAoAC01KCPHeRujJ/O/K2xq1H3wmc75NA+zxcctOm1
K8d6fJqVxuJ3pXVceLv7Xm9Nl9a53jXcmgKsZlQnfiWNRzAmkqACzVZU7Gn+W2ENbby0vF+h3e9C
zZVPeV6ML3+Tf/4veVCxpNb/rql4S/sKnSxIw5Al7H/NWtdyVGluCnWF7GSvNd+AR2nQvTEWQPVZ
pUcfRmHuhtQ4mpm91axma8di47nhpe7nTVvRizhoO39OiWUku///D/cvuVH9z8/mAPJaOn7ogFly
4n+z/BRikKUeGupa1w09p8yK4T4Zrv/5b4KjiNA1eq7u/usvAETiyKV3UNfEgJvEfx0t35Zutf3z
bf5LkvwPJElDkC3/2yvyfxjRLpQ6Lv+p6+TvwuRff+9/mdG8fwh6gCyBkmhiP3X4kn+Z0XzxD/BX
2Dn/Dr39Jxca3aIAhXj7APhyqcj4t//xNf736Kf66+PR/sv//3t8mlKgf/68UKLxh2QCU5feUKqL
/iVenLAbo3a6zQ4FzboXaE/zVjNaTL1zQR2i3cX6HoWLw8EACM/QROGXxQNj2Sxb1fQ8h4vnpwLM
zrmZcSxiyKHJOchCY7yn7Jg02KSxFKizZma1lCb9fAoTd+o3ZVsbGxOV/8J4qe/5KZdSBLjU2XWI
y+HH5Rjs4dLAhwUhD4UxBTJ4A2hDqUcajjswZ1iRXX5e2K3Tzh2s8FjZI3Ybp6QNjx+TwE2oStI9
Pi2lnk5wt+wpYZhInYqVg+Ra1vRsEa9pHkU499rRG2M2TZMGqPF7iMzI2TK3aMaLPoRRsin6CKI6
xG7Nfo91f+J25iu/iwkpmplnUsoha3UvDbePuXJ4KrrOPpGqbZUhnN4odXC2nPiFtFZJVOje1mjR
Idecc6Z9ENbyJyMB/f9tbLK63DlSZ+7XMuZo6MPcC0PRutGa1OlseiDYHIHhaFU4FD46ZMCiX8U8
RXcDBUWbSp9zthpoC/RxR9J7m/ux08ASqnGDtcHd9c7M1l1hlNaH5stO5XDltgDWO9Mjc587pniY
E2rhVBgOGMEfoCPnu4Iqv4toPZr1aDdtBi8NhtyRBLzUVlqyvpdxZvCGqbktd31SBXAVwocBg+9z
xjXqDcpYtnJpGQhMEmTM0Zn9g98wvXkt2zfpjwDQfc3fxgTPDx0NcO+p3WaMYDH7L7cpD0QesUaE
+d4QIr/FeZo9sHhn/+1qNM+USu40oZxjW5WH0Z+eXMoFgBv4fvuLEvLwVmSxi53CTA5Z5BQbXeFs
dPW83Sx0HpTMJH+uBtKWElPzLgIz/uXQ6YhQFTbpPeY0+RkNwubmWE/61aeZBbJyKjRWQM6S0dSX
+FFbTzsl5fxiGvlTqnF1xZhTRwQssq/EcMSLg1i1trg8bQGvWQcyu5QHSs6mxlQ/3AK8z3lk++vX
FSaOIY66z2Zu6RFPAO7EHLpZrU5ks21CXGzIgaaYxcqJwmrfUHl5qHzhXIjbiPcRH/wVV4+CXaG6
AwCS/EBBkh8QdW+fWkCAdybmgH1mFuZJEZe+5l6+dGDW9kPNrfXaD3X6JokCvvOKsiode/PUV3O+
x+hN5m628i+CJnTAYmNwj0ljztz0wO0XHXGGIuEesmLR6t6mtCvATbN/2GrmmFy8qTEfiA44rBD5
SOzzsWENsbhPj6UTmXe917fnAUj060g5zMC8pHTaTYfk0sWZfOoz1s5JgvCKa7HcaGPiv5MeSF+a
welOnU3h6mbs3fQIHHA2tqKIi3tb98MDQ6WCfAEjQmdxtwV2Z/+2h0buLNeZXsfUIMXqawecMMWh
s8NLrleMp32sr5RP2EWU0cHw69NkL+sBH/41tSjfbFHhZ5MT3us4ElcldxJ2IxjjsPO5WyOmk34e
HfkLY1Z/0qVKtrk1gRIoLfWQVra8smSf9pQamg/hpKa3nu3nlx2K4YFfSHg3VnX/SgGDCGA9FWs+
J926Qo3eq9xKd7WV0ttQ9FX2XCeUevCy82nRFOUqblZ/myScd8SXR+qdQy4maA7cGYumu3fFUBog
mydsngaSiofh5/fM2kcDNRQS7NaJsPkGwc8xGy5xWNzXA1YKozKiNwNpm5S7T92COWEY0qdEv+Aa
0C9+l/lXDcn8YRoHVCXY1P65qgQe/Xy8y9ln5/RJ8V7pcWSuZ2tB7IaqQ9NlgD2SiMKG4sFZ4JdR
XnqJucg1edSUeXnSqII+GtISIKYK2wj0TgsDBEtMCqni9qhoS8KAR/PPvp1a+StzXCwXZH04S3wc
KpXxkfbM53lrQwywkuRJNGl7iyipuRrdBCa9lywJkKXkc1v2/nXkan4hdqt9kjJF+xNC3fKkwjHC
p8c9l0pN3xN5yCnIImnvy9JWRy0qhh3gsuE6dI15NCiu2HqJlC/KtmknsaeQIuRhhjw6xg+cbPW7
4/fVL68r3d9TArxj5SyVW74ffSssGQhis78iZUwK2etP08gwS0i0C7Rq8XH4WqsdaOymnkpv8+Gz
LjyRk8ZUJjyQWUuPeWzJl7Avu01FXevBswvukLZDJW9pCbmlMlS+elHpOBuLmuVfZhR5u5IEzqVH
ij8NHvIyCIDmEPveHl+5QSTK4Hwj+tDl187S/bvUK9pLJqZu03ttdZSV1l3YRTnr1Mro+83JYWpD
2b96lu1gSfSHhQuhIRy0EPQf6qj1zrPmTz+62ef9yu8Tjmuf3/EpV532FMfo1jKpePRkkHVRA4iH
LQ/t2sE7gTICuLS6c7PSvCZ6WPJYwtGbefkE+wLlYud2IKt5T6jEDAxfY3uJhSGgCtz7zMg8bfXE
/LT6trpoUWk/etHikdBH86wIYfIYnIz7Sc56wE72sryAR8mdAgc4idepTNY+S4RL73XpIQKOvmpi
dMsqMsxn1+uGzegycYMOXLxxacmlyEEXcDgc8yzBYlWZNYYfvX1wcb5+QefH4Ci6el73avAfiW7B
/petgaZGlNwO09gKCq227rNQktozhtF/yKMSI3vMIat08+yFDaI/0VX9ItFCOsuhhKozPPQmTf7E
PS0gQI4U2nMnCZFpBOJaVGoou1N7j6RZ32dTLfdpbBj70bRLmtWpX1KKVuQdsD73lVnAeBpNnyQc
XBX3t1do/XtRsQSmY/oNKdTdaKn/YBpNm/Lv0+HRMae0ezgMRC7TLo2Pqm60g0OQh44nCMaIspqc
v5IaFWbhd6ijQXTTrjjeJtrAeGtaLX5uumZoGsm2IuGw7p3MSrc0jUMINOXM/DHyEL5SzCTXrWzo
BGqKuwHTEpXBs27tOO9gYVh9RlUYAW0tEe7eqHLvzhWAY+F0Je8MaE4baCmZMTmF+75OQyS2zMcQ
KkjkHew8EgHv7PxeVTWLt8YaUzqa9IrxlTYsCoMzdXOahka22VQHR5/KO+KTis+J6TS8OXz3m8E3
3lhWZuzwi87gaYxlz82kinHP0NXjoOfRs04D8jOpIm9rRe1sUc8uEaqzzj/NmcO0EtnhQWfVjfyk
p4i7WcUJtvKG8JD0A1HLMTLTY9qhj1EDJZKeEROBoJBG1P6YReq2kGKybhJevcJqeg4HNPax85oj
9n5JI2hrXiyrma6+bMTaz5Io6CI5HuNSzZuIwf9tdrxTajlPkZOoNQu5a5mwWs5N61hkrvhIXKTl
ZspBEIUO4Vq3cFD6WI5hz8IyxMJpLTE+b2pz/mzi6Vfiag9ejXsPnrqzzmfgdi3p4oCUltrppgaL
lUAYIr1xSnKBtJ1Gz7ws9E8R+Sae7v+JrYQ0Myd3g5WYl9a23sViyV5o4LBQ6FvOMihodZHziykU
NWjFVK+AmsJedrGUY/40F4jQFrlyOnrJcPc/2TuT7baRdOu+yn0BeAXaAKbsRFIUJVG2ZHmCJUs2
ukAb6J/+31BmVtquezP/nOekyqtUEiUSCHzNOfvEGB8fSTxgKoezj5EphIYdPCaSJIxxRu+J2mwu
p3ZVLlQIbMwrJJj282RY41Wa4KNkKXoVhK68ZfoDa9wjF73g8nsxtGRe5IYf81Z7+8oIp6NraXET
ownY9Gy50Vs1POZ0nBySSvq7SWMEZWTpridkdtiF2+iMt5cne5ZOt1AL1Cb1WW7MbU6fgCJz7VXy
78hTvwxSaAxJWbEBQjgLQY3+8OdhRRw6k0o6Pzmk+UL7IPgOiNLsc0qjGQRdgoDktaKWKnhkkzfy
Q8v8v4xxfpmUvL84MhuoMKDjwKr/8uJzUjTeNFfJwRzL5nVOm+JUJSq+9YHJXP76pZahyw8Do+Wl
bAj1Ns4w5kb/NS8hai71xjjnpSqrxoVh+gzQCkAt3/76dX7F872/kCMJvMGXhi3hVwBbVmJebzIZ
LQjTaRfjDjh4CylFFUl7V8MCD059EIuEDz1/qSQKWU6VKL7Fq7001yFpUtu//pX++yOWFojL94hW
elr5S+/fidaPW7qMA9ku843IG5SrKV78laMCTKgiipvXsev5nBHc/Jbl+e/86G/mRyZyCD6Hv5C0
KZUUEKl+HB79/k1/DI/kB2wRFqEMLu4m1Gv8vD+HR+5ChF3gwAHo5CWG9s/8abyGARAVspb4JRY1
2u+6Ntv7sOC3gQIGHpBK8pb+0UzpnYr84y0F4FPiPEZFh1jfZlr189GReAnyH1PHx7HGnbUaKkKT
XUwS11UtkQoRn+zA/kIcW2U1HfYCO0Rb1fsumnyNAGHfmDmUX79U3nGepRNuVV/Ow6oVYrzH8ZE7
V2bKXOk+C9LmqcYQ767BcETpegoVwLSe0Qqb1tyvV4rWy1p1uZgx98F7PAUpiZorPTTzYTbn1lkV
aRls2UbbzbYH9MR4YiihZumwQgHsG/VXyh75+m70YSoBamEWNilElWr1evJdy92YHOHWKbDaeKOD
3LsZHIxbed8RmmMZO6mhuq5YBAqbxZCZPFRpOt2PsWjPTWTll8W1VmzlWBqQLfwxcukjRYRaIK0u
yq3weEXE5bHRmfYRjPmjVTXJNWP7K0ToDXybMilJ7MTbZekYm387WJm5GSkgdk4rrScVIOlO7EY9
mBZAviB2vkSQVW7dcgo2yGXtu85Km0NfTs4mNq272Jv1BhgVJd2EeHqsKH5sCtqzXQwXV7ATdZXi
eVCNMn4FNFLRQYOdQwGVXZt5DlnEG+sLHbzkbY+T6Ia1pXMe4oLUKXZY3UkM29oqy3NI7fc97b2A
/FcHZ6sLUDtqpL5YXkATjOrZDOFtEG5K6BIB2StoC08BztFVg8KNXEX32A88piVzoYe00fbFHoPx
2q7kcJdoAWcpi7+m5Fi8uKU3bFg6XCNtmjYuGIiVBziMTVBl3PflmD+oJstRTJGObdkZQay8I3T5
2X2j0vZsjFm3JsVTf0ItHGI4scbzBAxtU8E53Jouv6kB02SzTAk/zr7ExK/8mglqWpQoNQipxHdT
Vea1HdfiOInuTfH/v406R93LvoBdgC82uEhwb/c+jnEkVGGKfBPo39kxkMSlFRuJDLLK1Wx0xUVY
XNHS69qTlTnO9aSsVdUwUWL1q29Kklae0ZGBDzXaNj46KdFO4L1UjVikdzZ1lg1XLH4J3K27a4+5
6lHE3k3f6xqag1fAkyqprP10ZG9XqD5jxwg4aBQQwLoQM6o3t48G/Q0+l4uPb3IXymunh2GAFQU3
TZfexXZza2BVNKcm2ATKubC7UtvCr151JeUyZ36cFgg1gvovuWzUDt9+OxH/ZF27Do0M1rFrNb0Z
ETaNksYIzpV4croAQxkTxX019MbN4Ad09l0VbVLhPHMY6lurysedgaqS/J7IJfRPO48OpCQQgFIj
fGugL2Dy8FLjKFn5rcBVPEPbqbedzJsrhZmVxelxbpNTm7fxqm4xGOO1LEJW0JjCV5gKcvIcUrIS
hyrZZUM6rh1WaRdC3BQDGzc6gKSGScdW/0AYwHifj2q+KloaP0BBpChmo3fjND2kEnqFZnLCbIOA
bbgfnPYRw5ixN+qJzplwRkJa6XidQeBhM3gYb2oTXcXdFA52foKVcM4b/2tJh7n1vDn4mLJV3JEJ
k0HSSsK7yfaTW/wSL4VTofapabHmxHzxqt4lzKUR7Rfd8CdDV6s2TaWs60gVSDgsl0taRIwRckex
H4zV3cSxS+Aa5x0JUDBbZDF9mbsAWm7I+dx3XIPJNE5fgmmk0csTUT/UDcY7wWQq8ov8tsRgCk0y
YK95Rw+D969ip37FdpZloXJJ5tRzWh4Y8EG3SoqWBI2qCC5tKr8zAh3WkQWrYoh9JgQg+rHxMNXy
V5TWeRmunSTvRoQXnYtYtEo8Y2fO0O18q813U8wwg8MdOdzYPcZq0qazn3omyHkh4o5ni1G/ZgZA
IqJPUxCpjP4t9suNX+LMLkd/n3UIaE6j03j3Iw/sB7sJuUWygUsPpVPvftZm0hzjOZ/0ivwR92vL
1Z+sTdIQ0PEZoXSgrlXyUgPdZMmMR+NYUhgeaTRJjAvSItqHdXuYYLPexqpTD/DRbLlqeiihZHhz
4QbzED+D0dXb3nLyvZlE8YvP1jhYgTIE0R5NrXOK7IbUb+lUrAHmgaSXvkIpMdh9z/B0nPGXcLR/
LzKH1S4c8OGm7bW+m0arFkDBJsZnMyYpunTgbeMKwnn3JADnvNSNSJ55JmOhBm1xg/Upv6VtDL6L
Me6AR6rQvhiwQZ4M0kXPuZAH6MbInHPbe3OLwCU9PbbrjoFBj00GDujBLftDzmm71tQP02ZSzSJP
D3kXEXrF/mPXT+4JaZN6M1KRYt7pLHC6XpUM92HteI88R4JthW6WJnBiB44zsArZhJgUsA2JoK8Z
W3GHwyjCI0cs4MIzx8CST7FxR42vyd+w8+YZ1GR2tlUVRVzFrSMZD+Uz7IQ6e3PaOrtgQ3lQmuBk
dAdFeEDwnGPZjLlZ6cPq27m24ZsQ2upPK6YZGNQnK2BEreLh2R0mpvh+XH/xHXhIBUMRNhBREJHL
Uk/GsTHT/g46LSogWzfGqyMm0ofgGsGXh1y27ySYPwY0Q/UliMbCX0+s1w6V2dogCJK0Rnoj8/Sp
9hPHWfml3V5SB/U2vZld41es1IF7DhJKZ4lqoo0Y6xW/ebC1ZSOew6ANnW2RiGzcmL1BGLtykksY
VOIKITQLFCSvuNZ9RssczwgGXbNHoZxZ8jQNbX0049bbeJUjNlPfafyQXHBSVfOaMAZnWwsskaAE
SXSMoTQy/q3uzU63G83+8URGIKMLielnM8q0OmjpEHucq6J5zpq0RWwWddpcg0gvP2cTAIFtC1Gn
BttXz9/g/do3oUC9bFveVyeKg08yLvIXlo7lzo4xCG844kOy2okOZG4VZJyICPvFIZFC3gSzI7/0
bqNwPVZ4tK3IndnX2JP9VQ74DNrQtB9Z4+Hh9nN7GZI3SOeL0ir30Fz4ZzZ3mb+HRDVdfGZw/Xq0
YvOlD3pYW4z8v6DuaO/dABfmOh0t8dzNFJDbSAwd15LQ3Qr0gfkW1OiSt2HuRewZyzT8jHGp+IQj
1dM7u4jH6053E7oEwwA81hD1nMNKPaRRdieI8mUVI8/R1IPyyIlb9I0thlnEyVMb3DttIM4dvjE2
GDkydhf0xK2nqA19M5JXNU60auU2vfOV7B8L0n1ZRY8MxySy7nxAnGgatjmtTZ0IZvVRdNatNW8H
0NoHK1XY4x233cyVrXadEN3JREHudU3+LU6tDhJ158lvXop0kXz4gnwJr20+RbhavnpOGe76UoB8
5dOcF+uo093E1khGJGUWXufQRRKUNFHqMLFx0rcKe2FBfC//URmx4mixh5sS2fGTCkf1EYFVfCUS
16A/CLtTgyaYPQOBV9dZkwfrSFAj5kN09EEi6l3R1N3eT4IairUVZZ+1z0xvhe+AlUecuHinq8ry
tqjq5+vMMKvj4Dnmib9QnSx2BK/hnLTQP9p2n1d1v4sCuzjUKrI3VjY/VROWiLVpmc1LhMD3zq5r
xNUiaQ7vrd+/XfLfdck2lL+/6pL3RAsnPwkszN++5Q/nl+t88AUSIPlfAgvTEx+gwi3qC3YP/F/+
7JEtC08YIz16V1jySy/8nx7Z9D8EIsBjb9lC4tAJzH/SI6PS+HHq5OD48t1lImR5sPgdx18GYD9I
gYQXqDl1I+tB60UcV825ZuFr0suvZwU6rHKAycaJal4rmVmsQzLjgqt8YqptTNVaJSgGlR7ZPItQ
DVgdzHUbGJiQxr561kLwc/AhMjcy+jK5S5uxwphQuWDaYsi2nYN1650uaxlivMOcO2zeebUlsb0X
MLHzPoiYKMam0X0rZmPmxnEG55Z9a4xfSqE8iHU7vARRNb1ITsYEMz1v2zqOesZHDTPvHeiT+ugi
/viK3Dx9aaNhwqTCWAlS3fQ8NXOzDqook9BQ5vZb30QmWyLFThz91H0Ue2A/jSRZldDqPlGazH83
YrSX6dafU4r3j4AhHHkIeP3IJFlGJT9+BPnsYPEKtfcwN3ZwcO3O3VbWiOAuKEcDpZ5VLw8mKw/u
WKFZbP0s/rTK80u0mpngXIzTaSulC2pz7vqbOXTjs8V+/Q0jgvFU1K6+xBNEGjdJ05vObZlxM25T
j7BU/CtGa8Qeabu89f3mU6tsMpcqPEXRgIMltq5kHLylNbvjH26S/2Wu+j56+emPZvawXMCUiQKV
0a+hLxW5EFEoquIBHXj4bC6ffsSW9rNpOeOdIUVz6FK7oUkb2q3DU5YwDKOddxob8c3YjeJrlZm8
DYE7jLcRibvHobTdh3DiXzVBb9+sqjSvI8MabuPOM082W4Q71w8fofBY5HPCyMmKoV97mRL7pBhI
ADEamlt8ZhtkQ+12FjnXtN2K/lrM9lvhdaehscw9LhJ3P/nNgo8jMyYZp2w7uoNFZx3EEPmeVRWk
R8cph9ckZiWnqJleK4y6B0mhuW/aRZAQYzGp+m7XJsN44abMzrI3uJk0wWGZ/SaonUDTho2nN1mK
99pHVb9OwE10myQBN17KNLgScwOghsk4SVrAUceCT2nVFkl6k1PwniZfWU8TORTffMW6HYhkA7uH
IqjeAy40d0Ws9T4Yq+Rata24CdFe3PmF2d+4WNRbStRO5ds6ntP9RK5CsJ6dyLoYSTve6tbkDbUW
2tHsz/vBXe5NI5vvc4C8T07M5jsACnlikROsF0HC3wkLfz6zGOchpyU7HNOsHfBZvuel/3BmYbcE
sd1L4xK3Yr6HxVuguNHgk8bB3zSyC9YEKnHtNOX8ChidyIIWQczaGab4De/DeK4YuxzrVtRPsnaq
jYoVtadffR4h9bMf8vJPec1PyfrGhb3fk6Kt+OxPZcjeU7Rww7UbjVuwJNYFDwI6NMmIAfkvlgri
e5I1x9XExs+1lgO1RDLvVq25dVvD2iag1PiZYz+em6yc798vW8rLACmtN900SNxOZkWiNAtC8dk3
cv0UkJjyVBhzfYYexcwoB+QeY9Mqkq+FyK7wAho5JWuA3MvuOmIO6PzlNvNjxNiihpH017fueyjR
n7fu8vajCUTV6nssZthU/DJVxT6nITw0AKSbigD5ljiZ1dTUxkM6B/wFZmqBV6m1gXkoocZxxyqo
bpA8x2jlRMLjxeYexCOr6vDoZ331kvUeHs2AdSVx2Uz4n+EV8ccssK9DnXTG7p//Ac7yeDWRwDL+
c5ekkx+un2JGNU6zJi+KIdJ2TM3xXNOG7WovhC+qC86ZsB44LyyPI6aIXWPr+ej3RCjca6RdISjt
xuZgnsoXe5TmyRtA1sYWaOcdfuXwI0McoJFxEYEi+evf/f15/Mubz+5Gwle1JMrLX3930GEJOuzB
vTBtYAU2MB/+ztUc+vuG7dijOSfzTTpqlC6M9K5aOLYw7YrCO/hV0h9J90hoTKzmoNwBPKysjY+t
l4P/ZfaD5qXuitvZ18lJWvz9A84zOKL0mN97HhN8RInzVYdDdxDz7OOSq0GSdwQfFKgeJTvOFO73
aKFPb7sufKI7SfeGDzRaI2/fhr70dkrb0Y4edXwmUGC+aoZlc4yscDsXkj6ztazxmxlpzisrdwh0
Z/Fqbme7CnZ2mX01Aafp2C6YIWZVdVAOqKNCcqtTE4x377deGBgRVgwjxjWQ8T92gJNwqzbWhTEf
jLQ8tfs1vKD4TVR63qUiDp+58vpvjsqXE2R5a2jijmRszzeOWKClTs7Jh7QJqrSVZx9FhfcQJoeX
fKYJfrVLgLqMWsZDNlh63TQQoRiVWSfIsAywIXGdUxC8xd9cCBSJP5UN3IZszKgZsLiDAKAc/KVs
4KzOO531NQpEs5VrhH8xw8/lbFbDCAuHdmUt4wVNBx0/2lGKVS8emRfw/ziTtlGuD7FRSyYoqYKo
DZuJgAeRZOsetPFiLyl2jCGW29WU4ivyN/WJ47/9akF5+daxaDc2gefmkvQHHwsfWld1w1zL3eK6
mLgOnGXSrmwVqp0yQ5izwZzTCIHM2LBRlQcyDT4BWsMjIXG3YBa1kqug9ox7DKgTmRIdA2okwRyR
Ge0cAONyP5ozYY3ctXupkqXkXD5X7B3tkwYr6xoZ2pvRSuZtYE9PZlUVGyjyGGDEFOdofrkhgsjh
Yk0t7eBf9eWrLRmmNn2fHUs4qvs5UJMBa2aur2Z4QeUN5icHAnCXxY88B5JH1D8k4c0VThlY3MxA
NGw58HZZ7UX7mLoFbKvNaQAYGLeRgX6a4dSwFDhQoY/CH3lU6dzbNESWRJixu3YLeC8X/LkZR54q
F4QySyH+HbYdt8EU0/+ufU87ziJPKD5GUasxUjo8dWYztb/GdkisZmR6VXbNpH0pf4LpPmqT0tjO
QHi+5oo+e93WOREwnOxibRSzicVyyI4TFwLctwECouFM6JJc07Y/m+XMCoT9wHyPkQ4hninT8dJQ
W+5bA6TlSut5/m55mX/wu9nA7pdn3sqH6IVbqJmHrdP3AVwBL8EhTmjjCoc4V2FSU2WuRnL02sDF
xe1WodjA8VbfpRwubNtUsnYpW0OY5bKAGZXlZynz+M7Cz42lkizJlQ6m+f79RP23s/2bzjYwbTAf
//f6l/iCtkle2/8pv//PuuQz/Poz1Pa37/+9y5UsbkF/BL6DgMFibEob+fsmWMoPpin9gP7WJk2B
KLb/bIJtWtkAuzcaavoABK586Y9NsE/XTHHHFz3CfS2+9Iub4K/cBf8tecCKA3/FdJcnJgaDXwAn
E2nrJgWu2GcjrLnou4qM23EKD2AUNxT/ezYGRy3CLVf7Z1I0Vqmt/0ZIEvxStHJUC17a4wbib8YO
tnz9h6ID3qZX+YCKkNmi2w6dz1MAoaTPtqw8osyqKCzrbkMnSpaGwgRURemVtBzilaxnhxHfjAus
MqIbHkmrpPSZ3ONQk+YZaxO7QLdf4WPdGMQFrET16oxYpcp41RUY2LIvqcYYxT8nxrVOMn3Sc3mV
YBTXxnZygz1RJAynIjARtSA3azXDRO3YM2nb3gh2jpNdPE5+xkDMtMFo+6ucRTIVFpnhcOqTdGb0
x1Tbp9pJmPm7LkNbu7VRtGfgPbt7FRewxyBjWNj77r3g2bSNrY7ky6z5DfLUXJSJa7xK67wOgInE
265Um54JfdNll9EIP6b10ICUzLd9W33pAktcJaq7i7S8Tk0gTxGh42kGVwN2rzfzawwtOla7KF7z
0RFXWcqMfBLDa7HMJj2E3YUesIGKCnGU5sVmuK32bZSTPfPv4VK0STv9zeGCTgQs9V+cLofiLXkp
Xn7Rlizf84e2xPkgKWt4/jLoQvn154Hi+x9gobG4tG2OFTQifOkPaYn5QbqcNIJpB942JGN/Hijy
A6kPpBeySv5NkfJPDhRcbD9XX45vcmbx0wISRT3fsn65nTtEDskcj8aSwTEiA1XqxU1pS4l8ENzM
MZpDMr70RPPZUQEg0KaB9OImv5m90BnXJkfSlliD/k3CDbqdgcJ+CURKxEcUZKRl8F35ZixDRr/F
XHzJXSYIwjOt2yYZPPjWCBtuABrR3GZpjudeB8oD1es/SHjylwa11K3oX/KyYWKGHuOxhbr5XGZJ
b6znXlF6Z6IaX4AV5eMq0QYFm2FH0KfHAMMndy8GrG3l1dnXmOE3lUqTY7qaCByCCTdhXRlrBP2h
CrqbhaaNHhIaJ2b4xvLJsi99iRIDnS4iaD+1r+pgCWgaSbY92ans/S17ngRodIHFZ412tXytmD4+
l7Tz505PYt3ZSl9HgR5eATAUz/QmqDDZAU7X0ADq+6lKoxemUwhKUqtc0ayDGc6rNbmPAtyaP5xn
Mk7usKCWULL9saaOygd5pcYkO/t2Pt47CiNINbWbSZcH6g8SampOOnTiDF4czDNWIu/MWqPATe38
ddTKZIuZ+3eea2IWb9P2AUeI5iGq9ZbBgr0P58pEr2cAUnDbSG7Sae6uEWcm4WHWZn3sZ0VegYhc
CqjEreXJF7mFZtGY1KOdV91D52QsIDuTDDeiJs3PCTnTn1sDakE1uITcYEo6DTOoRGY8HmHTk7Me
xnA+zZHZPalFOb1eMgpPQ9jU1/j/++8BzCESMafWyDZaAX7onUJtK1g7KU+9AIIBT+7+BhVIsxzB
KETrd5YgkS7uVZTk+G0tosm+pNS8aslkQHef1XZ0V/hBYe5pW5NLXGX2kxXlCWYal1dj5oeLDaLj
rqtj59q0UnbrcVfGexQkiNsnIJtW29f7YTL7S4T0FMF4Oj4bRdQcbZEH34ZmkM3OE9BRVqY9+MkW
J1NwQS81D0xyotL4nEa2dxc7CUKD3gcWvwr0nL06VWkHaH2gxkZizjcBo07YVdTMfI4ZOFgd38kx
1TfanOKjpFELtmY5AI4KC4fJ9RTlyFlTYtztWiwhbCUi+Zqvm2Xk3NQouMstHuTqnOJiTTTraO7y
z2Nhpg55MBGPfd6eEf82sN8+EfxXWZhR267GoJ9SD1JNMAp1KhCPFQzYIKpjdBrQ1YY9CT+Xaejt
6RiT+ryvB+/O9FM2vY6c11jF0G0xTHsYaU37rR479RyGEDVMFbJ0lB1As3VWWSWQIO0+dJ0LtHFK
zHbdOlMNJTYRZwdVyqmFFnblkMmz0qUGd5wRLhqE1CD4QLgUuV8uoR4RjSUw2D6N7yoP9D0ivZMJ
vONg41RoYB6cWTOHUGh/CvdsmbWxH7rm0WHzfG9k/pJLughLbBQmPc6Om3IRneSL/EQtQhTE49M9
4h6LCS8yFdT7EVwkre6Hxm4u6nc5CyEAdqC2koXEhrpyRe5QsjLr+Jyn3B+LMEagkOnTI+0fP8k2
6qtuEdEEqGm8RVbjoq9JU7RfZMetGLprfswiwlnkODGgPlJokeiYi1hHLrKdBP1OsAh5UNDDOFnE
PelshiBEOK0nlD/FIgEKFzFQNr01ur9uZ97DsBXX6btuyAwysRM6/jS+i4pQF/lyQmaE3giELvnW
iXURixQpZPYeoU3yhjS9a1Er4cqH6TBdy0XGlIvyoU+w0+WjbLFVTPCAhqzfWO8iKIhM/l7GsECB
/GAV+k0uFXs3NeCnY2Pr63bRVE2B319Zi87K1LiJKNYkKosgi4+45JyEP6+anyEf6JtgHJydN7Dz
4DK69hY1l4gaayXeFV6ESV4ZbmEsM0WuJsgA5+ldFKZL5tg+C937epqCC3wAKAXwg9R9tmjKvKB5
k2Usjij4zes5D+qtofH8rysyX5ZjFjz6yufy+8ikP9pgTC439aJimxc9W+RF0xnXDzbc3mw+zRn1
neGC+LGC5N5tMNFAdcYEgVgMARKKOThQ+UOvwvDeXfR0wPIAyuJc3Nh8TAEr+0226O/UGL7EiyLP
WrR51qLSSxa9nrco94h+ydetjW9zUfWNHZdOaognd1H8uYv2L07HcM3EA/B1Jl8HNvIXnwafBPVx
2rE7CkiPkeq7p8PiTBOsF43h0DoMQZpFecgZY5zSNkGOWMd5fcHwoDb1ola0JbpFd1EwBqOOX513
WWNQar2WWXfhIlTnoBTqjigtPLiLIjJZtJGmKe4k1OnNohI85IuCUvl2sDG6RVU5mF/cvmGtbBrZ
Q75oL91FhdmWDqard2kmx+Ei0+yFtzYd0lqnZJFx0sNcmYuy00AReXT1MIFHT8aD1/KIHLPZOxiK
MOrfuqN/m/C/rZMDn8ry/+7CD+XwS5H8/g2/F8mB+GC6UlJt/1QhBx7OfVy8ZAiSdGS9b7D/qJDt
D0vQC7hilNlLgfxnhewQK+MtNbdg8kUzzt77H7Tcjs2K+oe1JmZWm+B126N6DwQybPuXKfuUt21f
yITIwDofr41Uk+6ZWfRztpu95UU/HyAHI3uCXoMEKntXQ73rot4lUqHUxh2yEYRTqGX6O8duw8ds
5va+rheNVdyCpzyU7yKosOD8X5PHhSLLDNFjjko+Tm473HckmgBSmXJFdidWlbe+R9vV153/GI8l
S7b5XfzVvgvBikUTxrruEC8qsX7Ri6Xv0jHvXUZWLIoy/BTqW4HILCLf7JwGY//UJrVzQSeHGK3r
q/B7uyjUIqO/yeBgIfBhI/c8L0o2h6XV0xjVpDlNOv5OxAdyNwIb4RY0o7yroEJS8k+25k6PxptZ
NuYA780hPTI3jPuySAFsyT6Pzr1hhQfvXWoXIWJD2V7azontdpauBQcGMq8BBtfMMAEXfai3ZALE
z+ZkE4Zg+7l/paWLxA+NuHqYTAJoqRiQxeHG3ieDiq7gsPtYg5z+SpRjhdsoz72HPI5IeJyJxpWr
ibEkrn3T6pBlghWFx+qUwduEdbFCjN5IkJyqR9cb4Amywqw+dmGWbgECkbKK6Brkej0G18sU9F2Q
zyg3qPyzQ73Og7+X3aWXeb2PmEnuCVjUdCGh366DhGHm2pm96qHGnXlk7oT8zhp5cwKFe9GoCnVr
wqMSpJLN6S0btRJEuCv7z6rDyO51TuujWS8h0cTzNC6BZzKg7PTClrDDId0qIrRuYfehJxoTdG62
VwFaG0ZYnqyu2mOb5nYMs2GM7vy2+k6I8dTtRTvXycYgj+Q7aXjKWREapIZV4szta9FQduzZzyhc
sGN6YJlYb9mTpUvKsIdh1gxoKoYGRRUirl1g2I2k5cATZpYBjdeYmMPtjCM3fawF4ST9/Wz42FER
4jPtvcJDnVyGScZ3MEInU73x6TKgXxP1nPDeMoQH1HViXQUl4iw8mYfnSMOQzM0S5o/T9pCeBpZD
k2l9inxeA7L/JlXzg6PHCEgDI7U1K4W+2IeFuQRPIG9DSO6t+8CSR3Sf2Y7Uupzb227WC28DJcWw
kgUKJwxI5VaLKl/XrRnu0jibVoZsWYGyqlw1kZ3jQzWvrTYAmyVMiRfRuYCS2atBuKe5ckJm0A2C
WFFMe7T8vO8d6ZLwTR08zIXfcAU6RS3OBhYCb6N1Z6/RxgKuS+f2aIGJ2CY4Jg6o8YdTRzrpZgCK
e1W7qIVBqs71tafr7ggmLr8wIHQKJmaee4VTFkBxoO/nmBszK9Pvs29/Qn+y8pSfvflN6WxSz4sZ
/6f6o9FZ6sy+Ra51wQwtGV3zoXHAV6Dhoz4LNKpjGAPQ3oGykvUR+Ws0tBDJuuwOct1j4DRqHZG1
u8KOu0/b6ALEISb6xUzXIZkK6zQRvbui/2TBN3vwFjNvebfL4SPz1ngjkKIfZOnMW0t5PRyq1Lp4
1SKLVHO2pWlwDwBWcyKioQesMLN2Ny516rYeU9B/wLeebOU4LLLcdBNn1PQjedRH2bXyIzOW7roa
PDVySGnOFMoUhLKJGxqvguA/hhxZNN8KAqRRTEfp3dxzNmYwwPYlkpZ9ZwSA6E0jGLeRjsZdaM2M
6QqRr0mGjtbQy+pzjh3+Sjb5opyzXhAjYeyNIMmPIWmxSBXaLShVUmhs3pR70hUZmcy4AeAkKt5t
y065USnCgtckmXiI+HaPNDsZ23HN4qs4JYjPb1Ptw+ISLHH7IptpRCyxFT67odSR3a7Rfv6ZbsS/
i1tEROuIj/9ziqPYcjsok9lY3Jp9l6ASjsRHkMHqu56c9lmakfMgsavd13UcYdarxU5VyAr7ufUP
eAEghigmG1vi2xSHbpx0D4ljl0c/1vaLrbmkbbseTsifixvfrDQUeNe81drNSLJlnqHzYXqIzHyZ
thpmQgpxQGVOs3YCHhDuReyCPUl1BhDO58hU0a0ZEA6asO9D3dRJnzwKXyLNtqMNsTOMSsI2no9C
VfEuZ2QElUmFn2LggjGCAld/ofxLCCsy+uRk9ZneayusiQcwx69522VrdrDzR7u30ZqGqWwIJ0ja
aCVr/QnCqHWa0TOe0JuS/6A8kXK91fHF9TrzAbWGRThZWhHVVmOvIP4ifqrqShP/4iH50iVDMw6m
es8TfXwBrqE+2rGD6AvdDpyYwQZOZzkzUWBdeyQj8b7tyI2gP7fNtv0sam8pbidamEx8nsiVK/bA
epvkCfnFkpfUll7HkygTQCTnMgZLWAAm3XYmtN/JZsi8rcQ4v/lt723DbKINZsMuVzF2xZ5gDsAl
UTx1V4PIPw4je9UkGyKy6Rjr8FGqDRgSdW8vkyS3gCkRGdWmJtbx3znyt/+fObLF2vsv58g3SVF8
A4b2U5H8+3f9MUkOPjjYqaWLztE2vfcF1B8uxQW9v8yQfQ+40W/0qz8K5eCDTVXtSi4T+93B+J9R
smNjewxsPI+28N1gmU3/g0J5UW78WilTp1Ai47jnF2SR/8t2ysbon7ckwV4DKSzjGj0vfqHNSBDP
PmnNsdpmVL8lUvH/R92ZLMeNtFn2VfoFUAYHHJNZWy8CMQcjOFMUNzCSojDPjsmfvk4o86/KzN86
u6q7atGbTJOJYpAx+HC/e88dqd2eMUnbG7dR9tfMObdflYSUVw2fiTMTLYrOwIln+ht1oVK+CHqC
Cff04iP2rfi5BEkTprHrfBulVEAarqzkKTCibVpz5gQ4aXjneOIvw9GdA8i77Np41rLqxAgYtWp2
7otO2R/GJKPlZFKV65NJshRCTCCrZzuPBu+m11dixVC4E157Sefsj0wvGNCsnm3wWj4bQJYAV04W
DnvB2u5MO0w8e/gOu3PCwzBQXn3O7RQzCXBEr7n2wDqPcVSUQPxoE0OYLqL0mYEe4Z5kqnTYpeT3
DqQv+x8eRoFHkNJAxD2V7Kw5+1G0AfxvL6X+zCRkvRrpHNtlVvq0wFy/c3F7oLgFi31evCwq12q2
072qbKoEOqaJGyWMdwAP8L1NbOrXVkkk9CqwN21gXbNgtNWvdeK1zkZLo38QZuGcx1+sHjV44jDA
QqjRioLoRZe+9whSNHrq1GL5hy5S9pWM3TjFqeglXnsPceV1JA2wISLmhQBkPJ6DZly1w1wd3aAu
TnCteC6HEqilhdYAgmFZppMaFEcLI26SjYc68ACIS2Kjj2IcM7lwcb53Cw3magL3Pelq7fkLGAkZ
tfSpLVHECLC0Xhttozbp3tBPQeFxjsUre20MM0xOr2lHES1nRI8xC8NEyal7MylQqv3OGrLFxE0S
O9Dny4xGA/EOPaK7NviimzsOFPASx4XVNhJlPpo400XVBj6DOKQj8b0k+hUIvSqS9ZRdKwKvhBsu
SokbKOQT1furQsPwX/WONW0KHY1hR28Qcrv3lM/OGhrPIR66s7P49N6hoHspPPFWt+EAx5xpaHQE
0bKt3Lx/JthwP+NpWXU8zDbW4M3LcfkuzAmvsJdG3D+WR7PI+kPbMYrUbpvdtKVhHhqH066KWusY
GAi4eS+YcBoJhjwAyUeKhWGO44Q5GcWiD2bLR9NyC+s5WKy3SkGLaLnOrrJEGaFU2bitK0+xodl2
dujT6aOraQ0DVBefWtcb1lqX9ISC8arp2+tlM2wlZIc8N9p1WhpVGLcGnCSs0wmgkOSLRsNXb6Z9
NIg4mLmtCdGCkD9lbtKf1sGwxDfUvlcgTpZmR4/5I03qkGaoziKk7BBho/Xijp8+O2VYpbsV0Pfm
wCx7+GqKZln7CeMSjw/bviWEmXsNtUaxVvu6bQ/V5Dy2dvGQ++kNgukuAMMA0Ek/pYCfarMPjpiJ
H/ogPVSUua19c9nEGc9+7CahP8rnvm13/jKfM8vgpOkM85YsoNqMkQY4HMkX3DhccFG216Isvgpp
4g2rJvA+RcKZyuD41AoRBuRXVq1yWART/4zazSyl5ILHKBFtkzjrvcltfFPiQww9qJS8t5peVLwe
7s7qS+ArSYA7qSs+AV2lq9Yyg6PLcnkcOsjdTLiyC6VY2Z76jWTNp+JqDW/vOYFRkcIvpevqMhNZ
eqdAiZHWEBEr9LPeOJHtkA+p1brHuqH8jxes2zY4Ir97bfJqGv1I/HT+mahS7DG6DyFWOQhMsB9C
x4iC40Asb9OzrN8jTNA3r93gAOj7IXK7e0Cz5pZlwj/VmUHBbU/k5RvryrC2yJOOq8ZW2YVszMgF
LFc7CL/Olkq24eLETkJIeQ7O3Ww+6M5Qa5mV3/sYxAg9KrfLXEL+4YA9Zw1h3Kp/6F3MefSZ0NFh
ZtvMzhEsoSG9M4O55HbC7kAWbc5FsEsz9VRUubu1qMp8nPLp3Bi0qc1CZc8Qf56dmNQmMaz3Xgev
bmwdrAEsUyOGZlsWXDUSa0KfxJroZjsKOiKexVYyZIjbHcSdz8pZnI0Di45Lt/XURDTR03dRg3pD
bzg57WReEmE/DHgrij55cXMLvaHQG7OWpIz6ZuMawRvNn9QuSOo1rmtpY/h3fm/vQNPODzMvHdVL
Y9yGLKP+Wx7F4rWAbgzo2OOjZkB2sZiZecu4Gdv86BHy3Dpja506F9dDOzYpjXxBnYT5UvgMHAd9
SGq1V012HNMo36kCsAaEN/JGo7FlMytCHQXeyp8gkUF0GeSnNHi96D8w/At4Jnmf4IQEGt2152KA
h8ScqN5gtUw+GirNQ8rXbpAqrgbv4lnIcU9PFw3pVDbaGdlkq1OP49Jf2tQrP8e52gf+8pp5OY1w
/D7unNd5SDglPY2LfRAdGHdslL6FaOJo+GMSbjgR/mY96EScnNRhtmDYC+Pp2P4Ox4BeKlPQ7Wt0
OM03fs7KNJZ2dYf+xQ2o7uDuKvY1spPVfqm5ZAqBjABMfLix4ioKU8tq9sFgpitg5c+JMV23ZzLs
9TXo7BNCNj3rhTlxdWvGzTiv5VJIpuOLzoYHIsn+IehzfZxH+1nOZvMBvN4gzlpWQ751vAntzy7E
hBYBInTcs89aOEiCz9IY70TipczHJvXQO9UdPbAoiLlxT0pzuM3n9FvPNGo7zC5EMe1+o0qteGJ6
fLQMoTaCX+86kGnfWF7l/orAp1yA4r3JiToEB3zeWU03qlu4hPn8Jg/LHDkj7cfvAYSvTWVik4nH
KX+hsQiNb+z9n+7gxOvh2rroJHbxzgh9efQmw13lA5UauQPWxy+9F89DyDAi1wwtL8meqrgyEfvM
fkd/aUm0foYuLa8fIl4wprGznW+JabIgB/x4cYeFpiTf1uUfi2l4D0FQjd8YklCjOySXwswdQpVs
2WQjBb0qaSeTUBOXWzVmV5yw/dX7bID5rvsqPgur2Ks8ypnNeM1mGIL6wS8t4HSWnwz3Rmv7e+25
7TdDB/savN3T2IPuF0EKSjvQeXpTKfWjzf1PVmc4ZXgt1kMXDc9pJk5uZQe7JujAJMCB2USNywaR
Bi7DDvy7iXOt0QF8Z10qpqNIgE57k4keI6bql5tSwhjDWUpNU9J+FnF5TXQWqbhrmpELKWTHeWNj
MYBtoaak2FFc0W+BeeRsXr1RfW9p+jzF7uJsC86CL+bU2UtYY2+C0CcXGyXUFh9V4RACpZRm1WoA
5IQ6CIWLggPDwHNuXbuGteNzPC5H9JSraWsw15Vt3VK2yPgxnKpuQJQOinXJyYMShBTvVlhGopyS
E/hwbwuTM35EEFQdLLUiCNHMX5joH1xr+lFHrrtrG0+vS9XQlQ5U/RCRFV3p2QExhemJV+3oZEhN
QToScajpypvl8DYqingsfeWgN+RXnAK/JYFy9r+83icSStwSNWrVgPGjo9qS5PSz8QiEexN19iVL
Mvs5hZu2Kwgg0QhT1ic6bcsw94LHRdMVNLbdA2XVcmeKD6pUODBlUb3JyuhZxJDOiyvn3JD22k2a
hkxuBzuMiDWQJdAjbbHXuJrDssNbgolHhDVo3DCV49ovZkbFHRBaHIj0w7ZMH3WevMG9vXE54G9N
n6e4DJrnuaaBykNOply7PE1uSlev8EvGixwNAbDJYhV7DXtiUR9qFMdgguIC8fOzqIbnulmcW8Ml
VFJyT7GUs2zniUrirlHM4hcCFo3TnfHyUnaoAfIWU0fovihxMit6dywmceG8GHKVCWZp1CWHWYIt
GRtFXd/kpSZX0sxbGILEPeoohckm1mL28GSnvMvnwsWmRveNSwvKsyeKmzYZ5KWTAXVUbfWTwy8p
4KTfiEzTmGGge8xyvJ0x+Gw1Ds7nTmbpupADUQZJBQYBHHpBWt8BJZwVZ6Q5hBJstdvAhPnp+tGH
2TN9DeBB7BJgj8xyqb8MejJ8S+Fx6hFNcAvj/lLRFXGxaOko63YKdd8BeJDmcrGy4GgIH3C8ywjT
u0b9vcCbbrB1/ai5bxTC+E7+5j1uXJTqfoDKyjZsZfl2KvQhIvyx0XSwFgxDfCL6Au77DYXEzb7N
u7s2tU/VnLA8JpQSIxSa26bhejtanb2zFfPtGvKbnWUnvFpsoJl5NHP/2fESohmpfp+94TMa4o+6
ZnpOSP1+UGevjoDraoWSXMVvhoFXf5DFgc5wHca2d8Pc49UHntoFQb3L2RxXVuw3lyjCdmNUpiDT
1NxnE6czo8/o1B00rgQ4geYlj+qJ45lxN7jtiPhWzvraN0MJC81FLA2mgfC2+H5/6HgHv5Gp+rLz
ifdINEF+sK0efChVDyN0mfJ7UWdlvUlTUV7YsqDTzbVdcMCrO29tJV11PylL7UeDCl8zc3Oob0aM
9G51ZhLWuWq+W5NIw3lCOe6cpn2eBmqJxjEZD5yq80NAbH0ng0pum0XHp8kc3G1H9zpZSGxQdXAb
+OBTqtQQP520H046Sd1jY/vd3iqW/DjUYMOcSXZPsoLQihD/zh0+O+cVTokoNm+1jsmG93V8QzrG
DmlFcM7CdAnnUwGys4FarLOR29JIhgAfq0doC4dLhF9zN1a2XMcz1QVli+GMkUu8RtugINDGkiMH
P3SbzN5YYB9uXaFcggDLh18OGEQs792LC54xDrXnakAH7LLlQN6cqoVpvIiy5ljRJ5hM8wCrHSVE
LTa1dVYmiO8NtEnJuZIRJd++D6Zw4LMTuzPHPW79W2nBhVWzRRHYnG0TxvEHzo0HrAIUdVFvt716
Djes5gsvvVNtIGzusoQ5/GL4D0NmyB1XYRQXe86+j9SHcJKWZn5mq766VbktXJY+OFV9BVQkz+Ta
imgeGbA2GCPXDwZt7cmjPQbGcpHu+1yK8FfNRq568wToUUGbtn+2ejgvARGm693C0ulFsLpvrgVv
BG95GeGirzLU0g2FWlNoTCCM3DpVFAz4xmmS2R0hU4uRR3mOXe+l9oN+x/m6DedrQW8/z9tKmLt4
Qu8olMNdxkmW7ZCnfCt/wIqXqi9dN/duregHoT2xY0yjY3uDysA9y7Ir8KFUAk7gqayoQK6x+9BM
ZlZlx4z2SV2QAsobh0MLNdl8UsMBNvXKHBRrpCO6NQfAj9HLYDY6B1+2d7Oqofb2i7XmCnliiX5p
orHaymHecNXinSygSUAZoYJL4IDSYrB2GPKQUTSbrlT2oWsEYGgAtnQjM73AQdyKKuCio6tvraS2
DTb05G/JoT2xdj5YS7zwG41qk7sTNy8fLkzHdVAZJixYSkVQBIBFpdMxYaBMgUX1QdFscJ/FBPQ4
ze4wk1HHARnp2RfyjuYOMBSNsLCpmFvVO95Kdh2zNQ7KxtqlEZt6YC97KqPkyxftpdfWKffdd9J5
RKjelSh39Ej9pOcO8zgIJMDqOgv7EkpPVoWCDrm1bsefjQLaXuACT1qICa0ECNU3RpgzhkVU8dFK
dEa7S1WhBSSAa+iXjd6yOrvrEhZo7KudO4cNGLdbpjXW0eBM3xDjIBlGU1G/Htul44vYyZsxh6Ni
NngV+7nq1gmx5akFtkZ3dGc6UDmYrw8zY/EtKk58ZMuiSUkLj4mjWNrhxqBxaSd7kh5Yy2R3SEkI
3vmsaszretE5JUfjNvFhmGhXPRnSLWGz+j1Zyw7+aRfaIkFqc7kjLCwf1pBuMxmIFsWf58jBuNXF
RDTNG6Yj5Njy2cvVTcTYBMVi9cuk8V/tZ9l91Zd3WuH/5/Ubf3K4YJ1L1P/68x8JOvz+uNeKhz/9
YfNLQ78fvrrl4asfCv7pbw0M16/8j/7l//gPKfF4eizxd06V03vVv/d/MnT/9k/+4VWR/+KQAvEo
VnQkjRECv8jvMrwwrX8xHWmhw+OrvnZO/LujGy38H5EQMiZQAzlOWLaLz4JA3D9+3d8D538bCZGE
S/7iTwkwo/qMBBzbJ2DyF9W9jZQPzXV2T6XFaTek4kJMa1eAzkE17I1GtfS/wr2ZWNHtOrrU1cIw
vHNMAw+fVsyHHgs6Co3y2PcudTMbg5ihjPZ+xGwpHOyRCh+OtLq55Antvt627ABaTRdl5ikq92J5
zOllb1DIxYcfcftmlG3/mcfTPX3gHkQhy/BCmbjetmAeAZmuZS+09PJo+JoEl1ZJSll2ICp4I9cy
U72zRMcJqppF4YRZb3IE9To6QvZF6w/tHZCB/LFro+B7X2gb/xzj7+s+MmYN960uwdq9BK+GDS+F
h1hcvZnJf6Y7YGkmUfilKjd2nfq3eVuBxMY0vTaCenqjU4rZL+6yLURwkARdQlVZNlroqrWdGP5V
yaAuXpfFIeNG8Ob2Tvtq9TbGbfTH4LMO/M9iXi6+2WUAvfJyOfCf6DwOrn2bOqm5D4jRbVRmB+GM
Q5ivsYP2fsiqhFjYsphrNcUjMc2GQqcVJhaGkzJyF1Z9BzXE0OXdAAHohZgdIBlk8B0ox+U+6K3l
yIj66g1PEbOhwBjpnjBk+oP3g3Of5eNI4WZtGbf060E5dFzCp/UsMFir6inRHmYYf4C3DdcnHKmK
wpniK+tMFsf6ZoCLoLS+tezbWsbXXA/GlRLt/DCmQhO5d2DopIMcNsIiHENcleWUYuGtPcG8AKtP
TokEp34zlrKB314YOzqi9IGrvf7EOO4dkl40j9pcostgtPVNbcRDuZPaWG7RnNxR0HM3SkVKDxLx
b//HgSvH5Gw4FqSPMDVh9LQoVgxuumPW9PFUHXHZTkW99lC5s2CLHxCLo6D8ajVO5EOR0RL4YZ//
LWvlOf3sSD/+VH9eHX8tAf++dP7/tKKSlmPN+d97/87vafX1pwX1t3/x+4Lqsh6CmuGYZF1Bq06A
le8fmTtBRMb0ZOBg4Mfs94eEDMhWIvvE9zHl+Tb5939bXxlrmpgJHWA1IjAlSPD/zPrKQ/xxdZXM
gVhe+T4QZoA1uPxwf4y7LQGhHnpf9Z4T6BJsnOXM/P0Pz8bvS/ofO4P++SHYBRzHp4KIH5nAz58f
ghx6AVkm0PsxsjlH+LDl6Vh1eUr/7Tn/v3iU60/xh9wehqJ5dhIexaveeuOtnr+UE/6/PcR1p/rD
QzCrklU98hAkbj3zHohNqz/+/iGgY/xlvyORRS2k9AhT8s5gCv2Xp6svDFIzyDPkpKvus/ZcNJ3U
hFziTTy0ExEbYnWNsIigS3EiHbZzb88bTm1iR5XGtAOS371YibYFRDoA+53y7mE1js46GWd6UTs3
3dbgLde2Qh8RQDoeU9MiyeyVQ8awFfnMy7zs1LujB/ewecMaT+DC7wkMiXE/oJ1g+aHpxAiEu84N
LzkXDdSBvB3qlZt2HO26ITskZuGdkHvc70aJ0YwL85KczdZwT0VcLKFmqLKhGgl/fgyWkUQGMEfI
acPNAF/vmQR7sSabzaTDaz9dssXHKC3pRTDacd17mjXU6m9kbqnnuVrk/cRuvjMGr9jUNMMfZIkb
qRiE3FIdzAGB4/vZN/NyQ3fqDPtgHh9sDxq6zH11w8F62dTatyAqwX08R2TF9jWH7TCuh+Q+ysbp
M1CkIajPoVPTjbCReWPG46X6a6rc6DVpsLKvwTDoZ3fiHEM4QXx13WwU1PNK9dNoJaDgOSvUCxXu
dHXPrpL342jyja5PsCPx1i0OvQuluuajFsddl02kwBtGtsKhSHIswriCaZNayJDEjMfgPjMuWSy/
VI+QNS3qOr+fn6W2vgKMsFT64N6Sg5G+KvpBDuaCL5HmiVbsqkl+afouglUytXqfteZMXXbDi+BE
Wr0MJt+vnPk5Mo7exzJw+pf0WqOFtuedSjhy56acoo3tdGI39NPV8UUTaVzZ4zrosD5MZGt2tWVp
TKP0GYUBpZ0bH8BeBqvKj4E8SWuvScJfx48ul7lM7YAv5/vMycZHaCvDo8K9FGrqJ3ljEF+gwILE
HY2O+RFQFskBWk02I0meWz/g6cRKIaJ12TXW2mLtvKgpyLJDZrklFzD2Y24iKWhgVGvxINFg75c4
NR8zpg/zilyKc8vNMdslcWzuhOyiDy71JJRmy4gu1hRww6UKyhtWUlSwPqNI3i4Jja/cMt2QW7s8
QmFsb1rDEw+i1OPBDRr3LjJsY9c3iX3niTK+maRDz2WLYglFgXgLKNP9kLSuxfSaDOyA8D2HHDij
D0UIZRU0U62APA7Grl4S/6fMcv8nhFsV9gQ0Th2G8o8kMMWGMgtJKAx8E8kNhbzNMY3nI8LutxZ6
xlTR80z241xskrgx94JQ1b5EBbmB3CefTKICm2jx8VDZGNt2Pi1YOzSj6dW3ovGtglF1b5atuR/x
oblAuGfqNamythmmC/9T5HhtW+pzLxC3pvcO2A2SThzcQoCwn4pAUeHV99AH51Y4p8mKlzt7pIEt
bjr/DgZg9b4kznTfLUCNZkbul7lv3RuU1uWM+9U55Q1MH9E6YJgW5T42kGrXSi+a5JUB2MQxwY+h
H1wXr8KCqthpk/oIUlq5t6KrxlmnmH23YzSZPyVj7nKVFHUCcnbMfjja7fdiZBHKgffseGs465kY
KVpb0+9UPZEy6xv6V9hV5GYwZUvRjEtyLqnb5ElbJXY4eqL5nk6UMOUOuAlYXqWP/LTxkwWc4bjk
S3tyMmsJCydi3pi5FZ2hTpkFB+oT6KDGoLuGwxgcnD6ot8qdGRiasbHrkjzFv+vS2Rr6uIS2nBLU
hlBSdzA6k/kRSuuyjfBObrxoiLqNRftrCJ2U52GuNSGlyp/vqqJrP/DyKZaxMb8vcCBSvmwuoWIV
eEvTQG/q0fP25FJozzPpvENEdU5WJardVKcIXhBmm/c+r8WH8qp+oZA3jX7SpVG8LD3poUCYDNqu
X25VrsO4BS1gmWO0Kc1Q73bSGRAqn8Kf0afMYMN7+FeWk0Izgd9l9eshU5r+OID3EoUXMOp1EKjM
jxzB7JuHVr8eHSzS6C0k0X+Bl0DPZpDLIb3Iao6+ZzKpX8a0LHe/8FIMQyNqLoR5zQRhYG1NyFbz
kB/dengHb6AOwG1IyMcD9cN+lJv7bMpRj5ZuvAQK58FvFKGO4dfZzefxLIzrzGgR9bzH4LFYK78R
6FEMt2Bo+GN5zHoBRYSqbDUwnNcaR9LV02DOwE+oN3Yfxdybr6of9X0quT2umivax2l88CbTFVvE
iIeHxa0YHWeQPivRYQT4BfyBUDxNsFp56X2bi2R9JegMhZ38CARfnRcZZv/OdU4RFvRd7NLyy1QP
klMbGf6O0ygjzsbIXyYmebsK7NjjFduyca64L1+pahfnTPhAnul9H4h+ZWQeLCGXYlhbAAapg94G
f4n304Y9/S7KFih3wxucXHR+xB5EM48pcf7S7PGVsYcf6CihKy539QtvpPjOTYz4VmVDAJQaCKkr
e2wHHVWFfme7r4oDKfo+Ze5wcKp4QRCrgp0VGfMddBQmLYY5fo1VZDxjLYtCrSjPW/uG+/vrlKs5
+rmY/LCztKetKRtxcbh+PcWYQ+/InS3HrLC4sTlz+r0aev8+qEd43+bgfLOHRX4bO0N+y5xmubBT
uVsEK2O90BO/pjop2Xvw5M86NroHAKoV03ku1QSs58uvZ105gL3q3vdvrWuWsKroP6PK6OR0tUCY
54ZZDXoKa96I25mA2wmht9pUAbX25aJsor2MOufOBGMfecFyHKyluI2grx5ESeshZEZQadoX+j4w
JJ4J7hsnTbrr4vVVtCkLL8Z6SDgXy1aV35ptVh4gM7uvAf2LOwV0xiHzx2ZIiQEvv271Oe8p6xRt
D/V0Cmy6apY8YQkU4iEx0o8up9CPRWE5WE1U3Xqd1nQ3OyTJFoBsL5DkHVoGNLkLjX9xS3EciF6y
ESjfXnZLxs/YDrZFf9pQOid8a/OdYCTOJLKZb/FXsXUzySAEQTOSvZp16eVrJJCImTsFlhv2pvEQ
dLjrEdv75oxbrRIhnKn6aajnajuw4HAGqrz+JKSlbttYYysb3BFHVaHPywSLlRahq9ILz418eGU8
/Ua0JJTOiVliLyhGlg0z7vloUkOM96xPMTn4Y2uvcEoB4BJV8WIOvJ3KRnOsDlLxYcZyOcuy7ddy
miArBT40tDkFFmjInpFwzwczBWUCtmrS9zS1eEd3ksvGV0tHUoO2csSYsaFzL3DHmQRfzUpXAca+
N3EsAfywi5pyQP7whJUkZgIcJePNoAwiBXzpXWYLgtO1bqN9T3Z5l5q2hoQSuVRGprvrb3TrJYw6
6NdOLgDFoFoNafkIL7fbwOSvNrpJjB0dhzgkbQd321JdbXdW1T5iEKe0Jk+NUxyNd0OzeFha4FBN
mfHlg7HcClm9QhaksQn89Q2/BqVYZs3K6cR9twVBOW3qIrZ2UZSOWMwidSIc2w3EhUxvwwkxOTba
IaWVLHdWQ+1Y3rvlp1cZn712bmdUpa01T+X13NbizyZriV3iaaoTPKI+zhBWKzRzuGKU4tLzF5Xd
Nsj9V6MivYLAhCIOXjFa05lKIs3u1Nr0FWWMTgPUwENIZ2iOJWY1WC7c66Y6zw2kliqJQQXSAumm
BV2stT0OSExZ8hYPowNxRhQQ/AdqzGdsYo8Nfll8CrGJu760klOSuc1dVdFfZsQYadjVcWIZzfDZ
jJ77CCpYzusCC8lhGBd9tNIAPyPOt72RUOO+ptpa3km/03dZ7HaPDamKzVgO3hLOc1euXU2xHm74
az1mkuwKeABbbEtcyc0iPcaZWJi6KniNnS5PtGzbe50XTtCtpzrGb7b1kevzU199cLynzBMX2FkE
BMLDznLq+7HNkBitepjuIr3UB7UkwS4zkn6rfNrOrLIEq5zTPRtjpOdVXM+R8yEpBJzCkeDUrcQU
dl85qt4O6dJ9dzvOVwydE+uy+IH6nheJd6TZvPoWLZ4ZUS472C/mdYd0RcnII/GT/VxVwylJfUmJ
Va++VQp+KfmJ6UiocDxNxpJ/KpmBbUwEL249qOhu9JryR9kTURtdId/7PqstPiKNdxQIZDedIjzu
GlywSR/TUYhrB5VuMZR8tiuv3OSRQ78lAfnkUhvLVz56/qtVe3QCBprikLjQW6cvsjCj2HLFGU+z
FcJrBEBPMHrtLh0rWVZke8o0KC9xPbo5C3bb48KtAqq2rdEtfepn6OHr0/KJYjEQA2jRMav8CuEG
YFGwcCkWzbfOzmw41wVWYMYz0IMw2mK5DNzyqc7L+kbpwjp0XcRRCtzbEsVAdvLGH2jU6Cej3HNd
co2vRVGKsJpIConB9V+UwbSOe6e/4xaDZdhIo+fCNtQNmyJFDAyo3mdh189Zm7evzdDM3q4xnEWs
0qhN891YX1PKkAUsLlOqugfKNFVMrtP5Le9cmChDN2GFs4avePInqPy+uJkp7zrZnGw/q4Y08kL2
c+0a+UXXTIlXvW0UO5V7bTjxUt0AjCSyErSNukjLjy8ZhyEqmfHrbnzfac/4SsHid+Sg+Pz/IG9E
bIw9DTCEZxEkipQ+kq0e7nITkUHGRfIyd73NxoXGLKoyuu8bu/6wjeZNZv30Jpf5UQ/w4raey+DT
qCaxy1rNyt4YNl63gb4ELA8qTBKcLw49vtSJglJ3k8Hc6nGkL4J3/N7wa7lL0PLpSgE0scq7AQmX
XPYeRkH8gasR1DsrIflrI9768ew9cdVhPwGl/hZB1Fs3cfBNznI6mUwMd3wXC0tLqx5lKn94hd/d
jnisPmKs0fTYTD5WaXvJzgHdDbuxI+8YkHHaMVOnaMEIeFLsyPvmjYl8Sse622ZDyge2Yy6N03YM
F4zXWwc2v7IT6447yAsLcn47N9o9ti1OWzUpFxt+Fb3XQa7Dopt8WkMwyTIxh2qPdxUbWMfpdkbt
D7G6VQ+V7mNOuFjsylJRrLyU91FquHceMYS1m7nWRSSj/VPEVRXW2dRsuiGNjxFhzFusy8lN4eTO
o6TprYpD+giM4XtGOWiU5P2uZLndjI3dMJeZzfsoGlxShIjctcrr3TLaxaNixb26PppNEIzmriuG
p3iAMDB7pnu043rZqal7A0Dt7TMM1eHEQZDmB8/Yl3Yw3nCU844TJMhLH7c559+6+jng4sZuo5oP
u82AXfuK7oZVTP30R21mmXkSzRCd/CnK1qglE2+23noacDnjHsEtEFzSguKlsMZqC3Gnqxtn21az
5mqWdMGlWrriqSrpMCydJdglaX91QgTlk2v1JD/UsDKR+UF22t3R1NOn53BrwC1ShhyquCS1IyAv
ilkPZRqIa/J2b1hWduTz7xD3c1/KmLOxjIj8cios1sgdnz004TXYBDqwMvbXZZr2GCDfPa4gMxUk
TmdiPClo66WwNjQGX3zKoJhOsiYl4bbA/cyc9Gwcif1IpuRn4trOHeMy676fg5/tLI0XyiD7Z8vy
umTt9HULv7mbozUR5isMyKl3ZjAPGyttqzVTMSxe5Bz+D/Dgf1ZBacHwHDeQGL99y/uL1urO9OGO
9PTuJ4l+NxqIcWlT855sd9zHy93fy67/JFFDKja9X0Eh8vTuNW3/J2V3dmbOSV6H95U+LbPnP2np
zZsibor1f/6hhEXJme9YOAj/CqQye7dBfhT8YokfP82ZZMvIRnE2FTngv3+of2Jf8VsJyyPZf81B
Ufz2599K5I65UEPb7StcQzd5ofK9i9cmjHjzrtp4/lf2zqQ5biTb0v+l90jDPCx6EyMiOIkUB5Eb
GEWJmAHHDMev7w/MrNdkMJrxlNartl5UlWVVSR4AfLh+7z3fybfoAOWfJskZVNfQNpGHs+ACHgyK
Mxv1ULA7vsRVaaGb/Jtdk7LjTmqeeL4DcsHMLvNY0JQwHNRi1GY/Pl/K5j8JodQ+zcB032SBAse2
cpNdqpPRBM9RfRNSI4OYTdFFl43jifHnWfGO8fv3+CjWTA8SAzWag1kjQ1NEaho2vpuDbSfomiuJ
w93XH/GQRzg/pKHPCjZ1rhU5+seHHDWOi9bTa79tSd06Q0QUETpGcJnp6uRPEnV1j9fVusSiafP1
0MfmD9Q0mnTB3XsgIT8O7VnmqIW6Uc9JErkWBrws8iokgh1Fnf3BQiIwGWGM8fWw8ww5fK0GODmw
FzwuJMaPwxqNZ5dOzLBOBfFWy/s79MaTH9rMWs9h/n493LG1b7DHgLef2xresP/vqjphXakaZXSG
a1rrttKrLZf/EZ8PRz2xy7wJBD89mQeQgRs4vEz18IVO0z/f0p664aV5m5sy6H4hhKZlGXYZkDZb
3drupD5H+Iz47UAq/uvHPTZpQevZdOYYOi2Mh4vGMdppCNXaN5zQvLYgfl2IkC3261GOvVQ+4Vy+
Uil8HprBmuB4OzNn63nbBWgdphSB6Rcog0Sc+H7HHshEHjSrQGF2zkXU93t3Os5W3jT4+sNQZSt9
KJ+wXHj6+nFOjXGwqcUWBXoO6trX9BYwIN1Pbn799RBHJwfzD1Y+U9FyPk0OL3GHWm9rXxC7XoSd
qu91elnAAA7xj0hhh6mKnubKmjIL3pXqDh+5Uzva56VnqJjaGi7rz5sprB/fpWkJCC0l1gOhBmOg
LVt7iV67wo8pqXap8IrV1w/9+b0yHnRIjzhK15zDtYeCTnWlMCo/L0YCFFtew8xyToQSn+eiQQ0d
2TCp3dkE9WAH9UKtBXuVVYh0AVQ1okSIIPpzlLL/yL//7tX679SgXfSIGLXgSK5ZhukcTBOvieNJ
Srf02dpwsVaaMwCKt6JO7r9+bUc+k+bQh6Xxrdi53qCX77YsW+Sp4dVO6U8x4sPsWXFpYE+LZQyp
/+uR9M9nLI/0bqiD7YIclY0HFUN1vUfiHjLrAkLj37C8bl31xXQnAVdswX0G9aoyW3el0rv0iJGN
sm4n/L0Sqr9I90ij5bVBAjw3p3RvuYnYtyhwdvSpThdBxj3QrAoDrATVIu5V7TrToTfunR4w+1B2
ZLBlZ2dL0mzJArXAdOJBDzHtHOac4NT1VBaAZliHhx0cDsXwio532kTtg4fr36XWuzfStuPnfJoF
hllG/TTD9WBMw40DyJGatb2b3dZjhDVLrUI/pHd3ecDFqEU0WZQ50HMXoxcSS3mZVnB2B/KNMV3w
QZ0Y+kz0hl3QQ2hREqVbjmZp+tS2h1XbujrK2TRZkcJzzlOTXoYk9dDusV+vvJDmfidEZcW56vG2
dIV749SoP50Ah5SvZ8CRuaZjQU0HB2cWIf8cJLyba0Heo58GS+NPCYSaXvOMHV999MOkTsCEB8bg
fz3g54DHQAw5e814tL3Axfo4YFWCJR9EXqKAa80d+VbsTYA8ntuGaLeBG7bnEanXWzP2wrOvRz6y
URDNqdhl0Ivz+c5R45emRJ1d+KS55I8eVMVTRb3n1tLs5PfXQx15SBo82I3IdfCvw9CRuij3TdlB
tO5rqiK9RhGPShAgy6SodzYGM+6yocBOd5xO0v7rwY88J3EVyC+aOXnJb8Yh7z6pA6ePtFNR+E2A
IUA1AKsfQ1o9EtT/fzqSOW9SGjoerlcWqLIPk4ccUBOCyMl83XUfpMQ1Sscch1VkGH88TQk3aJii
MYrbh3rYJSqasuzCvkOZpHUAC2wSr0ZyNQyWDTPa/vXnj4VekvgGb2zaOQ6maBhnojAzZFC01Ri+
ImRRUkOkptOAcWhOvMPPC9BUQbRxcGkWBe3D46uiNySyu5wnU8zbyFAeqsn9lYzGbTjYJ2KQeS1/
jE8ZimupzaOx51sHzwUyK5aFQiOGIbK1Qa7UKzHWcTKkGVPR0wiOzuzrN3l8RI9QlN5QFt3h8UIz
KM6qjFhp/T71xHMptVujTqtFF9mYhnX6+dcDfp77Joh5de4o9jg6D49oq+He0SJH9pWu22Oy7Ztm
Cn9MPTHM58BmHoaroYE2hZc5/+/vlljvqmMc81cj/tGVW8UpzB0qYGX99cN83kUYBUWOxs4MdMk9
uE+gXx2BfGmgPwwyWmR6llnSvTqFfZ1ULQV1qNOGLE/sknM7+adZMm8c0DwsmCyHSw3kU+tx7Ut9
zwJHPWRIKJeFSPH78qjSTwVF7AZ5iw4qywT/iXwCAESjOtt2rMJdRh15AwntdpJWdeN1aYpgRBAc
zGFBhUL0jLY4+87TB9sPEVuc+PVHP8yMVKQY6Hrm4YehJSHKqGxg7jlQkk0kJmDKSJ7z6w9zdJbN
beue5iHsP1yzuVlxjIRl5hetgzNz2ftqqt26Tnsqajn2KWCZ0lVp29AGDiYArjVGIaqCjQj8H40s
QbQbbXXcfP00x3Yg2vhJw9F/T7LjYDJPiaqPKDJSmocadN8Ox9Ro4YjSNNnPPjH/PIrmzkibKEeG
ievc4Q3VbWO7p+Eq5e4Y/JrfXR3b13kdPHz9VMcWDxoFG8NH8jf4Kn5comMDD3EqWTxZbLnfUqlR
YgusXxRbyk0dWu7LkIlkR7awOXFUHdvz3nQRJI6OXHpInapQq/rUD0P9qi2U5ynBaym5F+A+WIgn
Rjs24bn2YEBpcrP8lCTLeEbHFk3qi1Ck2xwXj+tBT5TV1y9TOzZHeIm4dJkaso/DC7/X6SPC+Cr1
3W5Q7+NILTeAFulHw8cpozbnDHfIe8tlV7b9VSWLFMWkY2wjLHTXkxQ43oWgx7Qq6NbZ4NKP0XXJ
qdutdvTNO9ywWZkGXpoHn7wOGtUa8pzTZjQpE7TVs9Z6NPAbyD1jx30A/CiWDmS986xAUJ4OPRY+
XvkU0dEBzLIFYp2bO7JI3sLGqBLFK8/x9Ys88h6paROCOg44K+LDj7Myc/gNmBWWPrykX2LS2o0q
aKYMMvpX5PPXYx15Hdpbj7E1J2qJuj+OpWsSz0e3JbQPtF8qCQf4POozHk+F78CeBw5ntycijCOL
TtOo2BHRcGJ9Suv3dYaDOAaSPgypH1EcKkudrh3qGPW0MHRZ3VX1UK3oxuj9P39WmBXenJEiQDzc
KU0UJJCRmtLnrnaJAQn2AXV2TTYebm0aYpsCVuvrEY99SUI20gC6xu330DmTtTK0jYkblqJCKYGi
T1cCtKrrofJyP7e5SH893pEzhwckhpoNLwgW59/zLuTIAyAQccmrHXtMDzOzHla4ClYrg47YfzMU
RkKGC6aNPP/BgSAcM27zgiua5pXFNyurkO46rX0Wd5p2Yvs6NkcNFtSsQ5gz/QdztKclrpjIDPhN
3t12UfnbsqpbNC41FuDVNair9o8vR2xgiC50CwAcEeLBAtRGam16MxX+NNvHqc5wU3f1SpAHODHQ
kY2ZlDpmQwaZZ2Qc8/d8973ENNABFnAFzELrIURw7U7V7YkpYfB3HAT0H8Y4mBOeAmnYNBmDhn5t
gUu12DdWY93oHWZE+AA3vEV1WFhDDeTBTsK7cqgdmoWo1XYuctRB65R1XcRUeoFzATvTNIzEZebH
RlvvoYdG1zrO8/iK4/AXCLXY5g3NWdxu4SL1YbCLLJxHJ3Ucv6EMplcX0Kt2M3lY+KmF1qSbMm/q
rdojduMCNYZXSaYSHZb4+BZpXF9FoxNtEctJfBBp0eyNKL/ogcf4Lp7tcZk2S95wCpGIvOkiolHQ
pzkRcdkwiXXQRRbNwulwXpqwR4Y46TZfv95jc9PUHEdjnhjUKQ7mJt6ZgDJt5iZtws/V2D67KMlN
Q9kYUAECZSj/xbIj5ibYI31PQehgPGTcBa4esvCxgZpzTpfw4XdDW5wIXj+n/Exypbox5zJJ03kH
w5hjGiGT9EAJq+m1wFCRnkH3pUrvKEJf0JACq01/CuvixJXpEEROBm4elywtb5TL9WFA5om8yrFQ
ISdSyulHBE944damco3QRc3W9Mxwx6msPFi3aV+tsoImQcwP2Mgrvd9ZdPlbyaDsDBUjUg1M4zKg
MZQJJ7bUO6lge8lPS+u5qI+0AqbOBFCj1fDi6YGzhFrwXU/NZulOFjDhNjEBO4HlXif8nlWbid9o
PrRvkMmnrRiHaoOii/8+n6wlvtbJ2lHAH1WGdepTHNvTbRSqjkcZjg8yf6p3e0SsNlZepFCd1fYZ
KMWMBcEmSwM/8fVMPrYXvRvnMDDqRQ+w24P95FqZuizINyxzmHpfD3LsQLQNh9sqpE4NDfHHh1Er
vJ4rUCc+RSd8C3FF5TL+UKYRPfWNPCE6OzoY+UruLKiRP4W9ds1mVGSsFSWyc26i07Y3xYYOUHqp
2/jE6zu2Edik/TktkOx9Cn4zKQ07oYsKkkV9rTcOTg2BfACU8Bt7x+s8sk+8Se3YvJhr3lxgaSHA
Xu7jq5wakfF+idOSMYtQeena3p3qYaeTi1+VhhL5pqhagBCecROrQeTLEFFDWMZQ+EI33Xhg1u4c
JEHIM4IQcMnXX/roz2NDJI1E/pby9cefh91Ro6QRYc5Qid+GF95Hev89M+gj+RfjAAFA6ELTxqfg
oOkVGQn68XxuooJsTvtcSGVYlV194iA9FraSnKJpQ53/zTlYh8bgoeCg99Jv0YxEDS2uQ3Fdl9Y+
cbUr1OW3eeadSFQcm8DvhjwMWJMJpFtpqbmvDOM27MrfHmSzMLD3ddmfuHMYx+YvN1KKZISP3IUP
7kXt4GIYNDo524wun9pIvA4wvJYQxtwl6dtwqQglXubsyOsY7sw2VLS5M7Om6Q8m2gMq6OghqNzG
73QUC6ja0BlFbf0dfwK4MwWmVAiW3c3oDO69a7FrYo/S0DClNCNs2Tm1Weqv6qAjZwEROAoVrkV3
SSuOWLeEfLHbD4tcGvEaSyL9u6DpmsNet07MpmNvwZuVuqQ4mLeHBdgsEw2uAoLIT0y7qZ20Raua
D5awzsiZYh8BKOnr6XvsE8/KLBplHJKth69dJFooK4IhP648qOeiq+HtcvtdGUB0gwXYy+z+6xHf
eicOAkI6ZrBl11kuXDMPvnSIixlV0iz37XzyltHQ2d/NSOuXhSGtM9Au2b3QMaBNTDon3+QCbtRm
93mH/zZoRG+rDBhWnHgNR947wcYsgfYQBn668nq2dIG9G5mf4vq7jmppXxQRYaNMyuYhqbXJpy/y
54kXcSSJSVcCWZ9518b1RP+4RYWjNUGhYUU3U0ArqwHxjoZUY9ME9czos2FT2Radk1a29sI6wsap
SVFemP846vwfS8bGkb1y1oXTjqFxzTEPU4UqrRF23sY5uuXEoDQy6xpiI5uu6a0urDPejLNrE7qR
kVgBWs1IImsKPkoLAA79t8EY1I2UgfojMgm8sY1WfxAWF3DCmFIopvB9GD1rS0v+bwgFC7bsfm3a
SbSmV9hc1QBy/ciunPUYdc7KDc/0MjW+p0YxXrFsEaHhJzU9RG7n7TPVeVQ7mZ64mB97fipgaNCd
uUJ/mDgi3ZZkTWvw/Fk6fo9oS8O6FK5jrCnR5uuPfmwoGq/pNUCNzrFxcGpSdKqqfD6WPIAXK1G5
s5pvFOnei7Lw4eux3r7b4Uqbs78Gt1eOwcPrf6HYWTfkMZeD3gqAa1AwRuw1mdo2EGW/KiAun2ml
GnxrR3241HUlvNZbeHMYUYmtKNT676j+/zbq5v85fANteS47zn+hBGbkzj8onZnp8z//x8VzLbPn
4td7gsM/f+gfgoNj/UVf/lwYVrlOkhxgI/8PwQFoPRQ+g9omFSUAaf9FxDG8v6jwMrM9eOZztou7
+X8IOc5fxBJcr0i2mg6nofEnBIfDUwQEmk2aHBtmXFPJzx/M6kJFkJ9HKeCDUAPFHmAeeU49V97l
2ohECkDsHyYuGNDB0pUTi1/+OaMM4hI29mRLH8Rafa0qPdo+e4i37z7Ct79XyntqxOEtlFFoyJ97
Vy22xk+HY0ulrq+saPRli9pp0MfqOi1r9kbHFGtVGbKF1pDiwiVRuWkGZ7z7enhcAjgB3i/gOahk
4dIK5ep848NrcNdJUJ/SAZ6d2dkIXzKaNpkTIYWmUQJDkKjeY87CaYEOItdAgBkBFlYCQOSyocr6
HcNEjNbLwEXLPIAAWoQakiR3GtKN1FP+v6i/8nxpZMrUL0aBOBglcQOZh5Z7+UpmIb0xEjddTciR
IH6igQ6gtO7J4Fc/UBPLbQB/P16IUJNkPCr2tgUJ18lXq1G7pSdPXNYDRSdQBygqDVgRg92IZzfH
QxudRy9fwVFOmx67wvusK+S2ScYCzBbIApR5gJaGUi+w3FRJfwMjf9RClT84jLF3jp0AbDrbDm68
3snbVd8Itdzxqoocg3vQUMuAzdfYYinCY6oOrtbIu/RbWUp35YxldGWhzCAt49FkhooMfY0T19dl
1mOk1M8ijaTFGKWx6QyajDEmEZEPKyOI633a6dV1k7fBnpaccWtXWraraDNaa0bb3ydq3t9DTbe/
83UwKeR+uS50LGk7fIleJGaRy9Ah2oFyLO9oXC0fO3Xiy1Tst7494zWcoUb91xbeua2BGQKuLV8H
9HF3as0fkWrdPNgINM6DMTR3aPa02y6biFLaoTgfy9I7z6H/titwRXiNmjnqHcysJuD/RJfrRgTY
sxa9vi4rDNaEHaF20UIa9fWyfjED/jFMaRDE3Ibco6+MVFILs6uwtWU5u0ort3bcZTs8OeEQOmJY
jVhzRqvGoMF7rdoNsENEqWQurBRduTJuFS1Ib0Ja+Da2G1WXJg1Qy8wL+9+pKtUFXN85d6aqbBpa
+RSPVX9PuWO68Kqev8qI5FbknF3ayBN7gwJgM50Xu1IBXw3VnpZOnsU2E2/ResBle+RE2D5FRf9b
S2O5hddkAoPkSwQ0j2ECBaE+VwwTQylYka8DoNNnJ/Os5Yj2IgHbqMQF0qoguLHVoHqh+DxdFEMk
73QO0m2B/HBFT3e6wbu3/QVQU7uNTfQa0azl0hTebRPyHYFX8arnKZoVY/9b1jz9hM4J0ODElzBt
NCR4xsjXmvaUxyx0gn3WpI+D0nT7KK7xhHNf1c5T+0Ws5PhHNUGuQ3GynoANAMRCtHIf6sxNJFfA
I3VUkSvTzJ7MwOl/45MnLmF+MylHmKVjxIdCUN1ugsoUVyI3zCtA0tZVJwPttogb8QhVvXxCtMZs
dZDH13pQPhkoSc4SeAzfR1finqAkLortYiifsXVoaPMzAG1iGpyu3h7OjVgEGMUqN6MUBahCjLUu
yNI2D4Jr+I0sW81dkIzNlhoGX3vMafOlPaiYZ5S6gw45GOMtKun6haSCOoOQU9xHgE5UP7QYoS/E
AAfdiG5Ul62NsFt/IPmqpfZjXxZD+xLXnfkYo8hKQ783psKkzXJSijWNdgOYy2oIrP0QGp15gyYb
da45yjsNKMASvx9s9zRrpG0QUOCGeWipi5akfLEox5atqSsuu9LTFygDvb2ppN9atcFCTs1uFKu7
NHORb9COWddTTS7JckbjsrbC74EVXOZonFYqOT4/1Kdol+vpXUPhct1l1Bc7U/6MYZGuzb77lUZ6
vsPU+EV2ZrSLJupBhdaJ8zLvMbCw+nFJgqT9paE3XYdxcza2VbCh21hDrZ96K03WcFEckOAhms5L
c0IyrHiil8saGTGo+b2S4kwHIbGYFsILqh19N3QpKyM+E5hML/I4JScJUv81FFPrknsvHKAqplzC
+7qRGDOu9VzxzhLoHRek6AcUayxYJN/aWSzpU+88N9xNpNWXutarO7VQej93EBaL1nDX5aDgBDX7
gfX4H28jlUZFXcnVs8GKPb8Lte9GjhUbyZXmHKSmka113v1LI4bBXlpcS+lcnPiGXDza3kfK62xs
bXgq4AeddxAgl4WudvRwehpZUg+ImRXMfk1B82KUQ7cNrZAzjwPc3aAkBZoLbW6dFHZ1Q3lWQ9Ka
Nhu6tiL8BFJYsp47PrlWT4OnkY5AhWdpUZamj6iUSmdpj7bcQskGZEpF2115lkt3SW8amHsa1II0
3d2YnWU4O/KMurqSbCLAEFKhNwvBurows0acDVMA90JXcTQYaTsxoohV1azDkJ6jgoTLQraatRd2
Pd5Ng5Es65ldQBHKH7KV0SvlXqvt6VlkqkW2LZ9uRSJK5PiN54+T5e3yLpDf4tSYVn3QVfs0F+bS
1jPUXnaKhwS+g+vGNMxrpyHFDKCXroOwRgmtCndTKT01FiBCiwGL5xU2SckPxwaj76oStG0gUWV6
uBFUUExolM2v4TZzlgOH2sUxCPkFnZOrUAm9eyg72jaLmfG2UUY7tx+DtTcE5kVJ5g8S8qDc5O3o
XmrVJPf4QCJxNS0PzgmeWPlvM6wukR84595I3/vSHAZ8XjL6xmjSidIL0UzaTlBtwXshsuszbF6M
xy5xpLlwrIH2XB0I3VkkQ2xNEi1RfwuUhNkK71p7XKmJ2u+mqvKWIlfqbQcC8XHALyEmERQn5ybe
4y+5kdjqhdaYPRU4DddK6xEtoIpiKgXjrJYFXSjKWKQbJ7L6n2Wilcs2G+a4QFTXSO6yFc360MXh
c+DyMs59uyiT8TJhrUc7+ufrc69qSnDhOCtnmHJaMQJlN2hw8SutK6kHsT9FhfipC1dpgIpL4PwK
/uhvIVKCrQa2faQlEqspzj09sNicRfvLjYNBUCvhCr1R04YDh+5f+co92qV+qAQ3gqoDayAlTHAC
VQSr0OoIiKIY68VIWFcT+IkbBRtuHjc2opnZmyIxphK0zAnyopVpj+LnKDqqWxHNFoj+OZ1pi672
fwdfVaxrt4jFm18CgJe70vHVI07O52zSKKW+Jgy1v48p7pFI76sKsEVvpqsk0rMdifviPIP84Jsq
lk95CU2wrRPgzrnQ0dpHVsPh7uWlclOEXncf60Z4FeZEGoVli0scT+Zf4VU/DGXGmgRVNW/KUy5f
W9hhi9hzCE88wL3f2AaLX4awuQUrIdmOhjBxD9k9DxY5noyrmTmxjXByvI9ilW+HcblbLNW8ltsw
t+WZCghzHXX9sApnPWhJsPVIn2m+bOQc/qIeenTaMQNHwiOQ2KHxKh/lK0KDeItZdbkucChYaPEA
0QbcrKovSmFkiMagVX59idCO3SE0mmK4L1GX/9QHVuteWoah0vqholf7gBTuHA47xbJKqhoizxze
G5W76vkwT42sEY0PBS+7a61TFxrtMIc932fmX4IPGpz1T2rArjTKXNAX6Jsxkf8SCZJ15dj4fIYt
NBlpEhBGOH6t21AdvzkhbddJYwEaaMunMCiYmIVR7Rujl2fFIKof2EuYV1ChxruBiPtEpuZTnnL+
sbMWi5o/3VmfVIRkb1KnV4zGV2IDqmVT2N+lYKGpGCldKZhFrTiKmGBaz4wHFoTqgHNqnxZj+ZwI
4mYHGM/F11/zLR/78UaIzxyaqflH0aB+2JgWIhvG2Ry9X54blbGkZ2HWxHYVhopKv63rLlqxNU9r
SaJptuAhgkoEl1cHp5aFpOPrJhnMao+kAoRgYJW/RJw5164dInZuAbEFCqZosznSqe4scqmfLrOI
a9y57xXK0Vw8/pjuxCOTll6JSAp/1mQpnVgk6yoHVltKKO8ipjPbiwzntdfxXwGaFW4UTX9GpPEA
m8eg2Ey4pFgYvnR05l/0tW4+9gKwRjwZ6Zmq5saTTq/niJRMFP0ZDAt3F9haulLNeNrEIws6Zyvx
MRWyrlQtQjQ+5sSrWe6dE0BOm2I05Bn9K8OqrujfLucdRgded9OHtf0d4xL5moPvR1BamLjsGA17
LIpQ4t6hzHYd7q67KCiJ2bkscy8J09mKx5xnSA2PCo37HKuPxVRd4wYz7ynI7FcmfK4fXk5a1VRj
EuFGKtb6GAACpsXmPOkqYlCNlANMpf4ez4AQlYWlZ0+10aX2vs0mpz+vgiHkJcWA8ZWxace1FaYR
rnrCCDL4DTifgiwB7KdgAM8DFfp9GQBsayoDVIhjT1m4SwlpVvil8l8EBPTBSm0o1iyDmIZPXH2I
uM+ocGKZlxmj4DQmpsdAAM59EEQ8cVh45XpkE4aBNhLKOyP4K0US5HOdVlE1chFpXLN5UEGPLGFM
WMsGU6h6iQsHPbs1Fzc3MsVPmWDGU8dtvO16ois1HZiRU8uFIirs7r6Nsyen5v44jZp4dIfMiFe1
jHsulbw7b0YZ7KdpzkFbkXID1wGbIg6O6xSv121AP2exdK0WDwfLLZ/x3iifTXyQifczHfD3yPc0
Wrf+xk3UPZeVCrxl4NJvZ0XzUOTcZUZoFjt1ZDdq57tdEXkZ7sltP+AznY39Aglgt9Fg6O8gMXFr
KRwDCn/sXOdG3d2rWqev9UIvn62mjrcI8OSZ0Lg9r+pi4gRoS6150BMSSlWVicvWiUExBCa7SRsU
FGTclptRgBmjg2x/Yo00agfTEu9HgHTqVL2UxchbyadsAZuswdPEnHzq6NW+EhVZOZ2C2mL05iM0
ytkuLYntXIYLzw9aod1zbSDNAizQOw81Ue9j6RTnNrDkLTVHuS1U3cLXBlsZSqFc7wcZb905A0Sl
UlzmKfkhJ+aaTFFyenVZpdM6difxiAXxt350xE9cB7luqxbms4UJzmaIqFCb/KWFMgfO868esbXS
oEaVTIySut+5NIZsp81LdZz3dzVNh5UgWfJkVSPI0TpPwHlQs1vj+EFmZL68xqPKBT4azepaBeUO
ACshFHk7iwUGSCi0Q12epXSVRXPQS17HAFFBYpWng6J/NoW2vBh7smtv0xCVPIFEiHW0P8KDvzBD
Mh5GI6vrt4wPntfZrEXDZRiK1AKkVrYDHBVDZSagyqhznneBTYPGnB5QMHz92dKWDanbZMG/JfKm
GIpeKkgIDVH0WruTvJhYbsVylCHByDDjO92Q7JUqxvSmErRALQiAvRm3aNHJCi6t6iBMwbbiE4cD
ZhMjVEGMpCkL4BbNEqSpghRcgIsOqR3Y+qJTyrWXMAUB2WnDuoAXuUSJD4IyBaFHwKPWJL4oqlLz
ISMIwKv6MRm4Ty+sdqheQAXoa8BT8q4AfbMI9DrbKXNyBUUb2xo3+mD/lqlB0Yy5OqFGvSymmL8p
10n2VBg3QHdj+Lf8zdshOabkbosyMneKqvxW1WkOlx2Fz5flBEtVQ4PV31MzJnUpTFJDRakFN6qW
Feei1NMVEhX33MU/7EepkUPTmpCcGu27xfmApOSqN7lpLUO1ZXNX9OYXmrXyaQwJdmq18s4Hh322
HCJeYWRV9YsKRxSsR9pp6OVyUjk24XmbsKbn+VzV8zaMcKnBijMjI+nFDjFvWvPHOUTlWUw7zS0W
lxb0v2Q+BbigPWkuU8KcuuZXVwXlc6QF4ZXTCdJG9Tx/gBdBIyIPmdk8TjBnv97CW9cjQwrtKb3J
h54skskxadMOdvt2NmgtKeDODaMrhy2fvBNJ1F6xzCsnVCyOisFzzyuPMKSSqX471LJfejmcQ7sk
Eja5DmObmWi3woZPFnd8SCT42U5manEOZ7Y4t3SC2Hz+BhHh4WND06PAzqgkOB80djMz7O/lQJgs
UvJzapnpt/h2sNmyj/2ATicekdAEe/IXmLvNKcG+JWnpgnjbhzDZV8lI+Nmwm4gl15x0E7ojM6Qc
CU5aLjs5CxuuDCarVZmxKKTal0+ZrpCgHsgZG3HAVaElcDaAHqx0kstrDnsmz9s2Ozq8DTJH8qwG
rP7ArV5iWaXn832iGclC1cb4rSZpcyewSvMVPKklXjQ9L1Nle4t61lHqGZxadi+44xnMNUUNbsaB
fBlW3Tk2laZV7Qd8L/GT4aci2NLXNVaxV5B8gf/amFD1IXxPo/I4HyJSJqzJmuw0ogx5gXQDpVHl
dL+dIhi3WAtli4IAz1jGHpcQOPDiJ7g4Qo6qmUDiFyyyWMTRFZDPp763eGuToxg7TNRYKn3KO2gx
ZlsV/VD9ICpJzEWH0S+Hslp6xC2dFV8OQCm1BeYi/X1ZBkSQspervuODSxf9TKqTUn/7x7eFKfOE
I0bRuvoFv13lRnCo4M3Zjt8g08pNHiXxthxKFnRMVBk6FpsMtcbwClEVLRaTFU8Xwp64kQ0O/lhN
+tqZU2mvcTbn+eZEsdNAT4JyezPMUYAcK65kOBd0WxIJPPGwc7IEtoxrPmISGwHtIZhtSaisO8th
sLTs3H0bYHn8Fmj//1IliSgKjs+/KPuusESq45f2Y9URFuG7O8mRUmXTPL9EXfO7bZsjf/I/xHnv
LzopbBoqLLJdmvqeOG/8ZQFkoOHfpayGgwcXhf84aetvVUkQBLDlZ7YJd4R/Cpam9ua/jSCHu88M
ArH/pGD5uQw/60ERYGicC/y6g9YLz5BAw4QifOwSXiNC/S3UrWARu3Qiv3s73z7XEI+NpKNhQO5B
wetTg25WoFefw1Xf1YFLQrl7EkU54uMUdSdqosdGYgyEJbT7AxKZ//d3jZphqwRTLVIBsSPtlkGn
XjV9ntCaOt3/8SORSICqMfdKqIz1caCetgGvrCfhS9ZzmqWvuGG8JvznvxnGoiOXHuDPxU/k68jg
rVFwJx28tedSXGw4TZY4bv6LV8dcpUECgTAl9EPdQijU3AT8KLAHyOvzUe0IP0qdGLBITjyUfXAJ
hqzv2tQPaD/FTQbay8d35/Q5NTRvEH40DCl1OXkjw/EeZui96Ht39fUbPEy3vA1moMpDSU4C41D6
rGhWydoshU+qkSQfR4mfuBUeYUr8rLpkq2KgxgscSf9cwMBTvrFQ3jq8DpeXXZfchsle+qQeyu8d
4LGF5YEBBuFhnFhf8wt7nxB5e0ZSIuwKtMuxqj++0KlLOok+XyCmxa8gp066TnQ1+P71mzyytoDl
/O9R5tzGu7U1d1j0CkU9X/FG8NT1eN/neKAU2LL/+Sr+MNLBzoTlYlRSEGeCZJ1c2WPyPJXcAf4b
y0v9/FCI8VyXmeF4JliFea6+e6gyyC03L0VOe5BeroTa4z4pBWf7ZOZy7VF2X2lerWG3alm+WmMX
m2SGRyxjFnv6IlCjDNw/oOqDNKkpxL28pZGdJDB2swvHpnPSVwkyZxdOWn8hnAb7UDE19kL3yDGV
gv+LjIJ8zTVfpzwOjtMZq/xa1p7+kDp6ubMC7MX6nABlyEfLDxxo/qUE0TwkzOfUGQH7N7KjwE3S
jQxmRWzZtmhquzQr1nStFd8h2Zp7cJvDSxWwy2MDyG+HCXotE7M8G9ymT5aR40blWpqZ+jOBI4xS
kN+j0E/1nAc8dNq3YlN6obiikFeuWiAV9KUaQZAstC7zwJgZrbe1IQ1vKpVqWFKRUVdqfNNylaeb
cjauHA7ekuYEnQYKNpcojEHAwn0EMTxqG7pdy3bZo/DYYwGLGyAR9pmmtjSu5oQ7rpcrSyejUT2M
eutsDLXkKXTL7N4eyChVjSEeKzvXHwKeXSycgdyIyM1u4jf1AQJ2B+fgpWFI1vpo/y/2zmw3cqPL
1k9Eg8GZwMG5IHNOzaWSVLohVBPnKTgF+fTno/z7tEtyl+C+bhgwZJRVzCSDEXuvvQaLflajl3vo
JozWKbrLW01L++eIW4PBbNtcO0P2Uxc80wGjxUeswn+qboo+9c5SH8l/5NN3XX2ei3XGICk3Y95t
v0jw0nfUHYY21pEdvQ+hhqT7MS7MgDIgXc3xh+qUxvj+BKSOplexSWJo5sTVT4cQjytB2MXeGQq0
DoY2URi+LvuiI9oAL33vInG4ZXnKTUBUQy6DlcwhCanxvbfgO4odWZo/+7ggk+Y21RsyAzJG/Pgd
L1hgS6fYp0wJm0sBruRvnCQan5Ko0ci8FmPnYZOSp0vggBgQLJcujx4Og/dMd8qfhpvUZIXGJOYx
dQ0gDLUHKxP+Q41r2L1JFksWYnZo49wKPSZHjpmMeNQqQEWJHhrJB/mFQR+p3CbMoYnrAOtebY3i
9B+6VvLaWfqihaPFEbdg70y306xGoFhSJg8Ic+NxP3hV9uLDTN75Fe8RRjhwelJ/LPbdGCnqZn98
WuSS73FO6lEuadIgza4x7WW7QN5pA9nF0xCQ3y2+ooPvvhsL75alMfjbFJPdfR7dvvkSZ5ZNbmTB
HgoQRhgocO0JMhqZuNZElLjIeRJ2EufPbWxUJxVhYszsyghzmf2kAfHh7TjmiQ8idljrzxtt7uhH
EugLV5i8MySOi9Xxlyc0mBx9mDwBnnl04CTmRJ+yUQ45YSsq+VE1vn0gFh48zUmc5cISw1PTzeMe
SRPe2f7AQlgmr8JjM/3ZQUMKWg2b4U4Uexy8f/QDyadJpz5VrQG9YPw6JHN6KisHmIhs6DNHoXub
DLyUDJvVFghhvBx76W9j0lB3aFGJ8Wzc/NETzXLGZHJXLvTn8aKaPiynnKhyhoRpYPYFi5pdUd0k
BaSSasj8a5OikjEdb30+FLRVYxOBE5Psskh2t3IiiVas525j8b2NMntJO8279hCivhQKf3hz7AWc
8wk0wYrMkxpYUZgNRc+DD3VCL4hQHVHCbe1u4TUqvdZHvD1g46ZJojwxAtbChDiZW+HIFkC5eLFt
Nkop2T9wwneJDiYowJBEZUduCxhmm4N3i9G3BP3DwA+DRJbh4Mt2X+jlsMnmjE3MGOqNM3FpCTB3
SPEuZcwvpm8JUqOGuHXshjsMkvFG2cq0uDYbTJqTyfR4CGVz3bVrXV0b9bkQDYuJznNIg1JY6J+4
O2nkgyU4AC2vuy4ktS997okfa5B2MK5rxNYXQWRun15ltop344xWB2f3jAhtrbdJn7F3HYOWEGta
I7TNhR2xr1U4Lk79GTqRf724UbVRuitDi9wSHCl6du5ClxJvB6e6H5s4Cj2nqk7RMpS33cDeo8Xs
HpPPS5+PJffcr4edmSHLiqsxvTIjQ//qi6E/A7VQj9bDtZd3xaFz9JEkV8QJpR9rl/Re12Zqjk9a
lnXXs0r6yyhbHrFQn6CvQEPzZqxvrEXYh8VPF+DktrzGSjK6KfIvboslNwPYn3W8+tb16Wfe5wc5
6vHBwK2EIJWyDXvdROw3w4HgWIz3bO5fNbseAsPl0FuZ7EctTYoHzLCrk6zYcfTSg7Cki2bVkgO6
/LnJkooA6Z9nsKP3IsLQIVuIc7sK8bRTwwGVgyX3gN2BARQ7BX3nZxVYd8FmltHktSyRzC9D2Hn5
sZpa3cfv3F3Vk9hBkhHfLqTsNWZK5Hzc9jr0jKldMyiMz11plKepNctT7fZ6A74MXcEsumEzCFQW
BTCYwjngPE+GKhcOn0Ky/5XuFN21oNmIi/MMe3krHcvkNGW+icU9oSijd4JWU1dB5AwmocLU4lDa
gwW7sp/dnCWEipAa+KOxIdqINHaPCgwbsuHsyxWpsXUAR8W+PnsrYTrsZd/fVI6LM3lmEQTAJCPO
kCIk0mJyOoiRqa/onr1cz2EUqeLTlJkKPqFwAJooriE7NO5MMHqR5Zu00b9a3nBosgwCwWyC5tqQ
zA2H94uNY7y17Uy7FGalQUZzSywZLWPe854aZlBnTIuHwusPRov1hWqjlzyxc0K5jJz4FaZJZHaI
J+j66mrgjGY2EBOxVVnGoIV+YS5XvK7xt7hwYXzkotOAoJVPaalpx1QRxrlz45L9zXLYvq2Y6oRu
ySISF+tee9PwhQ85ExFmNbM9fkC1fc9VX8m2HiW8bzNyxdTo12K0IwjaGjq9OIBMsd8Y03iJVZ5O
WLekTiCxKL2aEZVBeVuoK3KfiC9eePsMbR92ivA/atTgZ//aV/xJ/l2d59bMz7eUZjcmKIhQvuIg
S/Ew6GCIOXvq5KYvVTHcRTPH3O9bjHedob8KTg2uJKjH0Qi8uQHWaJcxUOJhbCnCKjJ1OKA4jqsq
qc+ahWf+76/3XsC3XtC1V/UPxgvv7AgqSYFjOTnGLR5RRqtlfg1iVI0ErcnypceDcZt3qIkd25tu
Xo+diTQR4t+NSezg+2khOXD2C+EQ416RxfNBY/delcLnQwAPC2vlvb9ryhts1/DrHfJDUpbWaRi7
8mdtrknfUz91ehnEFsV2URS8SEkm+qvRodYUOZ+4ERTa0ChfKGWqk0es/WY26Dy7tIEeXMyDfbZI
R7ioZCZB9Dt/248t84KeifghXg3JTNK66q3lltEnbCqtF9NB2hL4/GtPyqV7C3eSAziaFSLyNM2e
X0/FqsLENpyW3PhIniTWLvaXLne9F1SU8OwdG1LZm8URD7BTOb3yQ49CHsv0rg56hShuMq2nNsV5
nNk6RDVYNDtbwmbFrO7f2vz4ZDN6BoRXHgnL9M0nQGQ+Oaje0oNPv723tbg+N9b00TbwDrHgKgAV
OMNh+IgG+01LOqTDGDlVnR4ci+LZwfEHWyenD1tYLGQ55ASfzBnNAxOw8en374Px/h5TosCu8FaH
jvfOmbPIrVEWE7rVboojRnhwpLQo8p/LgdK4qyd7vvY123+orPkh9+f2J1Hw07afR0Lu+rpK0nW/
JdC2LQbPhNLSUE5auTxQfzMMhjL2vY1E1B+1CMuPP2GD/8WrP8CrTezogEj+e2nNww+Jj2D/d6T6
P7/zl7JG/GHBSPKBMgUo2Ssc/ZeyxvwDHiTqGNQfDi+gw5X+QqrR4/BGou120cxZEJr+C6k2UN0g
u0JSSSIF/ob/Khz1Db6FJ4e9hpbyCbmIxV7z67HgiXFYUnQcB8IviWaE1RJk8Yco2rv3DqU035HR
/SotgqHz61WiYWwNk1LzQFQyA5+RjSzwFDzwqke6gfmqeSyWNpebeqFX/Nvz+AeEfH1ev25uXNyG
1g0M72Nl8dbbC0y3UGbu+YfY8sEUyKGeNqMSXNfW4SsJGBNEWzR+0FWpuemWOf2hULqDoEjHhI4v
1swcBlH9iAet2WrtacgReHTkD2lUN1C2SENiiBvHy+XQudFdSQ7K5n/wJdizcCxGi8VCenMHdcmG
VfaLf2gXqCHYqC67UsOpKXWn+XNrolSIRA6JXSuZwQodpsbkgxPZdbzKbVJf3TiVoW6YmXqBPtLF
+Ovgl9Q6Bvo+g1/0x+K+TId+NzN/o3Zcx6y//w7v8ECeg+cyXPGwwXCd1w3yb3hgZ5kIjkh4xVkF
loNkCh+oUc57t/6ouHpX66xXQmfL8MWGXPf2OLNHQWsouNIrPehVXdU7XnuSPVwQOCLlB6Dqm5cI
i/HVTwe55eod994MwBBdVZVawfXiFLmYATtmISLyA/eQf7h/WI0Ce688S1Rjb6BoX7JdFIRCHiTN
yd7jrjWEeB3yzrv//YN6PWx/KQdWAwuKAXxK2BfebQpZjB3MxBo8GAuMkwV+1ZbY4XQ/zzy4GbYR
jNuE6XVNqMkd55N3ga4iJxwQzkQyVMu5tO32FpUzyJkzwkVpRAqNaxTk8MUFw/m6YHSesjY/jzFT
9NBcdHgMMblqBCGuHBjVIBfBrS89dIzdH0mlTA+//5J/FqC/fEvIgpzEwO44AlAVrCX639ZjBHI2
JItUGHWZIijjmmFwHHVHrZW49sBuDmCW/1SF1DZ2Dv7B4s0ORYnHziiaHlaNlFdNnk5p0FfmpiX5
8lEYeXpl+7P17NLIPNqts5ViMj4JH0vIQE4FIfdOVNwbeu7vyGPCYGVM1OckroxNFaMnwnZZZGP8
zHZGkkVv29fxYNhEk9b1mdMlORCZa2zN2EkPGuFLMLXScpsYSG47s/buZWQTCquBLlSiTSgV4uhb
wsET0nfFRxwQxuumEBNpI4trXQDwFHsKIkTgowGH3yKmxhmcugh7EdeHXNb5Q48YB2UHxIFy1q5t
v5m/z/PcIVpI+hXSMvd2RDpRkDnkGEO9cTaau2C6n5j6PWa/5aMbJ/nPRiQMJXOduKjQlwnQ0FTr
dJxVop5cr0LKVRL/sOK8R0AhdbG0vnPtFFDDey+t/MAs0+l66Kv2a5XRE+htt9WUD7Qe5T+0XPMu
tarQ6CnTeKu58lSWDp/aEe0WNutRjVp1VUegQXiJTj28LKLC8Cvd6012sd7PTV1gimf6nhZQhpFP
WZpf7MSZAhKN9WOcl+WFFSGQ04q8N/hTfbnCNArcdR4TmFOcL2FWTogBCaY9DotlvsjI6W4y7lN1
7BFaha3bmfe5tauShhUxwiAZWtN8qUFod8hztI3ZKAQsyBHl52ruSAsi8IpHo7KgU+TiTPOwSxLz
1oggqbK3jcceaWUwawo9jUyM7wRClxvpiIbxRnGZgk+HGnyeDQA5aEeUr9ZRPWMUXT81BiU+wX9W
kPkqJrgyvoQ+85wQXnxI+l6/i8TCkEs6j3OfvxhlVW0m+IahtmLKPULvnSmluHDVMJ0qG6pYPRIU
VOoIG4es1QKINVHgErXGFjVMoSirLLSyWp01jwlJ3il4NpoXfdGaZObDqGiX4EsUJvmaeQddamRx
jZO74RjKd2kMdLbJIJ9uhtgx9rLrtLO91CSKaTXZb8qeXzLatdsB/0UvqGZsZAPdyJrrBeH5KqAV
7XmehXVMKlUchJlCF615XRxtrgmL9lsinMn5meipEjdpg6VPsCDXs+qbHK34KYvE8N1xu/kJScV0
Kj1vPOaj30O7aQho07UGODCPQjj243EQvF/kvMEMwy8nNgM9cztxrBAGLC3Gj9iol3pcBkpbQ6xH
vdrhq5scgf/hFZFdG2YzXblvDule4Ll1kaoadaRe9oFd859rmHOzYQrSnvwGGg6Br/Nec2CCvxLY
ogzBH0jzVF/pcwy4xcQtXEY4cnJlsL2aXqQxJ8erpAJNExrjEXIj31ieXlny8LdI3koAIxZkaI+L
P1nXhE3oV3OqE+kGSAqrUUfa/0OsNFK/IJ1lzjL5LXFBTp06dZEz9NVFZbviXtNXMXHdJNfQKqlO
VgZfvSouHOLj+HQkbeOAjL3OVulOflfEFlTyVXeSEyG1STXqQs2GVF3kkGLhlMPLWxnTdQ+zrE3t
7vuiwUgrMsiemeRLMqtZLp2iRjZLH33Ar6i5MhMUau7Khp0nJtUhM0CkIPWavCUhGSLHSa79VXhr
D6axfaVcYkYUA+k2yEdya1klZ37RPca0zWRrm3ySHN3kfhzxHo40h0lJb6LBC/s8s7emn9jXYlVp
LlWX7pveQKuRQSnwXbTJ1CqQIyPHD6gjJVNC1qtAgPqTGnh8SCGcb80aCUWGZXMRUNsYe0Eu9R5h
AjCURJQyc4FkoxWcvAsAOx97Tuxn1Idol+Bf9ndI3/gJ73PY00a7wVNEPCGtOXc5wjh3bGsU0CtN
hHrRPNtKh+nEpkAcr4nvXGvtmqRVxxKOFr44WbKrzSjZ1tVwLyIkdlOPqZSdT/bWTfUbGVX+GOQJ
AySJFjDZc/vd/Jskyiq5kF3ZjqxmuwdGqIY56GGZbaRpyOjCZyzcsLPOHTJEgLHkSv0Jv74e7//b
sH7QsDIa8SmH//uGFfcLTEdfqr93rP/5pf90rJ7xB24EgIR4PWAD89qW/qdj9fU/LMTtPsEFdFS2
5WBp8FfH6v2BKSduAg7qC0rvFVv5L24VjS9W4SvXBpSHZvb//p9f7GO6N//9d9eEtxa3UDFI3qJb
dXAdoTh9a6fSKk69tujEuYKp27fhGJepOkibyTZqgcrhHE1mMiezXGgTMxqMyVFnJA2sY7+xX4h2
rwyBdBLbXoWhnrOQCYDXvZWdY6PVCKaPKsCgtuowPvjbnf6HVvRNX2IA6EKcWo2XQLpscK5fK06v
G6YCjy15RrWg7kRC/2gzV7iYR1eHOTlzYP3+gvQFvza/XJKeYQWZ6YUcnuab/l5LCwKyhzo+O45/
UfcuybvFCBi6xzQzblHt088ehNQR5E2t36pwsEbXOvgOSNnOjskqPUYuhg/BMhKqEFROxODf6B11
41Up/SbbAxPKlZBcGKJf9lZU1eesW8MeICEAaoo8kk7QyrZcQpsgI0i4U8W91pxR3dH0M6gUi/3S
Vw2HXdZ6XMpnfh5vpRutUzKbsLWAGHHG6A5PhGlQ3w3DDvu1+XJ2sFyQwmQRTCZ1oaRO3M8Y4UpO
NdKypcfgPXQprOMt6oQp3sJCUDd6YhUospPYuBdCYzKfupTHAUmd7RctmdVN7Ex8DGWkntpijNV8
McaJaEmH7Tm5VknJJ/Jn2zyC0lO9Szw8cF9sNXRaRpaIDochKHRX+HK62s5xZ6d5MmA7J6dedqy/
uCsW+B+kJN4tsjLuCaAx1GPjCaU9m0bPnUs78ldQ6daqPsoGP4twJN1nIc0TyRLDrpE/bYacT0eu
PZCzWlraK42kx2RVl0CBqUnzRkyJyDhdY3NsiqQ4ehhmSrhxkPw6pH0mgC224zgh8lfrXctNSmeL
p+BYcDOfEmwcmoO16GW55T6aQ2inJrcl1QqOHmUj5/o0LzWPdVyTj844oRXJaVkfibveHJ8MVp4f
EaZnv9UgA6RFr7lUJON0mcTESWuejioaRoc6rBJGD11KKrBclzMvYYH+nomY41IJ1qNRbDEfiDeF
3YpVfKvme2R9/RVwKcPEMiNUGzLwAJCT9fYltZfzoI2uuJrGprghKT1+MZjmH2A6WV6YGpX7UsX5
+NiYeqZQ1LBkkwlJ4DiNvRcm2TqEKgtS1k+GcmwET7XrP2iYofa3RrpozsYeXZbNKF1u75SWjrzW
e2VjrWXHdCJhSXW/okaWlywmY25LM75BMeLZAX1Y08+ZQq/5wo8lPbya1F1a6szkaSTIbYpZIx0E
8yFk1CvuMVLh8RS51jqBFk08W1RLBbwft26+cGd4uVwqw2WfN/UU7TpK0u6pi2x157HFy622uNzg
1GgMZ59D1D7b2AU0QaQ6BtRjBiCWRQBDwA7tgXZ4VhcmdWYcuPXAVWB1ZAum8R1cFrxwuC+uv6pY
B3Lgz1WSG/I+XxZNe9AGatyL3pCavJkVQuxdwTxt+ryUzD0/p5Ze5nfRmKHOQxPdUg5SSy3jOvVY
5pJ7yRCUe6n0iTmJ78fcCEiT8hAVHsY0FrsKcdstXjrh60LOlcaDqxGSy40zri9FL2HmB2pCk8Zm
Xhv36aBhMwJdMnGeVOENxnUWoZ5A7SLy+ptrTuIqcTxaIa8ouaaWx5k6uFEss2cpJIq3gHD4/rsZ
eX3+KNkhRIKPxGLL65qWyPEA47XI37pFrMmtQYFFU8VyOnWtyzPvgQ2vsn4x1aM3RG3+w3Yrw4A0
MdOS0wWMhnFdcv4sLbR5RGvHqDK8Eplu7ej6MTFMgBAyZyCkadgX41uyIKCgGbqqcBl7sschgnck
Prn4YK8tVj18xnlG2yITTTYsjC40hzg5moUfYSpDXm5QpuNEuSlme5O4pX2AquCstsF0bCm8L2vo
dhYT6yqDODdHFZtMfWwaT3/o7MYIzVJ/1uAmgHTQu+ZzRVh9MinvQE51/LXoIveHismnrISsrsll
vRgm2c5bUBN1S9Jh/GybY7UFFcK6s+rMO1ii1bOwknJnVDr8CHcpySTtXXnjx3OOP30OBE1nRivb
xMVnI+vcwNe7frdoPTPrUeHHLNGAwZJsrsdiKS9sRvLbAanULdt685z5Q/JptIqbydVVtpctqcnt
TLitTvm/B05JP8WdU3zG7L6LdxK094I4DwhLebucCs0HEDUZrI8kB61KKugG6WjW9xw6zVNll02y
yZau2nmpXj8mDlCB4OiBmODYQxU67qCuGkeZQQx1gGx3t/uZSlduCgTFYGpkIUxIAq8ImnetTaLb
FfHcM+XAppPGCIOorPde0c4rLdOsj26ijF1si9ssqpu9jo3dhrDe5glFEHQJTFicY8XAcNzOpTtc
tb0VffKbxNlr3ZLvbA2XS6K3Fg8PPce50pK+PbNhzwfMY+fjpAkfI8h82s6dJHge/WbYDnOG4Ktz
7sd0XL7repGdfc9fzrKS/kdZsW/m4NQnzB7453UoDcTyBtdu69L0shUSVH3D/L9aeUiTySFkaXCY
cFKozxFv+Qfg3xvA9vWqq0MeeC3psWC2vxZiVrTQ7E+2f2rpUL9gscPGQLtGjfH7+usNZPt6HRTp
oMJUeytN/9frjEntDJ0f0/xB7GJP1SV79iqjtFXEhvHvL7ZylLmdwN+wzX+9mOAd1oBL/BMosb+t
V7nbK6FdSwd/+/tLvS9kmaagxKQW1/GWfMv8bmPfbTT69pPpzOKqWmVUNgayUFf6+ty5UEX+9fXW
8ZhgmegO3mNvoG8B2F1XRWmfFpVED38eQRXBtGloVysNsEsJ4fzgdq6362/wMM+OL+dhhgvUzsN7
W6zPZWz1vuytEyJFqisCYSl+2FA5gSsFDQgeC78VauXIzzokLPWvFynMVZv7rGP7a9j6my9dV1ar
qwIZ9jCka/QnSiwlpo+yjt6/ClwFX0qfcB0bu7s3q6aIjKmK0s45xeBAhzll7ON6H/rA/tNVaCiB
OFak/R3BwOlNo7U1vsurVMBJoTyimPwfLBObDBgs++h2aDff3LG8hc7c4G9yMiIwH9xDWRTjjHPe
Fg2CuOobNS4ftHTv9y/2dPYwvhbpDVz215euSsdongrHOml15DwJtJLwiUdKkQG38W2FRJUxQrew
RH7/RrzfWTD5RONBEBwhKu/eCLKjUn1pbAO7ON7uqGaf7B0UHkuGKPj3l/qHr8jiQItDDY6h7tvN
0sUKikuVBoLGVUJXivq8dIxpC2tlbK0dnFpXze8v+k/fD39vDyWWDbhmvtmhR2TWZuI74lQ46C6q
Epp/oXvJnkbnwzf9lfbx66vug07gimy5vuu9f9NWnrDOfgK9uAOmzERpkxjh6sVdMy7yqsaBDrbf
TJmsJuo6yKpzdzW2WA7tYM1YNBc1DFtE8d9xzjapOpcKwrqXO81HUUfvN158EEzm/+xITFLfaqOq
1J5SfHZY4SWcqzCNUM1mSuO8JKWKpZb5lPW/fxLi/bu7xlRRV8KdYfL4VscRF+AlEWfcSfM0al3l
mfQPxDljByQFR2bSROt6z1Jx1Q5F+wXl6CI2JjPnu7YzGDG18bC0O6okZugYIiT/+nCAzYbUD2EV
1Av97VyZYRBCY4+3vlw8im7dzp5FDLucpMIqRYqqfwTjvFubzkrnWM2MmYGSa/Jmm2nTbi365+U0
WpH10mE6kQVzW7FM1UoA+/3t/6eLgRuR90j63ftAbeQHPuE6/nxSBKjcZBV2dZhn0OXYekOX9PuL
vXvUfLN1Oi90cz3x3sZvlLkmmi7S55MDqOxQvvasLF5EusTfX8h449aCdpPtci0eEOBxpL+tjApy
GJXTuBMVhEy6G50ebgg1OChkcBBl0J2bbAQJsWJ098mUwFQtGteUkJ/WY7Bu1V2S5uAE2kSzBEEW
L4jFhXOtaw5QFqiXudNJqqQ9b3Oa4wm65U1f4Q1W/tuN+DXHDUoG5xpqxbelUFphX+iWXXcyFjjX
EyzHM+YT6T7W539ddXEp1oAFDwRI7x2jEtciox8V0xoJxwaVe8b3b+vW3xKSWJ+tSn2IH66n1982
Rlga7IcGrz6sNRSzb59StZSmaKVtnZxWWT+I9BpP0or8h1dAZB2LiU27FPbnWinjgwPAeLtErFVV
iLrQ5MorS9M2fz1arQJSPtqQ7CQwaSwXfNU8h9SeGVsnk3GEiryv+O/k1masIUhf+THygcqUcXow
+pkRs2Fk850+lKCIS77iNS150jQWg+TnV2G7LJ0uw6BNpDduP2sVf9OU2gcfDQ3U6twz61s76+DF
r8ur0DgM9nMvRXOCttJ0AcwEdWNPCmisiyA8n3OAIzQHLaQGjMahTV/augarSRd5eTuBNlxJp9f2
ykqdG1JAtWVfuxWE6LHHOlF3cfS7AJbWq7Bz7cEPEks2F31uMYVyC8KUNjVe+jTQS3rCikaE+FTY
Ay4yImkxlByYivVg3wz16hdzyVYZcEEw7YJTjyjE90l6OaC4hm1N6KtmBUPxr0tuxlnxs6u16K+c
GogSmYtPngYJhXRFVbvwp0sLQ+u1+BzzCOTFL9a6pm1415KqsPHyZeA1hbmIJY37LJWfH2NPU3eN
WsrkBmVNUV/kcTv2tx2ClXKDBIa3uxZlk9/VCxKMjRx60e6gMKu7nBjcC0ZudX4Hcb77ruBtLyC8
mb38MJ1qsC5lK1Yoaip4zDiy8It8dfvFxlls+dSgxIVbbGTWxbh68YFoYJlIRm6fq53TYBu0AQcB
ueqXBCDcK2fH3CK4428ckG6hYprM6tiqbNA+qTrl0m2+cGr5OlT3NkgKszOuq2m0+zuRakm3yVku
yQ39KsYyAoZTEyJ5s47jKDs33wz9qIVLU8FqcQy2cHuJWUFVNdJIGO6UuhfWGInpmODFEnGuCiQg
tSzAtDwIFMteFfSwAXxiUEYY60rei8qWBfY4NguMGAHHuNJSydnwWgeA2bP68JkBakgcGBYnPNNw
nooAQjzm23Otfvr9Et3gIoUU8xWCs4uBD2MmStxbmWG/pFGSRNtu6BAS//laOavMTF/NICYXy+aX
ikg7CThPlK1QIoG2y6nYhkaPGACKi80qaj1nFWgVNvfV6FbM3My64Stq2mncKcbYN3+OZgh/f4ls
cy0kYovazqtdlJEiW5FYCTwfNMTaHZTQQeBfjz/XGQAZE7Ar98J2mUdALElVtsNqTu/OaGN4TctG
Y9JQzBY31sIv3NxlvhGnt13V8kGEDnayawqju6sW0arnQbmmhnela+f5nVeTX3lpq0LcO1lWWQx+
o3T+4WlMMrYInA3rdhYNKHAyUxuT5y4mt+Q8ZgyQ1EECXMFasZjmIGW0etN9pDDPe2jVsseFLyjS
scEINIoQGoRs4XZ2KmQHWj8XgJLYtVSLBySBQutU6roCagMh7z0AsmUYs+nPE/9/56Qfzkk5sv9W
s7w3okiRsHAU/Donff2lv+ak/h+oSXxGOeuMlLrtryGp/YdLzsefg87/Px7V/0BjsNqtw97DKX+9
+H/Go6bzB8iQAdtO4BxOAWb9m/Eo6pFfD20Oa+IYaZvosoGC0NX8em5KotzboY2Zxdi6agOEVM7Y
BxYw/xw0jjV+gYPiMjqx67uUXO+rhRyNoPUYQYSVP2RbwXz/U9bnsICkofLrxOszvAQ0sGHflXvl
p+YJWSCUuTHF+Nf26AjwefUt7MQYeSG6tpPzWEz1hR5DyIXVVFwg7slv3Nr09qXuJ/vIjdy9lRdW
H8alhsUgbnP7JU3kMadshEU7R5sFewYNHJsTFw8sHOKQBDuP6WDUQwhdLAsVaH1oJgOiOM3oD9ih
Rnekb6EoSgkUOg761zxf6hc3L7zLJTcjM5DK67f8D0wDR0ft8kg511OkPI5CBzYLdLJaP66SKrhv
hvZtqmX7021ShJdZ5R0RtMsfsTKiFle2RtykSTOs7kHyzuqs6ZTlLpS2Oc9mHO8z40emQ1DKbMYn
+PeYyAmZSl3FehWfu2bRvlUOIooAqRy799JWxzltn0ZftRgorpOaxBs/J03ff/L9Hk8uHPTl13UE
9iS1PPfJp7PmwEEBNhBb7tN9eRX9MVVOYOipPCa2n7shJZd8aTneh9CwpkeiYgzudFV8LdK+P0Do
7HeCwMRviz4UF6kur7Ultk+57JuTjJbljJc7sTm22+1cfNoN+GXpDAFoHgzJQ43zJz/1cYHkLg38
bUQd7YzOLM6zcCME+6XDF4WkR8hPNFyI1NZwk9WTPbqy4h5wK3nM+zQhgLFqTFLfsJbfYvyfiQ3t
rd4ElPXkzGO+mR9baQ2Xg+UvHY5kuomLgGA4nSwrHhfPehdOXZVsisWEjsNAcPqZZsYgw0at/V9V
cIY2WVLdpIzyAqud3YtY1ssGjzukjNIrLxtU/BcGyY9zmJcTRNTawtUJ0lUTP2AKYDiIgmPra6sm
C0cgpiR7F1Lo6jBQrkFKHLeMzOMN9nXiikGGfxtHcxJOnrbFQhgLrHncONK+Sgt//IZnX37EY5+J
daZpyWbsIHFZ8CDPy9I7HcdUX3326yx6wpk91k5Ra7TZ1q9c8b2d9G4IEjzH78ZlqqPtOOfiS+8X
URViITfciqFqn+FCGaHfTOIllybOjuPcz3cdgxHvgPsj7Ebp+UTEGnA4/dJUVhD1eG8FQyTMB3PU
k3PLePwrhrtkEwpOsTh05UKWeFx5zxlahsvchikIaZx4ymXMay2cMzdaXeOgLW2auKtxLK/KF+oQ
/7NMkYzqU7NxGmmijnfmH3YjZ5xWhKirbeRF1VMWD50IC5n1Lg+rkl96lwS9ALJtc/SiusdPfxzK
AC6sf5Fgrr1penkL7uBbAabb/RZ1PNmznrS2HkUyYlEXLea4BnhbTbqxEn9Azt1jnFoL92TrHSNo
M8mgTXpWtq+HgW1NmrMb4mkOsQtnvTsD3e2+TvVcbTS/jyyEWlL/YhD3tl0sdtQRqT881qpMYVX1
TXGMZ5zjcyuiGCd3p7+TXgq9ksyM7BExd4slvOjNiR0tGo5RjA8zbmRT8zy6MzMPi673gKo1Ri+t
z9211UntW227aNE7uMA3cztrbC4LAtlay3wU6pY1kjydtP+PvTNpjttYo+xf6eg9HEjMWPSmUDOL
M0WK2iBoDZinBJBI4Nf3AfXcT5K7rX77F2F74RBVRRQq8Q33nvsJj+30tSvT6XV2anFt9xnW8GHq
gxn92CzjKIzt7jadw7jYAkWrIBNMBJYCQLDwCLSPSdG3W1D305X0JOlnbL+2Xu2fnXYm8oJwwfsQ
ujIi0iw+5QXHZiOc7qDN6imp3fHQS6jpK4xOoZ1gwcUSda6jcFDejsn18mVhwVntFFpGAvtGQBxN
qpAvmEF+q0188eOVUyKbHiJHTm32An2UuL/Zd+rC/BjMhVdYm1TaYhgg8c59fhvr2ADukXu3ImfB
jDZdPniEOzx4wk/uOBY1o+tiOalkenadun7oGHY8jKKP0YRmefw8McoH3iyDcVP79XReAd7PAdZ9
DilSvx4CDHx3JnSFOyQ83R7g8uqdKBx6y6qP0LlauxyxHcc2j7xIV3N2M1rhuO8Cv8vhNlbVTR6a
vF2vIKCzL1MuDG0jX/XQcjZC9t4F/YJ3u0Diu3bdOmbvvQzxoxNI75RnxfSEI40iPVVx+tVejPkW
QsNYHQaja+gM5/gmBJ39uHCPnxJ+8c9t1uFbnqV7QBIFsjLulk8FWXX4rzsDrb0o533uzBYUz2FE
4Eg0QDG4nEdjJpYrorT8U5qR/F1N+R22MnbO+HRu46bsHQ7ZAmraEp8aL7euwbMkDZxFZ/Vuj80d
ar/ssF7PJ9locYEBKI8cF/4B6rOB5FMpe2dZk3tfhkv6JR5QX2TawAcqO40SyzUHqOyLP99bhZwO
4RyGJyXG/lnGDURP4aoj3ydv3jBPkRu79cOKjwgGHg3MbG6HHLpfNNphdz/ZZpWBLbfJjyB/C2o4
Et+8K53bsaji68UP9annwUgfQQgViLvPZpOFn0VvW83G7d3uI3kj6SdzigsSJtDzMu4y4OApjhpu
v5SHtFPabkTYg7/PVF7ckR8yfWp9f9oWg/BerSYLbq255puXrocmezArOyzTBCBD4tloHus5/Ijo
hMW/SsnPZcHbjSIyUT+mERvs8DUz4uKR2U/f3Xmyz/qjDWUcrqPnFXDRc9GZF8sD33doQ1GbHcog
aImITEOufMPc6VF2yVaTZT3v7dTz923o+VGKSiGO8mS6X7A45UhIy76Ce2ikH93WdrM3y+MrHqEv
Md2dxHmRIC1BXLx410JorYZDkwBEGc/cspYszr6qUWG9dfHySu2rX4rCqD/nSlvP4TD6T6JL2jMK
nqeu9ucd9Ojq5Hc9WfMjBna/0Q9eubxyAH6Dzf2WD96rP07jn2x6qSAcQi02vTu+IhvPjwhjyztS
b3aTUxkXPhw6YcBjp5p5xDd7cVW9GdquKDZY+wMW82OGi7qZh3vbnYo5gtqddptWhknyFHij3FXE
XN+nC/UO8NDJrYzvE8D/tlC/a6EgjDHW/X9LTW++Tv/jtZHFTy3U9x/6tzmSiCgr+EEZ+lcX5RMu
RrfkEOjksTb8SWr6bo5c9zQsLkHpronpf0lNEagCJSfqit2tG66+yV+kpf8kNf1l9o4imzG/75Lc
aOIi87xfBv1CeR2hDElzUjT/WVTUiXtr86y6eY+w/OHS/F4b+v5aQUgD6FO5EHL/S9emEG6xShP1
6V2ahG6fVQYH3PPMFbiQHvO7YfIvXeL6esxzwXKx22GR+OuuVBq25aPv4fWqVWk3meQgIcYDhjJo
lm31EDMVs3UgnqZV0vfPv+wvK8X1xWEer35QPj12fL/8sp1hYmvpZX1a0H19IeqR8VMpFEhmsegH
ZFbhMxCU3/3KvyzP3l+Vq2WzmF+b8/W2+dHwNfQAh6fAB59d4f4scDB9QT3JMDhcx2f/+cB+9QVy
k/Jy3L0mRMr1Df3gMMtNQ5PMIsNjSrrLlR+w8J7TIdxVgY3UM1beb6yuv0qjAQwis3630YerE/FX
/N/cC3NJYq2OY6MJPh69mFHl8q4ODSaH3dTMg/8mgBp58mkeHjrl1s91yx4mSr1igbXj9/7DMFsW
MZ3KHdUGLEd/ETrUH2frdz5D1//bfUBQA0tM9Ml8mnzZ133UDxeorkj2yTEmHV0fCShsX8uNr/qk
pPhKGhbLVZeI6SzQc5c8IAaXIIQ6mR9W3d/RMhFenbM+sE/VjK47sXtWVrh9uZeo+FjDrOtAnaXA
W5RJPs0OYLe4qSyT69AV645ytHpWd4bMUBjPFhKp1tXixpA+a87RRyvZGjM67VUzHGcgkjaLJLD4
z0DZEJk8uWi1A4Bl5VfSdjHYckp4W5J8i/DI2Nl4YW0cgpKRluSWi2ET1uBoZ9AGSNtSIb5yl+ps
ZcRkub4eSBpz7nU9T5faTNns0QsTNEyxz1Z3PQjkTP4Ujll2DsY06Luw6GSAJLEjYSu3WH9J0z59
H9prpVpI7ba6MxlyVVEIFHsVV+bhLhfSfQsk8vPvM+ZKxShR00E/GJ0hntwB03C2ZMzSkTTVCMtC
/cpWgKkuUiq2J+/K0tGR/KZtwailItm0oxfK4mcrL9h1jMHELnzkOr4PmGOJNHxE1fewgJN6njq0
3p7BkJ+QiXDX2ROTeThFDHtDbbBXfmeOfb9X0zxhs5LaGSFbWaH7L2UOWRKgDb+sNSvSvvsJ7V/E
KrZIz6EfZ9VplbPjlyIeOBh3DKPTl1RN4XOARYX4pmJEClLNDvcJxYzzhhuaBUbS8uUnKeISzjJ8
bnF4JgS5ZdwZGoYrSQss1yTFN6acttF39CKM8hUYbTSqFvlm33WxSYMUYv8vcXWKZwmMHLrSCR3g
Q7YibjbBuqB6v/6OHigogQ7v0sL3txgP0z7q6tC8ef8zQ0xHX7EJ4txY0qPB73qf+oPaTkkY7seu
5wZO16+Hh3CvJRk8j+Mr0SsQR6qfMGp1OggfWFYKaW8GVE7jZigDM78ZOq9v3U2AxUc/tsiaVuNQ
o2O1L4lA28S0RjY9eCbM0yQGH3sE0zk2CH0/ZMZhJoaT8ICEyfYDwRgu6L/GxctTp+MQX6wlnF8R
j0xf1Gzg/oGhuGR302xY00v/7hDCJK0OvZXW02YxC0h1AYsRTHgAA13lcp37JyIl0p1ep0zYi+Y9
YV1Rt3qSpnd3UpDbN0QrjBES8mMczvpqSBr95FVj8y5C4GM35hvHLTwWaFif+tUEhcvQ2wyzFrfG
apGa0g7j0RAr99PgFCG+Q7ufINmHmb5SIOGPTtBg0RtNq2Hh0Sw3gRyTL13PselVmX+uyYO6ac06
RAO9ODOJYlOFml6vyBSEnSv0fhm+hFm6qtIMQIRbbm6i3WKMUGwFVE8sj+/Hz3bdD/VWGM6HIU1g
QsrurRZ+fpOTuuUcO7oarBP+qmaW74qXucDylmLUwEbtjvqBxxz3soUuGpiJQdQeBTzeh1WX44oh
fK7mdARklqx7A1cp/fCunNMpsufWEe0rbF0gUqqY3nQTJM85GX1XFT7BpxwbwUvOyGeB3Y2MPzax
suH0YOHchibMd+wxWx6jzZPnokLPCOno+TXwLdtV4J7dcjHDl6VvxadKGgYp42iLg5NdycVGqdz2
GvuooJ0gbc/+c0mUiyG2Ls5l2MYX8heTO7ymKcvD8MlP0+65HOTbXOn19M/Ec1+FYONGrhODRc55
F2P5mZ7Y+oQfF7MpoxDzug0n/xHlRuFvET2fgFsZamtPnYjCVPhXTtzIANahVd/q0SLoYXGs5yoN
2m2jewdVfwU4np65Y55ROq7aVHZc39S+4fxZCps/3/LEkh/AClrxn2EwZYgSujZu9kvAsnDDXHQE
PtcXxqUqs5FLV8WA0AY3+Tj7AZM3pw5ufezR25xf6eAThlHQhMX9a6MDapGW9JCLvSIRC6H4WLsQ
EX9GQ85h4ZSJxNTSz6eZJdyNoWceC1XDQnM1BX5BqBte3HflRuEtPCy6kTulT0wStvTqV+ZWZlCa
pI24sa2Qs7TzLM70nPb7WVm8G28AtNhPfDRRWYacgxWynmXzLgjMWof/kRarGFLb0A28ss1QN1sF
571UaAdTxaoPWk3PCtn1gkvYlgAyAF+XK8iNQwvJnr7DEMJ3yZ0QBr3zIBvJC9vx4rwtc86B/34E
+unIss1nEY8PBjBbekf8aMCSu52cyzSOJiNYF/OAHIz+S21DZUKBzXyFJ2uHxabk+dhnLud09b6o
nOH7MyEeIE6TPEKLcvj+tr5vUrs0p5KIjXVV7zPouOpKlCRqxtk0KGrfKkBPKxaYBWeMwh6K8HGu
HH0NgY1duinD5nWyOpyulrtqVrJqVQFNat0Z15Kgkwena8uep4U3OOhPyjTpCjLZAlP5PskYDgrP
os+Jmuvc+RH1i/vqpYKDdZbMpadWauLsyjFfRf0ieZr8hRwBIiK9i7PYQb9vA188lo2BtXtMjW+D
7MJDOk7wFnnPVDmZgXvFQrnm4XWQPMm7cBBPtlyRVMlK6dpL32G5muhsvaIdhFKi8KBmIBwIcL9U
kqOKzEk+UQy6fEzvkoqy52M0REfXgM/VxN/pwofMdmWAF3olTuOk5TpRWj56dmaMj2xcSq+NsilN
0uABbz8es23RhqQC8Wjs5mw/F5mRiA95QLUMbnAa3A3CVVxiZuPuMtOJiyjGrLElnAGAgDdbB2Ij
qUF8PMvnwpHpDYgUom/xcO34t2MCjMS7zJf2mo+/e2gAWOHeTo2P2gizszEwclUwwCNnDipiNIlr
nDWWrXLE5FoGnbetTdINTD+8goIYR11l3ycBRzoiE4J4zATVwiIq1kq6OzWKFW8ylOKB+Ka4IayF
vRXYUeBxBRXJ4FXFN1QBLqSVJmZd0jC1GjpYdHwDJ0jZ9beabZNRzrehdqYT9zWFwdiZpKm25q0L
1mWrTFJNydchK8btdtTG8aP2RiZ8PES3eZdOO01gmWMOzrWGhnvPp81zGd/7mSdfdSD11EDGbA9R
UHm7JCyvxwLfFNS7+dac2+QDO+3xFbO4fdNAdm8iXIoUkBpaZ1jW+GzQcYgHKj8y9YzJ/OYiEjvb
tmKFRPRKiG6FqerkxMHRyJevsC/4QMi3SjAhuPaUbqvRJNSRikAhkOAJ3IPVUesJkq5OfZ5XnIZD
3lyNnWWcPHvuSAMtSm7SKuW0yTzJHblAHI4xL5VoxuZiyrNIrarXf+5Of1HBwaymj2JzymBhXdj+
2vYvCt4kTzzw4u570a80YhfQGvrhn1/nb90PL7QKeMHQmavE75f2EJHNMObN0B5LJmusYACWPXVM
/0mq1IhsPfwx6fn9OPzn1/1b67/+guaqq6UzdegUf+66aMlLGyBDe9R56UHiw2dFYAk+q4kYN1Q5
VT0/QI/mLO7UWuX+86tjEf5JU8aLI12mK+YLzpv4lcHGIJ/pifCa43dr5xJI6ylYT11gCZz2Q9Ly
X7OVtCVr5W1homv/O7H7Wg/ZMP9uYicYLv3waf1d9ADK7K1++2lg9/1n/jWwE6bzB2o8PjsGRyZG
cER5/5I9IG74wyRFnvt4BT8yWvq3NxylBORNtLnfR3nrcOuvgZ3zB3BDfOaIIhiQ0ET+JwM7Zw33
+PHu4qY2gTHxj427J/hbAEK7NAX51TMZOy3D8qg0KrQ2aETdiAOpmIF/FHZN7GhCd7a6Ma/JZjei
MkvSL30cLA0lc2WRFmSubUe6dBVJzb3vfV6kxdymzgJnQyrzfGmglZUv2eJ0l6ZfzC85Nyul/Vjo
ccNN768x4OxADpkBJ9gfBt869V2o1FnbmZyuJd3XLkWQxqLTKmcsdR6pswjXIjHG8D5m42Ly8Mwg
2gdE7+b1Ym27WX5S7N7Zq6SkK3EqzexegRkzaxvdzcwEZR8GMUiaeKoBwDheml2XSBpPYzn6R0OO
8qSaKm83Mqv1veqMg5WP0G+skAhEbR9SoxwwvtJT8a7mJX/RPNIpOux2O+ILTUOBECtfhBRiOxWg
Brcj5BxNEqUtQT1AxSSFsEHMFC0sNBax4ZPnKpvLiFjCytwzHOX+juDl3LuahO9+5ooQlgbvN5ZP
i9cuJ1ycveFc+TLRBQgascEtSyDsQQZtSm6ztqZrUodI/S2Pfjkjp6n33hJUCrquk6aDfcwzTWdM
onXRqtG/WkaNZ22JwMAIS+9I1x1zlnIhZY+lTqIqRKiucEvBlkdmhQgkeNct+n67bcESvyoiVx76
Hkt4SVC0/sIevs2/hbnov82kqk72jVX3boURs4rFnhXNKjBF2uh/bCfMfhQBoboQiEy7U48oRn1Z
xGk0U8ydMies7Z0si3tW4XJnZux747SYbnv4H6wrM9jYpS6a7cx5iF1ciHOQFw0pzuayJ0a3OKwQ
OpG1+mHwRod4RaO0ttlKVwLYNCTnIGCRHjk2Vzuy8iA+mlTuw660Z/dUaVPu2Yj0b43Vlp+toRP2
Pix6DzB7t6QMDeKgpJrJ13lAHwpCUQdwSHZSnnO23uLo1OOnNEe4Gi2N494ZXEEX2USbfEqkY15B
e6/2ZCoYB2U79dbn5a5Lz25hzwh9XxPXfkingj2wI2IfpH4wQQwGinVliaSDCGz1ir20V58UkX43
GURtVphD6VzQ0C5n9qYmzbY5b4uRXZK0831A6tR+LJMbL0VLtB0d74KrChO7LuJPbPHCPUZ1hQ7E
dnZFV9TnUfjtB0YUN4SRu/frnX0bi97couEB/NeJ64W05w1rNqolu6Vqy1pUL47dmt8aMZu3jVsk
H5M2wxXZORhpVQGgm/p2M2decshzVRxwVVGqdCsRH677ofVk+Jg4hgtWLLAutKfPi2Xe1jaVv2/E
3qVYlHtho4tOJu8n4GEkxm1yQFAXndnWa+XOWlNRLw3T+tK0HzzLGXcCO+03g4SJCgbNmO6LJR9O
cPo/e9j3IpnFANqNce7CTaE857G1J51Glq+az04wJ09u7iTmBkK7++dQAaatw77n72iNE8ZrfL/A
I+giCYubTK85F+RnRAFo6R1Wbhr5OgmOmjKQKVetAsbNqDBpdAU3+jhkVyJMx6cB5VdUcn2eqCTv
ua2bh8CaLyFxX5FbxOHRIGcLGqTd+edAGphoiRAOvmivTu/CMsjIzGnqL0jSwm1psqzctKgivd3c
OOSYm4IM1vwBvExAS6z0tuDufhQETFcbwUj3GI52DLlm+cD4C+aHdhN/4/sdsHdcLZtmNO1PTZkw
xkxHY6sn4eSg3D331aXlQyXcLg8NerfI8eX0UqQ9cc9UTtdW2aJNUr7+TEa32inLHr4lJI5HhduR
vE5xisbbsj9aCOhvF4GATBHaejfXbrMXZTLcWVK2V9DwzUdmdEsREdVQdPum6ZNd33TmG8pfuXX0
2DyA5SW7Y55SGy7BaGwcMSTf9ELqaa1q/xVexGJsF26t3cKRE6XgYmnzEkYYNbSlUzAhVPID5V1b
HZgivpH23kmE9SHpwvaKUW16bkLZsm5N1XboTKQbc5jOX7NZDo+uSro86qw43fbmXKJLEH0VxRoS
gRDKYnkzz2OEJvprVWX2TugGUptrNdc6b+GF2Z28gFaY7kvf2I1zEV5TTrrZxp+zNCZSzyiuU1MA
xkLh9KnsFZmDfdle+20wP5qT6DF6e2n44BDRflTBoE9MKjMHpaFDGB0xkrdStcVLRdjLC4mW8q4e
y5igwDi7GjVO73QKlg9COvMuNZv8MEs172K62o1JBw8bg9+2ifRgmcOpLhdFL+yPH6CpMAjNnL7e
GpmLldt1yIc0U/Ou631Sgn0USed6MhAuVsU0X7mo/Qqmd+TyBY1jcx2H6aOj/XXohgV71pVKo5yd
+VlkwvvMBsRk5hnX2R12yynycoZl8+L2R9NZeNAHNVK8TZ/02d7LCu9CiHH7FPuKOa3hSq/YJDHS
om0w6cvYNXLft+Tt/lcR/P9XHK82l38qjtd19vGtavs0k19/KpG//+RfO+13pW8A7Rbc+r9Vwb71
hwtq0sJRzGgWUhLdXs1sK/1f/9Nx/8DehQWXKlg48OApav8qj60/QCfxx8k0F1S0pv0flcc/F8es
B7FGU7wDTuJdmL9CZB32LglapQWfPfWhvXByW17y/MNF+b8ssv+2NF9fhG05Nl9+Tyb+vIkfdnpD
o4wWIyERmwVuCe33C8QJ5Uesi4bdP7/U31pJXsrhsmDdNH3zbybRhvykjiXRctQqg0hRZhQQFhgK
MskYs+FeO1ZC4rdZGEWFxGH85uX/PieAkOWsqiIh+NB+Xe9a5UISsWd1R3Ikn6zKfwmy/jejiHUE
8KMBiwGBhbDR8tkfs9f9dRQhpTGPZiy6oyumJ+3azxRjTTTilKes7r7+8+XEy/n3l2MTi3sakxn1
gbl2Vz98dgRoOB4Rzv3RYeNyhnwpSM0IjepcuHF1LpXzwXlP1wAdtSZt2IyeceSFwEqq9zSOvok5
361EYF4iG+gEkIPkDtWosIv0e6JH/57uYXUCdEWFpFEijTtZeWX/aeXTIVH98K12VgiUHEzreYbY
FRlzOFZb1Eb2TdqNPJZBRW6JTNDPM40Dg6FkSjaoGSSHehdW7CXK5IWxa4PAVdr3cdK4t+5Awq3n
0gsqR7LeSYbkZlSgqJMKRMoaDIIkzV33d8tyKoLkeswNtber6pvjlw9N5nymz7iHwsdg1wmqc2vq
T4li9hgSEr3jbK5YE+QL88ylOxTdmtdUCyai+fSV4rM7+Xl628LDpUCn2HcsMJ5TM3k3GjJ1FBpe
fLYS+9k3RHzOYShGPG1aNGgKv5MREhXVZ9tZ5PnNEnbJ0+A5ZTQGRWSGKgH3whhTT7E6LlkZ73IA
Idc0JdGYgiWIsfJfuQmExR2VwDBHyTQn4WkI8lHvM7BGT53P/CxFpRNZAV6kFoiUCVlN0M/UWkrv
g8Pq4yUtlLwlE5m/J8Dr99SIgsZJZuMR3QMybSmxnmHxT6/iqpOMW9GUWWTN7pG3cYtUHfrChrF1
PtUC3fJo7VVWms9OA+KVCBcdGWlmja8joEmRROYsLnCLkifWaATXZESNxF4FKoX9JbKvbGWWEGRz
IR1e3rcLz35m1Bc2gvZrtwTDkzPaxbEzUnEttO0dq5p7AV1bth+HWh9q8K4pFS9ddzYm+9y3NUz+
LLw30dMfSDqQ10tiNHdrxJKFPPuaMVTLjrstzb2cYIQ1npsQkeUBWxTazQ4ydMarLCZ1Cq6Id5ch
mI9jm0l/PPhiE4rkE7nzKTpK90Wr5OxUMaPpdrpv5+IDrSTPdpUbjGdrdTX0POSzlNmoGlHuAXwS
B2uFliLXLY9zNTgnt+1Bmr7TTc3EbW6rd+bpyPiaYKE4Me/tuJvf+hWPCjWqvqgkN1iUAk+1dZgS
N2+QgZZXjP2LuPO3ndnxask7fTU0DDtqViRrvMJZ9YppDYqhjuIV3ZrE8XSlqf6R87Fr80IQryyd
Y777aOrI82RtHo+gYFcorA0D/bxYqbisusR9nEMea5omp2yCeuz56RuGjJdQYDJJBqCzGaLyo6Xs
Tz6fqxGUyWPRmGhmfa60nS1nNifsfVeQ7eIYwzZe4bbIpdLIW/Jro+/ae6qscov/7wuYpD5AJ1/M
myBO1ClGQ7sThnmvoegOK043N9iNNojkDwvpSlESe90HrGY+GtN+MrbtiuXFZ2K/9Suqt1mhvewt
IYzaTyy8w6gWBdql2lf93Wi0NkpKMzhlKwLYFGkZ6RULnLLBwhQGc/kmfucG2ytCuBFBeeFAWk5o
aqYNQwYG7ojy0SsYbITiJoKFg0vDTC/UtIeUBwA2G/r2TZKwaSkrUd/0VXAqlfWhqFJzY8UC9X8g
z0R+0QgweNnGBUDkBDJyvCKSF1jJ/mg5b6PptH+iJAEB7bBHJQOO7x5HgnebrchlWAvliZg/eURU
WWybaZk+NvC06IElr2yG4IxhKvMF2hi1XocgRvkCStqkPl2cewyn3hbelIgEAgrQ4G5ps6MDEu3h
dOR74ukv1YqQLlaYdA9VupB+/uyS8nWcwwzmdCdLWKSOBoOLuWndv5SHcQFTXaIA6dBeANet+sA4
CiqbqOv8z4gDE0i8zOi33Qq+DvLAfyp7LQ7YEyvMS84c+WrGD1ysNPEVnz2uIO2G/cnRXeHaXibI
fzGS5FPg7gj6ATc7p1z+FcotOLm2FhK2PRepfLIBh0WuKVo850NhPTqwvb0V8j3MhfNJK3LoyAtY
XnpY4FAHoYLnLYDwUayo8BUaPuBoOOJ5Iq0KvOCWh+e3eoWMx/R+e28Fj5N4NZ1UDow8/B5MNYj3
mCprjax6f9T/V7P6uwk44IF/nIDffP1TvvXFzyPw7z/0r/o+pFqnSmd9+W8G6l8j8HU67jIY9wIk
qKv49P+U+DYTcNtaxarviJEf6ajmf1LSkwjyc83G5ojKhFgALAk27eivGroSeQPipFRd7GoJVYrV
DdE5TxHb6fKZ49/PnLmtToBq0q9MObAXFKvTwA3wHPSr+6CsAowINW//Wq7uBEviU9DvloVhdS9Y
70YGy5bGHuv5+JHTo0KFsFoe1Op+CGG031irI6J4N0dgk7d2EN/7yJ1d+2ZYXRS4j7u9qYIKm4ZZ
s8zHbRG+Gy9gcxZo26bpvBK/xo1ePRpmN0GrNFMDk3nQhA9lGlQP0hqeUXUspx5UJsIJPB9e5y4P
WEnkw4qf29urN2RBarMzJns4r8vliCOsYEko9M5JHZ9SpejKpxHF3ZvvVx15g03Mc2tB4oeKo7+D
g5O+dFUxzhFTg3ZrJ8rahykbdt/t0gdXe/lOmY7ioW3W+iJx+V+Crv+A1oP9L1NmnykhY+PI5MB6
qoeRKk3oPwutJatWVdDpGyq7dFmNp7Ju3f4TlFTmfB2f4YeyyKubYFIpR066nGW1Or9TBvvbUgX+
6n4mvSOPjezOCvv8aJTJ7VTk+d7PdbFdUjePejhFR5PS8qLTerzUhiDMSFSUBgMgxkfGH+O+wLsV
Dbhrblm79UeULvW135nThanHfKSxtd9yx27OeSiGR5qSkkd6YRS72mqHYqXNB6eKucM1zmlz3wnf
2EJtq+8JybQfh9kZXgEWld9mqzefLDVmW48tBye3a9zYmQ/IDoMM1woHVafrkLlKUH20Zab2Imjr
bc1AZjfVBcgO0zV2hi01xre+vxVDC71ADzoih49QzpwbB+GVEYafbTvH7tdJIg82xmID4GQ/XOwc
Roj3NRUK5tWwG2BAVcumMhu1DyDGbJBhvylLBVfv+DL4l+2NIyk+R4jrzNsXpId9ovdakMm8U0y4
L+2Cp75M2uDInKz8mtdJfme2oBeyIlluCzdvW4QusfE5wOhK9Zf09EHd5JV6Qws7XtWZ53N+pek5
Y3m0gaOZb1cD+MeMTIEXqXkKe2FhovPpUTz6iFHxGHbqXhrJ8tqVFAsoklp91bpZ8hQ6hXsbdA4+
tjY5KOVjcDT7AfMaxUfh2gNZfmopmIOK2l8B8vjkUyClW68f/AIzTW1glA08JnF5Hp9InpEnd2YC
twk6gQyK1ppVlifj6pljpGV4WS7HOunMHW485BhGa14jsqunA5m32Dzw4u0koovbKqmSW5k61tbr
PPtTmZUhiAtD6pc+Tn0UrME4P+JssZOIvECDEFmRHhkiV+dxwZCyqQwCGCNldK7a1y2jdgKfhYio
WovqxqA3e/ZF3RFE7JHpEDldF3OSZO2yXarmS0mqyTqIrvS1vfgVo7zCpZrJZ2U801wiOc2Zw8Ts
BRMNokigcoCU0Vl7JBwLqZFBq++t0hQvso9rKsPWkm23L70GK/U1k4hAI/Gyk2oEycj4ke5x7ag8
HMTaHHvzMe5na/Y+JH7VDg/Dak4+NiuVrD4vrdUbS0TnVel267BYnx5lrpPgs5OwFKqj1C/Nyf1Q
4fHv/F3QgkvbG+M45F9mdpmiOOAekJIHF4aM/9YBv6sDuGV+O+w7f5X91/nnSd/7j/016bP/QLTu
MYNyWDd/f97/qxLwXaZ9NDY+tn4Ts/8PlYBg4Y3EEwI4Yx0fAcb/GfbZwR8hfx2iiFUfIUyKhP/A
vMKE8OfKgPkNJgsywnBZALmkLP55mmN1klZ3dOUxVEZmQ0y1OQQRIRdXALYJ+jZlpx4TtyePx8zS
8aSyerhPW0NVhyIXcFglUSUVkj82IHA2CCQcJfTlVidRkpA7eh/iWjn4RQ3oNGRTsGDwI4xZpPYW
E338pK3a/Uj5/1birE74q54UdfrjUDTLPa6IJ/zV0MhrBoObxivjfiXe4k9mjnI9To5bEzgYsH71
SOUb2sH8GELZBYJsZNZDXU/FuZfsMxsSxCNIUj2KMPYMjuvrG3IZe7S1QjzEi2XsKujF33pLNuam
bWySJFW1yBPwY1auDhrvN1vBnV6mPiT3u8837xfqHWxHgsKffP4ZQJeen56E4pAs5BIcmNuFDbEv
42kpcify7ZEf7N0Jm7zFqZVvvCqswheVL10S1aivP/rEd117rQoj1wqXY4VD9ohXl528QdrqIoJp
2tS5Me97BMNQpbHMcmCH0t0gsGLvNfUMOmUeMAsj6Nt4HUfbfQTNUFUbb7TFBV0oyRSTK8rnuSh9
8uqTUXyU1TpMK7TJ31ZWqb4NEGV+W9IpjLTdxeci1ekXg6bppuV0O7y/v359V9zZct7k/PdkIZxE
28UCNSIxqp72phzrwziSNNYE7cIciYuM6XjYAXwf040/ZBbtK3bvdDMOxH9cwMekKTBnUSxHnj/S
3qcu7OyDvayhL3m8GJvaaIrz4uC1kg4pO0OuaJmyxPrYGmbg7UU7B+aBW4W58lBxLwRtcc7Hvt/y
6lnEzNLN8Gm77iOL3vIZe1P5mLZy/ogus78Etf2/2TuPLb2NNIm+yrwAdGASbgvgt+U9ixucokqE
dwkk3NPPRVHqIakedWuvTauPxGL9Bkhkxhdxw3/MocTtU8uUTsSSbFFeo5KLuANEkC8blwW78wXS
dRZ6Tl6QhRxQ8caGN5mv7ETs1ezrA7hOETDlYxru+IMTMOki1VhPy8ETvX8oS9P6OjkWCKBYVlWD
KRXfNR5Zwr17HHJDel2UDX+Xr8p27zT00JqM6D8sdKNsXHp/yWTfx5W/XGXrVIQWR8loHfT4qsJ+
Tu10MnkH/N3GXpap9UwTZHGoPMA/RDdT4LzzkFXeoTD0/mFoxCd7KNUlNXcvtTcvNA6P3TZSVqsG
Ohm4cpXE6wA8zXH2mbfGjDmxviid8ThzJnInmfIk8aGyue2dle5qzXL207JUt3YmjDNmYhwvZpfs
KqJex5UOmZ1J98o5pa2lZJ6Pr34qbesJYwVicbV4NIBLhxsVIkUgMHuFmLAzLiqyt/utCXBnNoPA
dk+PdaimXjt0rdVfEX4hMO5ZxQVbFvuWAbNJkHYcNiBRT7aBJDSN2x5W0MsSDJGKpll3P43gIa5i
w0h+XWSeMyECpb/w1a+tX0Q14LEJzmND2TemY9qidH7mjdopUhVajin2mDRV99D5dEQBCzHSnUpH
i6RCUa9PlA7pbFu69HpELIT32TbQ4e3lgGecPhtrYWQbyKTVtV1NRUAbjOUgIoIP1D+r2ja4le3J
gBA66eRInOViitvmLoXx/eLz/i2IReucn9qqcfvIWRN5VnFOodPibKyjCUUuqDYAU6Bj8A5BGTcA
wupWhrI000eapHWOPSVjd4JH+cUIvWWhQGCrk89NJ0Oaa/tQ+uN8SPWkDqelomRX73ZYlU0gJ517
3SxKeyyKksVfmdT4+NOcW/yKciB17K3yFpQYgWBm/uhELOYkiVmVekfFrx8rS1cM8Vd/rrD1N9yh
FDwYoFC2u6ilgudhJrn/LKeKAIsGJAWeQjOyaiw8YWTj1Ic5YXlmb2gKbofJvCcNzi/CSDBHtUnS
mwaLYr2adOj+THk1v77mab9c97JolqihQnIH5WS9kp5hX/yzXfqvjIMQpdEd/jrqe/XbnP3a/LRd
2n7sX97BTQQRgPz8jWbJePT/vIM6DkEb4yAH2m+dM/9STix3U04IvHsMtX7aL7GV4lyC2AI9XDe3
GOnf2C/ZP43zdEqxt2GiTVcKWiAjxR+3Sx3GMlh3dX6JRz5b3gTGJuCXwh3ETk996vYCa0L/X+iv
bPpKOzVm2tpyKzGvj3AD9QPx+OVdWhAbQk1v7XDm2LFezHS7/4a4SRoFcUGu3bFGjcdrhal/WsSD
xmHUU4CKlWniFSrdmrMhDV4cGXd0K+Spf6Nn2uDejY2iQZFbaJDt8mDVMh5CZxoH/RVwWJktmzK+
0dfSRq+rcwZiJKR5HmV+xDpEk0Cy2sWcXpL671rvITXJEUx5CJGKNcuoxMAUL6/bqn8kUukYOw8R
oNRfss4dVnWo29EzaaLXq1q/oKeZ0jTWjF9TrZd7t2uXW9ssa9Aqy5Tzo86irZ/bWnezq39uwP/u
BgQO9pc34GYl+J/wTTZl9pOBly+LH/3jzGL/ImwOGWSTNzcC5LJ/3YQeVlwM7zhcDOa/ntjAYr87
FECUsfsjO23TqmryY/zU7w4Fy/qFP0r1k2n5yN+bI/hv3IRM7X8+tBg4oxAzbcf0wNC6GIy/H0G7
m8cMUkV+hHm3pXr8IgVn2Cfk6cxRIsUMY6s3gae7Ka0Z5pKIE7sIitGdlVU/NCdnc6atPHx2De23
HSpZY0wyaIl664FO3O+9yohYIZmKU4sT8ZpRhTgNQqG1LSbjvZKHFGchg/HNlJe48YuSMwPiKokm
CGGv9ZYabfUVq/yY0/keMNP0Lo2UGcu3hLFPaDJsagiWgWpMrz2YpZvKHZGw7Uc+QJMF8tWt2RHU
Y+vOL57YLJAH6b35PpnpAK8yY76XoDpPcbExRa12dsE/mnXRnBu6V7yz47v9e+/pFC/VWzCY+ggt
NOqP5hSBYXWh9FiFhdoSDK2/RV5NM4GPSwfI47YOvrkmMMqm0dTRGlPraZ3IZtUWEdXe0nGxOlVv
XCfmVojVUov6/K2dBsDHZmMlfIehEf/oey4zPoFvjSu4t14ZPupbPkzyxz5SDBUZ0bcl2cJGKuEF
YGTg1U4lv43KSDxfccpQXVkOkpzjz7xrsXF9vcICuZrrvHf/I+mlJt26dkRWUTvjkvQpyEZ5gDMD
OWXzVR5n48lqfCghW+COmMv2eTofLQsVlTNOxHXNv/n2hZZ6QtQLqhG5KLV9wx9ZL77Svv/kAPee
SV3FBIZnIKJVpPdlkd2RTectNEvO39KSIcoCry8JScLOJKwNzIvs1DeEJ4u6ZmPppHeKcsgKlE27
jepe2PrCoSyrld36OK1f03jr2dHHGshDOd0Pa29Tvpw6Iixj4tScN/I7dxQcOOhK1MLWqMzHmmjR
60eKs7ErLvRiFireE97hb1pjk/8lwsFrS7eLCEGWbi6GTXgyhpGrwZQ936xvDRR3fYQ7IUFDU6Xf
hGgN6C4uPs0ktRaPPNoCQKbDuyu22ix9a9NKp46bEJ4OX3ADOgIsi59sj7G8JRlX5/6GyPDZNO5G
LlE8gtyWlw0sGnF00fBOWo5REiujxevOVkXKrILAR045geJKjJYrhrZNcK/knxKOkhpxw3G7Tsig
k3Hf4nieNZD2tylP8oyevwwPH03WnKd3UKOIv46jv2u3eKtswT19XMIf6bel6Bn7bTf7ZjF8jR0C
sZOl+EimDQz9gdYGEwNEOUVk32+FHs9sPfjgNmSnFbalt0XbNyTAt6zOxy3BGY7IZLYl5T7SS53O
wsGzsXtdXQKEnd1C9XSUYzwKcG3PWg4UIGiJt3Lk7SihLqk4KwOnARS9Yr44lKk9jdgbKt6ODkD2
Ww3YNhngftB1LjDN4ibvi5HP5yNY/xHaXMDnmgG+HouqmMa/nJrSp0HX4SscPnoxmtaAQlhqHrwA
5fapdZt/IIo1ibOdLfbqRzp07SPYVh1q9hYi7WY6abHoymBuCj4Ga2bSsV/7RaU7n5sC45hEDwhW
ixWrMnEq3y/9TJoip40gWzqO9riV7wuf5dmrC9qjKqPk7xHYOE7Qoah2GShp0vE2PQ52q/gESVTe
t1zoIAzTonst9Lg7+rgjDgDqqBTbCpscdkwxeDniyQ89PG5BEo4l0lp5w3NRcEVpPjypqDRBGcT6
urbnpHGJMFp1RTcZent2yHWKrJUwCTyOE99SmW0M94zGiJ0B4t/C6yC4wKFM87XKfmsbhugEPaE2
SGcpgLe5vUxYz2UFz4FxAteL0QP1+Oh1mZDEnKDCQH6dbe1dFXAVidui3eBP/pbycg2ae0lCbGk2
k6nve1Lgu85Sm6vb51eQmSDUm9lGfiFwAR8xqjM6+7jmhYlpNdQH3nNodtv1r1zHuFbZCJEb7Yz3
qW/L3jgZ3UC+g+3eXs961jfZD16EYLBdj/4CarftPP9Zs1a+yG9LGpV9RPFIa3Ip0fEr1Sn3ehhU
HSYnyTRPM26Fw91VlgWmAjXx8Vokxj7uuGr0xPNUgy4O586W6f5jZaWAhpztlHrds5FZdf08JXQ7
vdgfnXSl2FYpY5yyg0gH+83fKmty1VV3RqpMMsD1O0xE/yTbdnsYdPr2cI4TVmCfSOv1tNosZIj9
3MEeGpQRzGlaG+mNuaTLkeXHotTVSBRbiCBp8C3R3bf6FxWh+xTockyeHM6WX96tOXMcPUMuC2mn
S555lAIRHxArzqLWuWuKjWTB7r6SUcoSA7VgMpmz4W123pu6em4SQ579eFb6FCz4ctmHWPKR0Nqp
8bcHUe/U5SOjqvaCZ4x3yyxGj7l3R2svO/SEzjCGa1unI68nvRCOOLefMreDrQDB/HM3mDvNbLrL
HhBtKAc31N2ceyBQlVFp03EYllOfqvbCzX1MGluxYRMCDH2BBrlv8QntNdTL21aMQV6597HJKPll
Ibet8ZwA0BmfyJ5UrKqkdGDYII7AijCjFhZQZDrmWocu0JUkcDqRh5BKq6MB5ivFH916oSYKa1/U
5ugHwNX3upqns52nRREywFnGABk0XfaLs5Tu0eeylGHSK0Zappv6F4Ml1htvHtxzn/s85rKZUeys
tSgbk/EkjLG50vBp32Rr4Z1dM+bqNciqOqlHAsbLW7SMdgaMUrjqQs4joyjCqlbQa/b8Voomf1rc
6glAdFdelnR/3XVFWu+0oZ+8UKzS34NwGb/28D6+pB5CUj/5JlAKXNyd7WaRh1K0X7ScUerYjcQG
BpqbGQ2RqRKMbRUI8ytPpvlyxeflvOeDV+9Xxch6KTOd3svpyffzdl9k4HLdePpMkTflibn7Jenm
5T61F8gPJUMnq3DR0wdb3vU6H6vDRHxnz9X8K7GsRw2sJiGGvr/ysnS9q9bFDhtXVXuK3sQh9kfM
en4mdknXP3a+wtooHXZG1IN3zRWAb5YoqPmhPaXtLmHfcFaVNM7giLSj7Tf9qfCVuGysVWe0Ntfo
gR3KjIMcO3edt9N8Tow5KxZm2qq4xUuA0dA7a2th3PAQAMwnxnoP4905leAz75LGCq3aqo8mJ8ID
Qy72rEs7RjOlzUe74Aujo0l77RkrRhhjfPI19p3KKjOie02/LxC2L5ulHJ4IeWmXS9USN9A8l5+b
2Lt+GcYS71psmjjB5ro75DRTfMrZvicgCuAQc33DrqBf2Du6k6Vd606nhzx53ajwxF659paSLipi
LK77phUVCfBNozTccuvWlP1ec7lsgI5OpErWQR30uEhDG7pPyOKfRCue0kOcpMNprO33FlL5zhyM
DWihl9tqZZwWckhvsdQhIsdNP3+ig5AOLk2yE8z0OloKvdgN2Gsf444VhZVfVjuMjUiKmekeiVlb
hyrFcdib+KzsqTSmS9wa+AdbS9Fmx0LCtL6LBlu/p4y0NHaJXUogrm6HVnifxQbTWiOvtmTc2o/J
O4t/sk9zCChgkFrSYWPdhkkac8pv8EocBifVWJhk5hy9Qk3PGl4kj8ceTS/ovkYaSSaYMk+7HaJF
c0W9ehZlpMCeW8crT6sDo8UHvLMHW7sijm5kkNwltsD09GlKZo9LHOy/0M4Zrluwn4WiIO9X2G3J
JbCda/Tb/kUDznpBdufKKWroBuwGHiplIu5PvSMDio1iTBwdaICX3mmVTjU1ovtZ64zVVEdWLR/H
h6W6iaEubfdBwsEtvokHf2I3i+k4wJzZeK9xV7Kox3k+tQvL96LDbrGJ3eBPy/NmtUOzFJoeJD2k
WiZbhCmtV/JUPHWpZlyc0Ms8K9kjUtvVRQfooNtjTVyNSLcrsEUjwVC5sxV70PSjcKqeejYiDsx5
BdGhLZezvkHNFnMyHiEx0A7aTWzLcU/+Hmv+oSn5+2bkn3PdvsF0i1IaDtCmyzF6++/fubcx/JKW
H7L8GDc+dP6qYdj1sopV9Z/EskInEpXPbqQB3cN8Yyp4+H4nOfwb6/8GMf/Brs4rQIwT/GOjnFvm
JrF99wqm1DGa1RySoz1D9gLi00NLUL4Rm9cGOlfCZjNuD5mVpcnF0MZrjZrVx9dJPRiPnq6MawzB
7Cr/+lX9m4+FSSwMP7bt+Nrd7UV/96JqS8Xo/CI51hpbv27m6b+bM8pD2ZFRN8iwip2PqlY2R9qY
tK9//ds3Z9fPnwm/nlZsihgYBf8sK9aLW6h6XPlMFnrCAEB1Cx7CHuB6zheSLjagT2vyrMfCjbWT
sW2/v7VRj2BDzBvhLKjdgU6DQHocthN02yFSfv0AcU31Vsb6H17wn79EQG0GAASm0DCifv68Rj/J
NAsL7rGORyakcJZUv+HhsDtLqGB0grQVGcm5794qUSz33YBW8dGmnDWzvK/q7j8QA4xN8/k+BYHG
yx5IWOAKSMjwGP7xG9RsYLaKfQPjT6a/wQc/bECSeu6ReHpGP9vxdzLp3xIwk07tyPmingCcHQzJ
Izns+3Y7g/HJ/vVHZf27F7al1x3HY4aFbPzjC3NBbslKdumxdQjVsdXk7KXoVp6kO7Mrsvr6geCy
J05Ls5FYZoTj4jwKc7xXYvR7QL/AyUiccVomccH52Rg4xn4UNiZiZfueJVhWypjiYnw+aD0wwriz
tSpGLSlcOaurBWHw/duhFAfyfK/WTQWoF3LBabxBzBhBz7fbPu4t28qj6rVneEO7WcsJ6K8/DvNP
hgOqRHAaOFR2ICH+qYEyNbQuo8tcO1ipzRpoNivwME9tR5165tWz8FN2bnqj9lCbG2FqrlJe1pKp
9WH2HT6txILsHdqrtnWfCv4vHxb/O5P2TnYf8pBlbnyISeaoNBBkaftpwEZXIX4pSsOTkba4b43C
tKMg3pD5x37scSB4/3iz/zhn/qNzhlzxd9fFnxgS1x9KdPRWNMOPLlrr4wf/cNGiKCM+b/eMxUPL
NHDlfu+iFSAmdHoNf0rKfYAkgGkKuCybu4W1/o+knP0LdYgIxvwYzx5W2r+jQwuX3//dmrOluoRF
56EJA8bmcv65gBDfd9s7s2tergDZkvWQ9ckyEBUy9aBa+isNXuOurSBNBaNn512ASL6+op45BGky
49iPrXYZ89p3S6dV+wQCFbGJtb9qkvoI1VydvW5yI1H6zkWjau2BBiWyVnVCViPzNvBB5TyMnDnA
IVEJgJBMRMRouyaoNlSUA5SAI9xq7E0k2Trwx9gCvY2zjddN9tVOjkWWXjlw187M5JmTdvHdtHY3
c99E2xq7USyMY9djfPAw1VIw5ZwNQXhAFX6UJt27QqiNVN72YTXKPJRWvVzFMqE6Y9AjTlyMfpgl
d2Wv7dhaGXtUqPWAzZC1JzEPWm3XL/4y5ru+3RwMpdiVs7yRxSJ2rNbDmzQHtFC3QoqwgeBbFQQu
oyI5ziclOBN4/nHpVXbvQiuLKsNYEVFNbDHNsqXN2/EInOBGLr5OVKpYgSFlDNThUgdCby0Sv7aF
vkvWfsKqF4wAzc+cxq5Sg70f+9J7X6+m3UAJiV+pI5AJojulCfWCdBZ+jESPzFhnHc6x/KfLsz2M
TNDhD+wIfg/RQKg8KheVhNLWHJIK6kvVk0ubZ4JhtZFdtIzSQwvgRLO6ey3D6mFT8RFRcqIFGQ/f
oLOdox/754EcT+gVJlmvNdaeFwuBgSOlTQqcTLyl5nlvisQnIFQtJ5NdzCOtCBigDW+MAJCDqJ8N
m9YNjXPDrIuoxrIe2B7wLOVAn0BL2vlG/rmdW3HRaWTk65gyJtvqIgW8P7A41KSWolu749hSYsYs
8u6x6Z1nb14vc3NygwRqwF6rOdaClk0Pblu9rRQs5t0gDnkTS5Tvqd6RDtHOnen/JlBto2H07Yhr
YstiBM7EJeHJ5I5SC1I1CV4EDj9lWCQDcoexhqIv9cAY7BMgVePzIlaDaEh/MWvFl3UR824GzbfL
M+audo1ouq41OaeSawELdRe5SUvP1QoJQaTLHKJedlFhyE9aP5AZdOc4Iu09hj3VaQeyN2LXWL7Y
O1i/9rGVP0nyr1fwVqu95X1J/F6nZtHtQrt1tEd6t6D+Y2ISkVtm2X01Fl5ILbaO7JAuB3ph5CMe
cC8yXL+4XwlURn2/XmFvKvegOibojKmzXzn4RDY2wV09008ymJpOE4lcdzrm3B1PuzRUdmFG6WCR
SXJz52RwjA0JMY1HJjanwR7NC44mKtIQ5Z8UuZG98mIrMpE3Qifxp8ieqi7Q7YaNjp3rT/TX6MGg
GQ53brfuh7R1Q1+BY4E0UD8UmrXcxpymzgZyiB2wt0mZX2hFunNab8JBVDmhKusCH0tf7Hmp6tIl
e8kf1C5rCIeHpqBGXBRfMjIveNI5DY4dvl7FYz1yVz7PlknG0U3LHMCO/nWOUxpiJ/o5t2BAkDvD
g+5lJ/bEztmjRSAQ0r53wOPumPA0u5QOnGClUjcSAgK/2fm/grO4zxhpMR24LRWFWDpdo4cl036r
xLrsSwmEY3Avs4k/37v1ATTcpk/U9d5NNBmSDWyjZeONpZQqBobI3roG5kPioSKTdju6W6VsWTAq
nzw1hIbuLTsTW1kk645LKnHk1WK6e1WZb3630eoyPCgjjvaH2EyTsHL9nVo0IlJGDveh+23skejc
lboGW+ZkwkrYLfBUin1emuOuWBh0LEPRRgSMvCMkyJumND87Tn+ZJyI/9fb87E0U3rtAacJysRyq
jLL60ffHlzKWU9S27m8UeQBBiEmKTkn5aBrqwhWDvG4985w1hFHtpimZ61BVrcvbMgXZGVupF8Zd
91VKpRNDFRyCV9UchMCiH+P83nXTUF4yiZIHMUuPdC9wjjKvg95KP/uL5z8uYjk2ZW1crA55ptFc
uv3glWg8Hr+xXtdHxOLstodbkBs8hGYtnrErEQmjF7DcS2XbgV7ZD9s0LHKGLrtYuv5EYyAGqdHS
wM0o2kFSHi9p1TmvZTF/mmKlju7ivjfKZLyWlOlemcN0mOtZ2zM2QlypRv9mKCEdJy4pCiG2Fz5d
tR28vgFScFhRCpWvzQ6K+X7uMsyfpGdPRqq9KL/Ngw6qjwXbhbVQqZM3rlS8ZZkkLBA7R9bf7Jyi
gB8SjVWORh9itTQGwVE0QTutlr1PkJv28ECoAxGtcUjc/GUaM5t8qve4DP1FX3TMnrXkq6W17rms
y3iTmtZAtI6xp0bT2xmi0s9eyzitETzJV1bVPXUsTTR5C2GGL5A96+GJivqY7CuCG12Px5mZnmih
V5COmZ5h6VXuhpmgzZJGUK6+yrsBA+pPDPFSJh3cZCS17d46dmaTjbjFWhyZT5bi/EhSaFlkj4Pd
7htW74KkbDtlhFPM2L63BN4++dqMc73WZ2mNveuHebMB9DCrlpmWlgHOs1XKf4we/x2FAvEG49H/
77S6SbMfPVbffuD3bbWn/2Kjv+jsjl17M2Pg/Ph9W429wzNAFUCTsKiO/rBf/QGgMH7BcGGiURiu
wz82qtsf9g7vly1ZxonOgn/pGqDb/oa9w/jZ3eH6lMBDNCCaiUP6T3i2eNKSMa1t+wS9rI0jM1+L
+5TI65lg2xgC78ECif97zw5q3Rt0vJ49TIevPJjnJ7vGdyGcvH+B0dS/JFAZd999krffFIW/EtB4
dabO2+cFmjTP/qwz+NhdaeL0xSkfRfNmp4JQmJ7Wl7U9Izt0Wbkc/FZnN9E2eNb/+ncjj/1w4gAk
sTHrODdzKoKb8WG/+V6nAtyG80RlHRVR8aeqixnvTSrzrwofV2TktLZ7CbuhdviYHPdiFn72ZGC/
+Dyv9fruqp5JRbsu1jkpk35XOKo8DKVUxQ6iq3Pnsotawhkl/BRP1XBptFa7Z68sglWqrfihYp0G
T13dpOYCSNw1WCZ0D/EV1zuMcqVW0jQegNkusAaHPXXumK9klMlHM9EOUBVoOICfvMOhpO7xutYM
KkTNzHqwvGIPb8hP6aNKmZ1lQn/RSDbvYGA9qnmVJUOZjmew67T1tRToc1q6CbqyscbjgtoRFuS6
ghxhHpebO40dIBw2H21apxR+zcunOt9A1xp0jEt7ytn0yWV48aaYWECm47MNCGbPI3QiD7nbKpb9
lJYOVYZYxzVhTj1QILO736Yod3qfZUaUk3R6LRvdQS51dRl5TCN3kyKoth+tmYKtjFuJpgovwdTc
dQ7dAAwyHw3VpLt6cCd18j2/TDCs1sP9nCm2eYY1AQTLHEPfMxWOvaCOB1wuge0wXqXperUuIC4w
R0ySzJwC6sZUwKRb8LXmmjiyDzS1oBQo45Ntf3LzxaPsyKlvi1rOdFV1JpK5jS4kJPVIQaLPxh6Y
g9zLAdc05YnaYTU9WOapOe5pTCW3OY4Rd6p/ooOlul9h6hO0aFR+XnMvjzx7cN/AzrfHtdLXnV+2
w3HJaM7bDyi8QKFzkk4hj/yZjTyn1wNZBAOolTeffc+In+lARKSfUh5C9Kqmv4lJH2+MBmJCkNVu
9RtCEhB4eM0Wx6GsrjZQQpcFWCZtK3Bc6eQR994DdHSw7wpUg026Lq6c6cGQWOHboHPrZgxjHEdJ
mM8xMA+PgOJ7naN7kXeU+cHUm+kdt0FlQDqnii8NqOFlWAh3UGZvEChK+m1rJKabvpfxeVWrRYui
lY+ftmIGpCpgVm8rxFwVxr6aJXdFpw2/1rHKy0j6Qwd+AJt9thuUrLVdA23jiqKBesEn6Q7GTo0o
zg+L1SzLEe895kwtrreRey2rJJKK6oHP+GvwewJqIGKBJ6dmTDoV+pHYSMqjYKgvZTplbdSxN37r
G9TNTdLkUp/15oStpbgHpLgthoy/g2LN6pt8Ve61qegFJ8Xo89vk9t6WlOQNrY7GxIizjzfpUfQv
Q+bkJAizkVfPwWc9dg2pFBp6WyZ1NlhrAr4YhuyRSV46cSPveua8WqD0WX3Rc3aSV5Tz2vq1H2On
oQ6hbd7wTHD8Y2yPb3xbylEB+JwEI83dkH+EUbRhpJfDXJ/L3tKyJiwmawWQN8eUDNPLKISxvNlK
MUs7e2Om84+C4gNEDJCP7JCDxlin8VOdzGXWEwey6zdKQisuHUlvfCNX57rrDV4xI6BG20+g6PIt
gNhSSWyWN1isKDZwmsykzcLIZ6aQCTJ703BjZWzTb6RdgrnDvtfYkYfBgbp5d6BBbhzS6rKiHQSg
KK+Aa5cY7AlbiDdei474Jjq+Hauo7qX7mXHbRHwmk5R1lskKDKbBFasHjE49iRrjTq8NnLrr1FnA
DJA4aYLY08UpYf65K6a++dIbwxNhJec0Mky2t9DHdKec0iojrRDxePBwVgDI8LKKWXuD8iPsPN4b
xDeuUmuMGZ9qxL9T9vOPJi4Gh62gsn+lPctBE7aMdN9MMDbNhlBiadjzpaBe44IceXqp3FX2AXvL
8jR3XmuDfJHGhQUd9OQzgSVN2sfkA3jO0KNu+Usk/A6ys9FVrgkxrYe+ge+RUr1lcOvlUE8WdZiU
KeUyYh1PQjuxBV11LPh9ZfUvH8/Rf3TZ/6TLCvuv27huKKdt6h/s+d9+5A97PvxeRHufgQ8cMpRP
tNU/FFlToNZagJuBHnAVbgiFP7aOzi84QXx+zv1X0vEPRZZdJbclnn12M0wFdP/vbB3Zbv64P0Jm
tUBysznTTZ7T7HD579/N8YpercWk/Ow2L1hY/BAVE6lAJoVz48etEHfC6egdhz1UI+7EPtvjgLOY
Exbx2EzzNXIYWRwX/GdA80IxWPeph/lzfrFRLgo9dLB0Ye2siyP3qz7dDmWnv1d6S9AkcHvQv6E0
Ug/kijIa3BoNJytvPDS+IACVdvm5ymvjq0XDAuApxntftI2dPZMNPruF6IKmSRh4DOCkgEvGh2Sl
g9byS52yxIznGCcxpQIe4lURrGVL7G+1hPbk6toXb3agp2/wKmJsLojTMTtlJAPwvIns5I62+jxt
yyvbOQRQWTvpvaQIE2pjMy+3IK1iH5ztVMmd1fKO2cWtAys5ifKIRo/0oiN+RbViEpK2cb5kRAqe
erSd/No2sQHicHZvMqkDu1qg62ZAYHCiDLRz0NLizz4dlzo+Q/gIA40mfBPLp3hpavgI/qgA6sfJ
A1J77AdocBD8F17+KXPi9GKdZmwSbLbsgyNm/ZTU1rjzSUaQxsLJYOxdPApsCqE0vyySp2+SdJQg
eO5YnbW+xgSu2YAyOeGv3o1H87TiEL/1s+ZrxuLjzinouZzlSAI9cpdXNo8ddCbJlRWabArmiKb2
OaLi0OKxxggOVHT61ZWIhGmSFcc+E2o/JZYT2VuqjJ2de9et7E5pvCmSyFyG5q5wENhhkQLIqTrj
TrP9aVePFW0SwkUSktJ23idA1BG6u7pm1rAixS9NlXKUX9gm7btaay9hsOIl0mulu+0ZWM3ktcRK
8JmjDmDpQMTg0NTeiqJLm9NaZ4YIdAtTWR2kHgIddrCeVoy4QHsO2Ad4HpRUiCEiqjj6W3eqT/iu
VmN0H6imyPDwarPfPpdydMGeNVBvl9SHBSj1zYqNjL3FzsykBwGBwutfArpK36uOtlqGcm7hBqW3
0Mw4giHosUvOzXWvednlWA/phRPX05tZpQ5Nyf3E9IMujOU0Jws1C4httUS7dfT0uKCFNfjCRGkE
g7EMEJyBbg1HXVbuvk6y7BYiFOpw2o1k9BowBNzZsYclymqXbIhkvjGo2phZ7+UKlaSLTE0Ar0r5
NqN23JDQeq3JNcgJ7iS3To0RMpR4hdyrea2m67K39YPEPsaww0qAfRhCI+npUtFWam52rSGgjfsx
jssUs4juYKcovemTCS/kMCBRgvHS+/t1HvL1jmPDr9rq19xT0L7nkHnQYl8PjdWzV+7Satgnamk+
zbSLi8DDPfW4rp6J9Ba3sj7wLzE6ky8ahiMr0fIAxG5uTqaNRBayRTWdQ6mn5gRDDhO11bTyK/zR
J1vRx2Fldr8+jIU5tsepSA0yjvEyR16r8bzue/1qhZx8J5iF10Es/Lza5Qmrma3oaiiWLj+ss+Wd
c422XaCi2jxfzsbEOY7B9Rrxm4AOeHG/K40kpqOI76rZJ+2aR+YqrDsNOAOMPJWWkePn5gXRPX9n
eTnGCi3brM8inY1HoBkZ5vvS5HsuRJJ/kZ2bvxGF1Z4sWY6vnOxHyaFRCO41MY/EL1cLt7CjDSfG
TZjh8T/1O7jOibzgDwhsTtpmCkXPaBe8iR7GjbPA+Uc8aSEB3KLPLyWnJmYgoI7R62kFd2QCyZpt
7FHrJCpzDA4FdhQmevzvTd0qCMRQTB6NJbGeMee/4MwACf7Nge3Xunl0vMm9c2yOhsmAt24wU6h+
PmdDnOrYNKGq0UYPMGu+r+NeXJeVSXteJWlXvJpk01xhk3Lyg9c11qfuf9k7jyXHkWzbfhHKHA49
JQCq0DojJrBUAa2VA1//FpiV91b3s75WNe+eVJulRSaDBN2P2HvtQX2JlUI4OdgpsgA9jQo23ZMY
SJYBrDzelE1JlPii94/kcGSdD8pXxQ+6Il6GCbpZLOtyLA1ncJCimkDfojMix9m9Nd1c3/+3nvpb
jisMSExo/vMg7v5nVW0s9q9V+q977l8/+NtvZQJwxcnk2C4WRiIJ/jKQ22Z1SLphPlxmbtu46XdV
JamqyKhkjoe3cYNL/O9AzvsDcQ4OLt3VCQjcRmj/YCAnLwTRv2prXGejVzi6kCbDQfvfIyMLKvC1
bATbNafKl4DahkfcKja0fQTQeVP764YP4Lkr9/Ngt94OCWl3IiaNOcbaYoj0k0JoHnvYobCChA2k
tsPbPdIgf2+mIbqbbSzO5aKLwExRU+9WcsJ0Ltu+R7e3mMFqFyxANaNnCsLWBA2wTCKkuIgP14NG
dvErPgVu2c1wzZxShI62ri+R1NBPmzirwu7i0ubuakk037zb4uLj1tVm6b64u/OL07u+uL4pknKy
aNgMjkl1TJ01/QkpIv4+rxjGFT/zxVrqbAxAC5nXycVbrl985gimoOOMm/283ozoKNyKq2kzp6d1
MtxMM4Z1fbOuRyLCxV5vhnYqPdY+TpxNvrUZ3tVmfdc2E3xRliQ0kXqG/3kzybsdbzMMQlSpeK7F
ubKhFlabsV5uFnvp8c6bm+1+Xr3yftis+MNmyhebPT/bjPrJxbMP7qg6Y/3jrt4s/fmcOHvJ2HPw
WVzcVI4ei3Bx7DnZdcBKM79CEs6Ab7ge4QX0Vjw86dD53AOjUHgCEhMOATwbZqDqRuNVFbncAxF0
D1gaMngEaxTdINoDT2qI3C9rfNeWNfWP0HncLLQvEUFbWBA3YxWapf7oTPflFifUz0TJU/jcmyNQ
vq02MDaN4Piub1FEmCvU3dRnlu+RVaT17uBbl/iihCAjY4s0QuEYkTCWVQ8ApcwbCH9vxCzaAdrM
PMApv+yrLSBpGYlKsjWrPM5gnUStD34OMusxGolWGreQpQi70YlmH+YJ843SZLGWjKIOoktEk7el
NWVeZO2BCuWfSLu+65Gn7bmvCHlKBvKeeMjpZAEIgVMjDQozCix0yMDA6KXJ+tl6qHnafLbEV1A7
k125JUuR+PhlxYi4W7fEqYTZ+87aUqjmnkIpHkG66iPZdgVOsy+0WPGp2RKsrKJpbhYEaWcHdwbw
KJKuOq4Fv7ikX00tz80lEktt6VgNQ5/dSEJgkF3Cs5gu08vT6z8uW7bWFKcmOVu2WS6kbrlRodI9
A9R5G0nqq0k6VzZfsrrmX8ldi0ao5pOUuTU/WVyrQJUtdPX6q07uQxYKK0uv7E44D7guouRNmSu5
V6OeFca+8moG6AVeKf79Kb0FxiwZ9DeY/wsSMSe/Yz0JF1evNesLwNAqO82bvXpX1CspqArTjlkd
OuTU09OUpuYMROYyEIwv08HcEFP2nudDt1bBOuWVA+vK6qW/NLa3BlPPiDjgMYvj91JPY7RliU4Z
nGt1SYIVmhIRqmXVaer0VG0L3nlxYK6x23ZDQr+GPD4ug2u+j3U1D9+d3NNzm5hFKB7TrhiH+syc
zsDaUEV0lfzHJks+I7RMo0AXhGM+V/loU2O2NL2+HDrJ5kODSPffm/rv3NRoavX/c2X2VI//wRv9
54/+vqvdPyz+KodcLKFzi7O8+r07M/5g9mDh3zMd9jPbn/x5UxvWHwjRkIhhWrZNyXLtf29qSR6S
Cw+SXCNu7I309A9uahhQ/zr/MFnRCUswSYFvCo9B/Nv8YwQCVHVZWh/V5DDG9cBgz35Vpd4hwdG/
tyvyQBhbZu6DlxqoqGVapbd8d+tggp/oBojOMK9FqfFm98lyD3ymepp6O/qAsa7uG0TIDeaJ1To2
3aYqhg5uXaUaCXUQnuhqZkWzGwyagu6aGI5nXDNLgGfDdzZnLWEZ8Nvaog1bL2UuSDTEzOKfElzx
jcyqz74ccW853mLuc6037xJGr/d5Epm+VqtJC0WrGWe6FxYBfARVFmhGIhP2hD3ygHohwALic+MP
kiZoLA2De9A1Tp7CXBGqop3eBQWxF5BHOPzkX9HZHpkVO61oJCGFzUAL/8Sxi+WX8ZV1gd35OdP7
HJTdbB1TgSIwxA1TfqZ84EdiNEl0riyclvqaRj9W22ohZ+LHeWtWbBl+xCt7MwE4vlWzyB/h9iFQ
IW36bh6j6rlhHXY3AKharuDoxVZg4mtgXpJwbnP1F3pEx9ly/K1J4z6onNfV2g1vZKZHUbl192gn
zEw5D2u6Nh967Lr3UYG8eMe6TOhBhHyRYUsx13vHLSFnrc5JNWVzl+utd28RYZBcZwBMjz3v335i
GXDN6dse1iTZfCUewLtkS+sk46J+wtTlPmi4224RNpEWvbgW4Hy0VmXU4aNk13nCu2OcNYKXTqwQ
67u8a9Hwrtwcoe1kOu0XtyY2i9EMUgZ4/XHVyoHfmVQho0rbb/Natu8dQ+E3Kk3adG9FAbfNgfsf
ula6IWwDYEocu96DYtiAIsH0nmSXxg8KK38ceqqjwrTAQ1OU9uh5abdwDrEk/OriECNuVfeum8Zw
4v24CHpzlVXpMXLaYT3BqZLLIY1G7Vrigpn9mW0XTkksKpiSKN+GU2Jxp+3iuRkfWYdZ+XViKGxz
rqYbO72z7ZeKOvUm+WUQYcaEW4QUnM06Yl98JDHwaoSF2p8Wk4vfZLl4T9rNhqJdHClQpHGn5Ben
ivnLtoL61d3H3cXOQiqtNpyHi8+luHheZNPjdrH4X7erNluME8Xa0zKTryXz6MYpy+kq3Ww0CX6a
aDPWFBePTfbLcCN/2W/iUjgkMG22HMtg65euOHfEZtqJNvuO2Iw8gyGKE/kw82s6yDTQvKS+Yanb
It4cHrPNDISGUbJByKTusphM5lcquxiBzGYiqjY7Ud0hAqE4NsqGtTGGo3SzHoH+jPfaQMz6D6vi
NRwXkeJTmkY5Bsug1JVGLs+JGB4rWLzqsV7d6yHrI/bveo+StVbnOc3G0IG6GJoDQyz2UwemH9oP
BJVhixzKJ1vloFyUV0vKiIHuwbnF1fyEmx40fjxvW0nrVe82ltnIgHVdxvqO6NVH3TDkbupWPrYe
a1lsIlOcCqJ6XbT8e5wrPtVndSWqpv+ZLc6tWGX0Dqp5RnzTFk+VPbl32VT3Pvhndq7k19wT3Wbs
202rP6cIBE17vU1bdzkUJtV3kvTFftFzrKoaP6Xn8PXSrqsbHGrrex05lo9T8m5tupthziN2acnk
Q2XvDm3EPDuzNXHTddF8Z/eFy2Ci/sbSpT0wDHTDNFqiPbJsqvnI6v1aJ5NirdEDFtOkbYld+tVS
YMkcnfhj23sFsc4cN3fwIQLwrXfFUHdvkO3noyjj4QWa6sCDMWuHuFOfY2cXhwWzYzh0WJgmXUYf
Rm5p5Q5ln3ligVhmWPWkOI02KyWkvKZ1VcF72JNcTNXXxPibG6JGzy4RZb7SNOdhbBIP/RRXU1YS
Lz1YZslTYa/O7dK3MEBxvKRZ6Lbp8MgoPXr1WrKmDauMEMaOCSkIbvutqvOaUblK8y8NNj42XxMJ
aql09yV27EO9TlA65ki8eV2shcMEHKSeq/W2YvSG8mwm9NIo3QeDP7hB6a3doYF6dbAoCF/38M/G
PYtESjVd7UY15PrZUll87eWl6+3iChtMMaSj4+fSqNGGMMgJzBmJhAWp3p+kbtwaxBPQ7CaKmSdj
14PD/BIBrZOftS5mf9zEzPu1UXsdGtG/8cRVbZCOc3MljG4TRNYPah3ErZHlVeAC/kfRwWNggt9T
sveVnmytYbdF2Joacz8n+2n0ZvlzLDtsD3i9MbgPEQrPDgvRuXK4sf1saQHAMsR6qUGTPiZeTtIW
8KGw8Vr3uo3kh+aNn2laxV+YWUB6Xyrh96b1UpmWhqm0hylm5ESQg+Pjq9RGL3FnHpSRfUT2+N2V
rXUgD24ARQErkAn1l2VavGAo0FI6Tve1LcHpT4Y4QR1El6LL5mdMuhEECY0cXAx9x4nc2tqXCH9D
0mn0+wIjYMggOX+odPu2itmHw24cw3KQ5DRJthYoIJNubsJeL9fbTaKPKr//Qczf81IHlFLUFwj1
YK4ZE9ZIQAgB+cQE03jb4QrJbytmWtcfTFaeilsuTKoo/Srz/FmTdh2QGy4+YCVhM0ld52end4/j
pH+ScoGoOcUdqjnvFUb0oLWIsVa5cM7eEq3XjRhNchEJi4jXhqi98QzUOOLsbJoQABPj1ngirlAt
5cmYGsi76P8yW39J5yW/Lnjmd9CC9b3e9d5BZgNaF5EduqlozvWgnsw16ff6mlS7YtqSPrL1B45q
0x+MsX5iIk8Icr/yXkelsaBUJ6OMfPcBT3lf7kkVI7JYc79HwBWxc0fvorWMOzZLWBNd66HVB54r
63spS50109iHDTF4VyS8XaJ5fzrlDNxQhz3DOiIgG64BO9PPR7eBwtebjRmmBGrjirCTAxWL80gW
dBywh872DH3Vnayc6L4jRqvjQyctEvaBuE2W3vTxJPGI6m7MPkKhvtUz/dZoshcQnfZjpJLxgDDR
GneOrOrHMRnhb/akm5FZZtlxjfJfudda29uQ6NbXAdbDVmy2enXH/j72zdm7Qp/wydYCGWRZ7BJN
3EVzf7cWtKbJwHoA0W3WlB9dAdN57dXz3I/3jT7cDVp1Q7WGvtpeCUEYsHOTfEYa9YQHgBAaVgRu
QYCaxTyeLBbHtK4RJLnXdtnC9WVBIxdEGsADy/Veknb/Xyrd39JKbt0b7dZ/HtH+avz+fyvSnz/4
Z9vnsfc28e9ZpGxZFsajvyy+N6A/M1aDkYrp/KJl/R7R4jdCE+mh2vMQR26sf+6eS5yX/MN0twmt
bWBc3DrJf9L3XeSff3EiWeTm0j0KwXCWUTG95ua6+8ve2xPof6Oo1a4QxkwPrOjLcEUzfyqLNQ+d
ZuwD0DDy0ShsRCE1CjydQ/fk6i5VTV7Pzwt9G9sg1iN6O7j4gsRk7fDsVD5gDMJcwKSHuEsf48Yg
n2KY2BRtijwTYseY389AR1BxxwAfcsmABLyWz4KDmMZyC/Iwc9YrrVnIp6ECv940EggcgOxbc576
Z/bV1NgO9Mtl7IofQmMh7Bov7DQ+jYYoPqjCD4u3UGQSjnNoZ8usdkY2lo8pKqYzHhiSbhys4jsF
kp8s0ZVRVgF2f4H1eypjxT4LUeDZZFa5H/qR0wO2sA1vVYjbztakgh6wRMGk6I1YCLcGrYUAcr9i
4w4RP1JmWa11LTr3yKLtsRHkahnQVW9Ihr2qIlUGmUKFF7tsePKEQJm2daP9AB/D54GpQ7fSu11L
9OMuxXNOiE7n82GVV+tg5nvH0hxEAcSvRjU93Wg6zV7JmPm0qkgTYyBMZ5MX61NrcfPPS/JK2ypf
5tKyT8p0pvdKr8H/I1YLBBqy6LbpFuD4RZ2kHeN24o3E1VRFxvpUdUYOkC+da1f7Dq1MZ/6FClNb
GVr2GWV5RUaxj0MEEAjRhS1x9KwoH1ujcm+9GDgH0vaWwVWHVGs+lAz4jxJszsEpK4ox1s3OnSrR
MWrOILhFUq1Mhp279sZEXHdqXTt5B99TpxQLtXyli8UBxAGbjWZ+qy3s7zUsqwqs54Gd4qYVr/+U
jue/lOT8RT268uaXytyJqmHTnG/68+6XFt3r63STpncUqtn8gG6yPFRt7TrxneGs0zTvUZaKcT2Y
1M9bzXihsM9iBMmuTRc+OwD/Alq7/MVuF9YvlHv+i+w+pxhm2z2mAaDv+sZ/ByqjHuYLFH65AOIx
9QGLzzduPIoF5Fba2OPNxe+qvSYXyDzKKOq/wYY9D4AXDH3ltfQpccsqtZXRY1UkpGlwkmB4yCBi
vEa/kPbZInWfTGlxt06zPe3ZPwPAH9n1V/iiqorNB4T8emPlpyucEx+XyoKWb4PpGxtXP78g9sm3
Nj7aBO5+sRH4243Fb29UfoB5jW9fUP28AHbCot/CbiD5q43pn250f7vvqlfW2jRnzgX/b16iAFhf
gX/e8gGSLSnAbRxCA6x+CxCItywBsEAD3vQtYWC4hA1k1hY8oF8CkEQ/UCuRS4CGLD44iNUSfbLu
vGyKn6NLjsEl0qDd0g3+Own9W5NQk6r8/7oQX4avyV8VYEB9th/4rQC7UFgFMi/xe2D5ewCq69tF
KKSH1uEiAeMS+n0RMuaEiq9j+fifK/ACbRXC2G4rRqIb//4fjD4vO8i/7CiJuGEHCgBgm7+iNTM2
ZdhfbsCa0iupF8S1HlQ44nLduVmWPVJgQImlaZxIV9lwXjGUpd4ymSktC7V4SqbL0lbdsWvRNFD6
KfZk4MkubMVkWax7LLC9MDgqFcJPEnM4MCbI7KVNyiGH3QJpxh+9yfXMl4QwrbI54gED7R6jQGeI
UkTanVeayJE4lSjUfQlOyeVmI+F2PM7Mk9V0ih32ONEpcpSWnT3HBbnfTLzJT1pVO+TkmHAjwzib
MbHxXpoGSibKS8E/C7qqETZ4axmjd8fpBo+lNGElAnu9jcoyObSOXGFss294rkrQzyuakyO/VB0U
66h9m5MyfQbj2oFDKZPsQdWoUlTXnlZq4H1SR+NXTxdELfaQ0UjK6ADpC6xtXj0xivA9tVJpnzOa
LIujBvEd0tQZFXd7BTu2rPTN/KdukziftBMGvw2Kxvm4PGmLPq4iALKYMUlhRiqdg0Q6Nh6mSNRD
e9RFHOnwq8t8anP1aBci7W4aJFIVn0JpSVlOp/+eCH/rRKDU5Wv5n0vk55/qa/8vR8Kvn/hdGxt/
UICCdtU9kqt+pVX8FoUK+w8bGKzDOI8yGGnD/xwJ4GJNz+aPIK6Ygq8sp8WfxbG0/gDFgtkFzOyf
5v5/cDIgWvu3rQhwVAvSjedINjeX4+FfzwZaSm0iWlKcZrSTb5NmOru+WL67Sha3K0CKMNFwlauy
zh+d2b0BBYK6f8rap6bGdC+6/jwiSSRmyllZZI/aaYkMOzpMdZbcj1WrfR0d0iM9uxbt0XQjh17P
Qht3T2z8YjyYZprLkkS8QndOq9658hYCvqhfevhehAxSDtUGsQUDe1u3YTkKcBl5EUHuuTcNpbmL
IuIjgCjFgjlIA5CwfSlcAHTgQ2AW6mfssDYhWDLyhtBJhNnvk8KUDXmIcVowMiASSoidAhpFLVJm
q3526kW+mkvco3Nda71Gq2lGioW+dBbrxK7dIrIxX1Ine44WTWOFqTt8D4MElsrXrIrcH7GdxTB3
JbsDqPDgpCcgSPCfBOT2jkysgZfQH3JVyytwwevmkfYI/sx0hj4zmqR+P2E8mcK1xqMSuHV2LOO6
eVdVOhDLWxkDAYzKxe7rWu/LxBoZvlJCElf6FOPI4MMas5uWHv+Yyfk1q1PIBsOc7fTSg2owx1hc
2jJO3lKVsp1ZEMM6rrqpze4qmcfxrY/LCgNzf2+UCvloNXkskGL7+6CiedeN8zvkMSbo2CNyZZxi
lb+qCcDCgnv37LrmtxgDbWhE+fgElhsAOKuMAysEaIlVvWFT5kPvoKlwZXWQnvc4rekrApZPuMzD
1drXRMLm8e2Kwt8vx+G9LvtzOdXVMR9wcaDGDJAfyl3PZvqqod8AA7jeJzFREbnMXxs4ecHIYCTM
y+mnnVY2uQ9rdD97tY3MFueFN+LW6uEP5AwgDuZkMk8mGFEicwmmaVJ+DLeYWQcy/mgsuht3mGXI
vSJOTp2mRLqu1m7U4sRfN4lyOsrpUCLk/OYmrTortnZh01oaveBiYvCMf2Kvqe8sjTD4IVVPaDmL
A91PynSqSY9VviGOUy4pLC5wjEjU2A80qCfOhWTfQcbaE/7GYCfRvMNkzz9rCwYbux7UFZwdO1RC
KeGiKv1WG9vU1KrKEMIRakhR9pD8DQI5K0Jr4cGANRBTQYxnD3hXqmfdqsSuK/JXrYhOMAEANPcN
atZBe7MWNDVGrrJz0lqYYBoz/dxicD5Ik6RLGSi+ZxMN+NTCSGBdlF/j7B+vbHvgG4+9tw0MMAaf
9WDjep/AYlv48l2BYSebGP8spdJIlBTjI0vG2XkqzJz6Wciy2rVRl24ebHvPTNgNIwf/Ge3EmD33
djn4AyCw+JBmtTxXY9whVzQG/jUeLABPEcqCsWgNX0TTdJ/NuY4ikMci9iYksoTuLj/ahkM1jB1z
OeNpqY44oZfZOww8WgToLrZQfsur3Rx58/CpQ+tNWWpFrIbVOCafVPSwhN3Za9lXiLaZb6Vr9e9U
TDN8tsQk6EGfSnGVVF55mFM0yEmryYOQ9CFtjv50yewDhFlOCUVsSS0Yq1uMz1HkrnCMm9YII28t
DowUYbi66xeFU/WVCHt1W2Qaea/5m1xTsauKvAbYwbJLa83bTMg8ILgiI90j/RH1bheksklfyy7D
U4LrMb2R9KUIxsbVCFYYIffseF/aAvX9Dpwcez+zqM+6N+wNx5iuSZxrHk3D055ys3eQIlspYxDy
p9fSI71ojBO+xlQyMowgtu7Zi4gbG8E6NJCBxcgwDGiDk5qUsxQHI9GKh2771mK5sR8g3hr7qAUo
q7VFQrzphLce+1e69MdZR6RL4u+63SUrJL3Irh5wvrxXY20dKRK9753sHxxlJjP6OIyNhjt8sZes
xKFIBy6N6YTA1g1ytqb48PRm+IxQGYWZNmhXyJiSvTuNelCJFfBMrbA7xe5WXumcB+5ym85ufrdq
YrpZUg+nwDISOFApuVM9fevkyDEcTAnvwzPVTszS9b0sG3eN3h0WLe44g4cbb+TUWg3oCZ5kWyBA
LZ4Q7VpAPPAjxPr8OLogHHKXrXltYlTgd/OOrVIHbWmBtYopYvmkBIt2r/y+NPUUCtxz/qhrpOpi
hWfdUxdIC1zZP3tpBjPFRXPI+MgL+qE9IbmDMaY1n6p1XsrUqcPVm8e96BsIFQthjprJ0CWpFBiA
sVRnLW9/bFEgTGTHK52AccAR22JGOtWdpDK5RvdTh5VYsv2cDoK6F+6KZjnerm0wrpI2R9hPjOIO
ATRxeTnueVnmnHet/bGuLBgq19HDJB8+ZJ3nV1YTIcsiCG8XGZi7SHnSr3kG+gNOgcSf8/wTf5a3
V836ETdbAs7K6gkxshXdRDUMPDyzHP0wkb9Ro8+wSobuPspl5CesO29n05243JFColjGHGZ9spT5
aQ5psS8sCoZJmW8lnkHCGPv2tXD5q9bOBC7Aduqzg2jMNDzLA5NDFLvKnNzDtc8ePFk3J+HK9XrK
B94GJ/8Yy4jifOLbxSk1vbmwyXxzMJ7SlBycKWYEkCmXc91Oi2+4VyUO26U+jQCJ9tnkLH6FVn3f
Z2t5LXUJRWdZTX8ylm99Ei27ibnobvZ4DTMoWMAwrfvaC7ne5wb+D25T9KFwOEZF8Eze8PKnIc/e
+drnA3vPyn1uHYufNQQTjjE6kZ04+1rhxQ8jWIN7a4iydxgpT5Ztz35dxLemrPujMboxAIYka4AY
RLzRyB/MFxb5JGAg/caH5obmGtkSkaoTb8GI9Cpry7QmtSc0InEt2U+rii00n/NO0kHdTfqKGwF1
3tFRlvsx5714x/b4PWui4W4VhkYO6JRMx6wZjDurtCd0IpmqOFkbRqhQg3wPNC6SD8viiRDlI8Rl
6xH6ZC98Tk2NEkM20qddLT77znDN7Ysa85mSD7eBSDv70DS6xVemQqVypL0kkRLysx0gUX9q0mX0
mcZd08tnX0j9FN/IZjwXM4DPIKuhkrSx8QN0hMWmOpXfdULAYefg7MoBjo7q1Mx119LzJShdlbWo
76Jwi6Cpx/5pnWkRIw7PG8SHxQEo7f1qV1cRWxQnmLgO1FHX1ozH2Z6cH1HslH4ie+fOG6z0DZiT
eaOPqRV05VyEFsM/yMHNyr6zRXZRD0b92BkmrebCW3GrcunSSUe1BaK+GQGtdi7gHrQ1y13lpsUB
vHK2j5x52DOCoF3mdR0GRruHDLdjSQdcpG+cZvkbV9z4pZiVeMqzITqKzElPwpqpeKPWPrfVhH0q
1foI3IU9F6+xhCh0NWkLvuM16c4e6C70nAJPZMM47Ux43uQnpdLznTKrJrAndLNMzrqHAdPHm3DX
8YfVzNPR7Wt0nVk23Jlx0r3UhtXlfP/qbAgMdJ55aSFjpLpaX71uKOuM9qGfn2NG/QhaLHP0gtVr
DLhVRbNMYZrxfbhi4VCWIYpM+2WO3NX+EsNgR8foKm5WdzQ9vogdsBu4gYyQzdy0b20jT94nZ0Z8
DST4qVirRQ96MiFumJen71FpVXvouOXmCVIFophKBLi8Y3dnmrnm7vpyLt9EpKIH0mKYUJccr13p
PcEKgAADT/pbVVY1slUn29vDGl91FSVpUU3bMLmcymc9QVJsCEceZrfMr7Ma+jR59UlABkfhN9pa
oFLqGms/kxn6gF6s6wJrZS6eTYyNp0wnqKxayQWTWXUcHRXfy8aIlkfXybr6TsUkGgQezIfWZv4D
xYJioURFAMwcUKxEK/ODcjPdgnRyp53NJ9DAl5AdnDeu0/VoeBNCz+dLJE+hTA2EGkk1xdpUXWD0
CeeocglqBX5lHIfEtt4g8pdjQCIQZHyk0o3+DcF+FAgti+LrdNoyaHmEuyzEVD/jlyIGlfGwM3P6
DF19PQ0a4yL0tI+qBdxd4hw/rBZGvmlYYGXNXXPqeCaDcTDS6yYjay6So/NZ4oT5LqpNU9KlKDoO
qmye+9yL0ndmdJjd8IuziLcJR+zXdUtzdd2fDKvjo00sK7RmRFF+m3bOK8JZEaY2p3OIbj3f97Jf
vwoK66t5aaxdQX9cO4041Py151W2w0PTpM2XRJnl4zzr1nlt0tmX2M8CK9FRxepJaYRx3mObEcAp
RLt5tnOMVh1mrFvTbMuALBPzpaeKDBH3kKZY6VkYc9dRnLdLqGQ3hGPhnJBDTEFN4/7I+sDbd7mQ
Xy2sPUfo680uQl2G8BcAmoOw/pDGxhR0NZEtRlrafLx9Mn8rPG06EBB2Z6jE+4Hh827ilbAfEBLl
jFyOLYBtSqkxvs5padVO98w55Llp942nrLBFtUPk4Lqhx7I0CeeoJNig4BqPAI99sNYi68NzyqOW
gtrSYOX61WxDHgNH0vuEiyw42g1jX0cm6CPP0e4GY10emzkBGkSynoL5ir6tMjoqcK0IiZVPfjaN
bd5EUZpy0LYxlF6oD3nPwT82ZPMVSeGDwiC3nh0cl868PMBC8m4nFePTRg1wzO3UChFycWD2NaJj
od+7Lu7vvu9V7Y9N/BX6VRZUNXQpCrvWvc1xOwHZBD2tF5G5y5Cmv8c4gBl19jAzyzQp37Wmf28N
JvrJ5B5MS+mCdI/ph1BcrG4q1tNCHg/vH/rp3WQNJHQTMoPqCfkUxgbAJGvxlSjUJJz4tHayUl/I
BrlKYjdY1hYaQ/Glz1g4FhJRfTgOJNjslGGEmF+gPaVedM7S3vqa9yralbGwfWpm0uK0SmVF2IFM
GDF9tde1nVU8Lb1z0EXu+LIz0+sijvN75g9CBKOpRjecgLPc9gP1NlEbMmi38Y9y++bktW1BwCfD
XeSx4udc0aJlREweib0iL1Br5UM2sIHKm+77kKjh7JQwAwR8kjNzrSBJloblh800WGr5Gf3g9LDm
SUzQQfuNfo1SbKlSfPBrVp6qsZly4k775Q39DWSRab4xENS+Uko9p1rb+g60sqvERr3bqpXCsU5g
sqybEmXUuqCaxg9Pb29mfTF2ALxfK40jDyKNuW9sEjxmy3DfcNaVO0II0IAKd/LlGFnPa51bCEFz
eVUtyXWqVe9D45Dv3SdPnY0zmZN0Py9UR1XcwNWo5buR6AXyk8r80QMTZ2Db4Z3UylcFQuizaUoW
iHHl4oNj6kHxrRrCPVe7fCTqk61vHWd6MDRu9DGJEVGQmqaOAcUyP5JqsKIqcyMETwwg5r3Vmwur
W9Iw6HGUdchHw3usOLCGXWNYtc2vF2Hfhak/aHwTytAWeXdGKbKb1xTCyhJHAR9V49zkmdXcgfCi
sNbR78MPySE/klVQgLB3C70PiY1vbiVOpxP/hz/KK/dTxvLRzGoOD1j6Zxg++XmxuFxBsnyP8mZs
DwScQ4W2N9GOAzbWKtR5TR2yDIT+2nElwUgYSDCS2yywqVB9eGATHd1GC2WRKRFtLmZpUQnHveRI
sFU3zUc8qkdnaj8gzZ0xggsfPjfip1i7iTzkiWuBNyVrnXOjT8Me/q8TOrldnBuL8R/Rk71fUer7
VKbSj8yWsPnpgeSlH6JMeeKjxUIXWz205habXi7OqTJzSfLRkBzoXRggrqV2x/r+jQVufzVEGsS5
zk79uDAqoh+bOEzrUj8qmMpBZ439iVw6weRiqKFNA7mfI+9hJKDxmEVz6rOA+chjZJlyWIw9G1+Y
+4PxLbIm/Wl2rTywFdJUPxvr+afVO9MTZ5/c2TYJeY5ox3PXMozC1+3rkUbkUOdqzFkItg07kedH
z65uzKHATrwa5hjIdPaQfcZ6iSJHJPkZQgyqvLUmU2FpvvZ6Xb9DbTVAPOIF+44wgZ0JicXa1xpD
9p0jCu2YceF1O8NxFID7rGNJTYuERy9LAuAuqI/w7RvlsnyjzuKrFUO2hPfp3tWzEeHWTMbvWmp/
os5dCB0h5w6+pes9rArRgJU6c+U3qZhfXGWN91Im5nrb/T/2zmw5biNN27cyMeeYwJLYDuakdrKK
RRY3iTpB0KKMHUgktgSufh6U7BhL7V89/R93dITblk1iy+XL93sXHdSEgfllvQcFLTHE7xy5meeQ
9FpEdT5s2FRvJLR8tYaFK3fYziWcFyLjbGGigkKMzeCQRsPzFLsvVAjuUxPFKG6bqTswD+BaqxYi
Wxi8jgG2bbgf2U8xyT1rIn3uA6uN3ktNPhDZCwFqIxsmb8Eh3TiOiGCdE0HL7arphuRIDdHpHbaG
9Ro9gdcTdcL6s/LgNWT7OBr1AhKhex7BwqhpSrRJFYcbyruxJtYQaZd6VVI0R9gQAbZ8tR9ibIIG
cD8Ru7SeWBfe0EGHzhm6lvmMHN7yNgEB9J/6nLANpnEEaARATYerwkvX6SUek4wewm3k2O3HpkpP
s5SSJB8AHqx8+piKCdESmVIdoiLVLZUQq8wbiQD+F7RPmM3nfdYdZID7Ap5+DUVrIAJskIxiWEPw
0U9uLzvAJxMy2YpjWMCXMMLX4spNTuIMq6Y4orkPpjY9TvmgCd9lom1nIjtI7Wk5eGubLZoStJSb
wZG/I9WqtrQILuS94v2CIupWoijYuLLHMDCNmouOB/tTtjBWcLVZpGHKtR7apkamj2IheGxdxX7K
WlY/FLMxfDJE2t86eEn017i5OzUZ3adcGuYZu1riZWVghRxeW+fS4pz8GBoRxxeFHu1oGIn9G1bn
+W3XBgMiLQcwVNs9s5SmmkJ05gYVgV1tApfbhRNC6K5gx+pHUMGVo8I4O4PwLwYOoXKKY2bZk4vA
cHT50mWGXlrFGXlo7cMct1jweJO0t+i39LM5+/FtJlgq4TdMvxcol98iq6VQmz1Ch0A61DkJ0YSs
4ixtPvWeW+9Gg103rgWbGUNqw2En3Zpxm+2lATV7BTR6VJH2b4bR7LbYMOcnaSHGpbK3zFNNbOUL
DlcdJj4a535EAGLtKbyLnbQzLjJv5JmEpuBQJla8bYdZ7scWGqgjc0aJocbuLkD1+hn0lhgcrI6e
Teq7k6qbcdd3VP/AmT4ojUGkVYJuk5AztOT0MtaxbMu7vgu/GoNF/oZVRgcvcbuNgXbsLhyYGk5m
J9AfnRuyj4KHSnv6Zpzc4dYz/JnE6KjYCEyyGDQh1q1ep25bTL7usBTKTyQI/EY71doO0WTusmB6
j6cS/brARCQKMmBFKyrBytT0Sph7tPMxI9lK+r9bg4G+TwacmgcIQjdEnYHZ1Hk12QBt8yZxtLXx
kD1B+qmpZc1ZvaWFmPCaT+YDxhoeXl4WTMfAr8GBLRLcNpVrD8WjdpEOTgmbTeYuXGuiGfKT4cNV
cmnfgLHCkZrqZGfBYF+F9Xx285k/N6NL6+jpfsTLnvDR/DVs7c9OzGKNIG6b4pO9ASl5DyvlrcKY
hseIzHDTGoW5qXyj3tlWLg6jKFGHZo9zgJETSawIQXtzxhptvneSlLTurPlEwFH2gEz2EBk2uv6m
2w+4pX0xNG0Q2zE+OyYSZXOmQl5ixfboNJMVbOf3Msyay9g3FwQpxbQy64Ct3VoOgklh3Ac4GiHh
RXvUoPs/icH4EIbf313NKxTr/yqlDQbQE4rP3QgdNS71CYqNvlFF828zo/8bs9NFTPertvVrqmLk
az8I753vP/RH59pHmCfIGvboD1919zSO/1fNRzMbIV2INC/gbPKXznVIPOoiAjRNx/NsC8+iPzvX
SwaqgwmSScZ98D0D9V/oXPvWP9g9cnmqD34ld0Ez/KeslGAga6lGeXsIAiBlfGlrDIaWnC+gmwYz
Ywd6VvRlqgLCwMA3kxeTE95a4AN3JD6lPzs1/uuhoiPh+pEVbZXvBg/JkjSmlsyxusLsG7Pj4KaJ
uueICKpgPfXNu8k6qNIN4EL8QhZU9Wp38GRkORIyOKCx+3CjiqzEBPs7MWn3vTKbJajB5ozmSFaw
Fb298LXzauNbrn39gkSl1N9CrDX97DbFheJMPbBVOGcHsc6OJky3YO8NaOJGR2Dazo7ci3PfwZUh
Er02ng3hIvmHyz5sJYAU/DMAtLZMsYH3bUefLaUBD/Mk+FLkRYAXdjcEvBYMxg6WHuNTJi0Oibm3
MHLsxdojGEd3ZzV4reCY+5so5+oYY6EHR3sWG5d40c8qa6uta0ViY6A1JG7TGV/xK5seCSu14huB
8fy+lqV8oJ9l+hjToXOBy2O8dW1Bfxat90titskmTwmpwC8X/+tX2aLFojbS2J/MClkfquWIrKAo
jEkg8WfR2fcNukwy2ZCLPqsmEO897B/qrgK7PREL+OKhZT1r6k/ecm7xLohztJ7DHEes1TU/KCb2
Cv2gXDDFjnTmxSKTUMsWLdMCB7dUeA7B6WCHlOVs9wlA/NpQDRmFI72ao0WjbSEM8bcFwmysCjhS
equmr/jvpqTkZ1xnyv2TrIjctMMZiaDbcXbNcBZJ11fPmW4Qi5Y7iXEuuWbV0g3C+w+Ocvhq9QZa
eBUsqrdQCQtnapfHKPsh3Y9+DUFTdyEmNkvkn0S12e5Fh4xipXQ7H0MgS56ztCBrxRaErgw25xI2
y0sBjhXZsctnYhxp1nADo9WAfeKswNsth4iw2HEJyo2jIWejmZSDgyWxIWLDtubZ52hYoiPbLjKx
VJcD6SQxEO0HKj6MbVAb0RJF/YF9Uk1U974Az23WtVEN7bBCecW/oJjk12tvefhgxvZnRdAKb1CN
mj+ZG9+5EUu4pdYJn2Vuca1lazLWwpA8RNTb5kOAY/rpekXP7wl3GQzyQkn6Ymw2w2IWlo0E7Y7g
P8EaRjocDDHaw7xXyhLv5gTUuRaxro+eqeRbg5fUsKIXqQ5xmrnico3ezJ3FIoqAJdVukeQQXdrY
Kb8/dgoeayoRJZAS5X2iDJmM1+tdBnDF4kMxYT6NpZrLzeJ+zygzsCY5hwoneLzRW7IuW2/xeISY
0MxPSNTqfFcXyye1aV/yTrIFz+9IUDiGXovCStX8czgtETTfc2KNmvilvF5iXUPyGvb+WLBC+RmJ
LaI0rWmXNrL4HVCTEZl5xjKmrAWUj10jKPc1TRuciaxS9+tE5ppMmLwbN11ozweUWuOjORIVO2QT
GcSMNPDJukesWCQV7p+hCOWpC/o15xe8W13baIDNbPi7fYl8cT2pFl8104+OWTiFr3xMgFoH15TH
LJlguBaqlW8cOlrqrszWTwOjeJ8BdO+QFtlQemIXG8mu/ZoZKLdBPlxOFmGhnwKPtotvKwa2rfAB
WsHIN06eKQyejlajA0UHo691hwmos3HDivM+rwygSoeuT1M59L82MiOv16rqwNlCTEReaLdIcuM4
Ezeoa3m/k06iV+X7rCB9g5ecb5fjPRCu2IohtnHT7ZxxZTcRp4dSCXnjaDg1dREkCWnxU4y2SlaP
xYCBE8o7bCAxyUvsFyo60itGNX0TfuncRqpLDxmRDR+F68+vQdxrf2eyBJ4aUIVvTqPH5951pxvS
ocot/l70glPjhcgm9QrHsd2gegJaKEKSbieLboytjeJkaagbBTjGzgxQE1exOX/D2QxNL5n27REb
DX+JMPKho5Rz5LxNeQaWgbEv0ivbt276WeV3UAbdjUvqEpFjusNjIY1m/+TGDSIAVX5z3TBBTxYg
n0Li1SCG63RwLkbjkRRNUjpgsULcx8yvtU4FRW5zwd4K6bkJt2Lw9I6u/7CBTiXvRpj0eLX20UM1
KFaTyYcIY8j+keMJJe5o4aEXtpA8YA84J5lTQL5E0qlfsRtWT8UoHhJ3aB6nJaJpjFvrMYJZ+1T5
FKYFbdzgvkGxhidNITkPJebn2B71UUTB8xzb3qceWvu+1i6aUHes6pD5IXGwpRUUbvECOGgZwg6V
9kPbIofyaI+4W9Bik0TgGcQ2ajrzArWhBojHtqrIlLVqM0cRF0NlLLfYJNMUwrpj/BJJXRZrGgMu
oq2SXvthaooC+1pLFCSYk2UTaLN7Jo48eEttkCq2QnIM+kxwcjUNeTN4WHRzusu+aLb344i5/rmz
zS8LpHAnW7isRFtq6a19TJBPyKqyzSBC+2kKDXGcdGZdcsvrfsdcWH2Zwrhu3nVnFsMFt7uI6DiS
LG7iIgeDadRne5qjS5JYcKI8JHZYMFGPd7jpFNj1DL6nbvvWMe6V6rxta2P2Rne1/FZ0oz41i8yU
8APg37Qb3jDTizYxzl8PoQzde92PMSfBijiCFTYP8uwbUX5HLrFdbbCIMS4YGLsbX/Tjltflrwbh
6VvOiNWXtO9gPdXyJeqleZub6rVjS9yC5rqbNjPfLII9sjFrT8bkis/jyOGIOTcpwLHW2kYGpoxt
LBA3BHV/1/vqEPSAH7lvd7QokRmv/FpqcRqTTvCEAZFDicAYNpZ2D/4wGQSlM1RMTADKMagPdmF9
ijijr+LCAzCwa0E3o1sgO856FnRk1kJ0e4n2kLY6IS3kWDRkR3CqtnaooExSW+nGXYJYeA8Bfcyn
Wgk6bQpNIM+T4Kkza3INuuGuVoDQNHJfPLPheKg43lmOJnmyAk8Iu7J8gv80VPgcZMXOxrBwA1ET
fze5kNs4frt01QApHkqtSJeFBvBsKjUcp9ZZPMP5wQGp3x0r0EBebJu2m64ML05nDntZ9Qn/aAt5
RPvaPCZuCfSD5HHc4tuSJqtkrK3bHiPiC0wHc6Mi7wZxOLGjeTy9mG0RwTEr+9ekTz7TWgblc62A
gkIP8csAFQMMSNPZb1rn1pOlPmiTbr0Ik2Dn9R7fAcPpEQ/J0oSnEvi9R4JsnmB0D/MrX0vtEr+Y
9uyORQLJhV54sZdQPl5pRxmrQWr1hOLXJ9CnibIt2yGCyqxNN01Bxx4gfWVqZZHoRprNCmMsXLNg
eB5rMQlnZSZTf9RKAKzYtkaCznqKPQDBOWuf9eYja3rvdwSK4zbNPXc+JGFXfJW+3xxCFUbbYimt
EM0qxKQT2SsgVfW6KDMPZ4yG6J1qgCXTB/3dKC17ExHSukYnNJCu49tHMtaG89wG0nlhf8vvuqpw
EK7jbVU+ZF3qkFbuItYsdew90rRzCKQ1woX1kVEWVKP4LbdsM96B/wL2Dya1YO5Z+X3MJhsPhT6B
gLdbqI6hht4SgCxQBtxhlC9ZeScn/kwrhrb07IBiYXD4FuNf9jhHY4ZpVZzsmryfTm7ruuemShqy
DJvGwMjTBWWri+6orWbaB1WqHyy3a5+TsQRmbI4ymPWmCe3mvmzr9ivu6OZ+6Bp1i3wl2qs4eKVQ
G3c+xqKDr8Qlgy6PH+GQ53h96TIugHXm0dql4Txjny8Io4erUgESlrY3P/aOKX/TeVnEDB+7gPYL
03flVPQ/KgfpcA4BFPYUHIgHI5zmeyOZVUobNXX730AqnmU/VZhwqrQXkb0vDRa3m0h7+yZx/Mfa
Kj5JkrmTY1U0fnRyKvO9G0N5pxEbrdKAsXBD8Cf20HM25VuQ8QQg8RoMnRIRHZIKpeiYPtSAKzsX
jr5Csw/R4dO8ZEsLRwWx/xDbsnlg97vpvudQ/+Uk/zcpDIua4y9qD9IrsPcFPHIsT1gCPeaPjG4S
jaDbxtS1vlLiZnQ4ibppYj/Pk99+hMr6Z6mlLoT4ny4oHAy5bFScpqBUWCjmf5GXoNyd0Gq09aEq
cTuFnor7OQvze250uFjadf8VhzshzvEQ9M6NUvh44PBuGUl5BwuFFPRrYKPXVELdl2qwzqXhET2v
bCt8HRKi4YccS4aVmKuIsq306ODEphNyoBfd/GR7Btnzjc7VIe17ykzIAO+1O4zdE64mkKnnzsJ2
Zl150N+/zJwnEB4HmgNbHLkOtX68xJSzYjyXviPfxmJqPxgy1e/BPFRPTghqueqapd3r2abEJkdg
8xlzNjKWtdPkgGUZ0WXGeq3dhRiWY+Qf1wqnjpLHEbUkxF0llqdR2Af12/UsfM23//VHX9COHz+6
73oCpAZ6sAk489NHz6mQI6+l2eROy3mZtGzOBj1SvPi7EuT/HpJLMArWimgGwD4c++fRFShOcE3B
hei384llANMG6Srfh7kn3ts04GwdE2TqQcWCtf7rx1we48fHDEwnCGGKCJPWBdLgH4aaRBrj05uD
z5VJ+9kbx2CTkplJ/VioQ61xBqQN43MIMMaSY9uvL27hNfkPVxe2GYS25ZPu+vOzj5lrIEVV9aG1
oHqshjHuxR2G2PZzlbUcm4Xl8fCDmOpjB4MRUq+q+oX+E/vFgTa89Xy9oX97tf8Tr3bWN8G3+X+r
cj6949CEm0X9g1/7Hz/2p1oPv3YWSZiOfwjXEdn8Kc3Br30BFhnjNovdn0K9JTzTFtf1lal2zQb6
U7Lu4nzGKYcAIBs/UHT1/4pe78f1FO07wxtlKHI9JDk20+zHQY6xeYOzYg9feihwIWF/7S+qaHF4
wjqn/fKXF/Pwfe78B1SAhzqtuva///PHGXW9GJ71uM+bofB43J8W79jViwdoJy6JwdG/Inad3K0h
fM1TaIIQA1jy0NaI93DI1OH/49L4sJlBsIj9f57MqZFbuoM+dZlD0LIKtxuW+mn09Zbyz3p26Oag
9DAVkFsb4S76T6bzj/vk8uS+LYCoA5Jk+HA/X9520rhC1OxcitIAPAoMahQ42z1bT1ovl9ML3PPr
R7Z/XEL+uChDRUC39FhFfnrdlST8JJahfXHtimWD3O0bG4lKs/MRw7zKDpqWSEn1YO3u2UqSru8+
PLDRfWF4vIeG3I29BLXThxYXnGg7zyy6XmCz5EElMK3jICOYi+m82CgR28wGrJEMOetfPwdz4y8r
4ffHuALvtAesRVn64xANyNsGvkjsC4glY6UvAO6KBZMLWla5ImUF1DnuZL++Ks2Df7xqyPRALsKF
w59Wf4BEP9Ousi4Z6UrP3+PI/Sr53cw0XWSLlHhXSOsMQR1YeEpAoX99/X+cmD6FDkQfshgYNz/P
lSEMK9IPtHXxDE8/psuEgceiH+Khsc6/vtRPe831DTtWyMxaNjxaDz8tAtHkd5Vp9tZFpKF+NCAr
5LshRZwEed5pP4guEO+D6S2z0wRllv7IZDEyH5FuDoXx13fzdw/umILVEg0tMpCfRq0tjDpszMi8
9F3DJBE+XnonqATmQBYRodi/vtrfTRKfZY95yf98CssfR5clMzM1nMG+qJYWOGwscOIrctv7Zn1E
2QJwN4CREt3LKA+JBj8TY6gXLxns4WAkzvXR8Ab9GIPv4hFB4vGpy4dwa3X0apIElwZ+a8Yso6uv
x9sQ74Ni9+uH+Cm3/voBfZvvZ6Igxfwn+GmKZEUc9QGquEsUZfQxZqrxw3Xc6K6Ub0qVxhpHfNa9
iRdYwhjZxilWOut2CpuDnErKh5Tci2I/jzPkMisy249Amfrx1/f5N6vgIkulnqJuFDTSfnzXBiSH
wUMFc8ECkRdyfc2WBCC3zMh6bgr1z0b2soP+MIs9sB4K1ZD2sYv29ecrll1sZ2Y+tZcRZO9Ie8R9
Jwdj+YsDtN2bjn5Qjtd6kMIiKnusafFpGtGvPKXEWElOelP34RCp+ICtbbo3DSZB6tD+EcuYuL4i
rPvZvKw0CU/t4AOmWw7WRmQ+3tj0/XGGp4Hz69f4vcL+39JUBGzWHDpoSVrCxuX0537kHOShTyka
X0g+QLwgp1ltMt/I7hungIBUIXYYCUgYILbbLiEO63Qghn4XkpWRrQp+t7meQCDXdkbIqVl2/m64
JjokXttbQJUxdEYjcgGX0IwCgZjJaLzANoy7jenXNalm8RISQdcUGIeMDmZGtiRIsAUsYRKLGkwE
srr0S8xE0JbZyS6D+jxkYMGITJWJmMkujM/W5OfkjE3FVzNvrQ2yTOgvYISz5P6G5GNycRO97aak
2qQd+/ctPdeSDDInkw+k/ZGAAaWYNAyxBGO4PilLQGy+IV/7qsjGjRP5/lMYNom5ajKyZ4DTAEPg
18SETZCTA4jndXbwW2PAcQPjb7v8MGPkhoi37wVuGg3+KTcRp5OTHfeU23KIbgklDHF2HOhk+kD2
6mKMyLRXmdtVLpoVO0f1k8RSPvhxWcDoDUUSbYIM/4MYM89XmTNGfFAS4hBqhMBNmaCMpTQItz4G
Hdxd7brvqP8oE6qA1YYScGn3SnaBNp34MY7WRUJGLPSxoIUPt9Lgc/4JAmzeszNb0FkkjeneJKDE
uaaVeE7dnMgRIcMknq6BJjLVwQ2y5OQ85GH3NUAdSr/DTkyASKKfQqeM8dMTBNKFsJIazlajac6f
iUBOb220DaRgBZCYurrm+Edr0A/taAfBpf5Shq37uXaI8248mXwwUPS3uI+ypW0cVxuz5/Osk6jD
IjqWLnHh/rBmYJWmQ0Og0ho1HmFYq6DuPkQDxVjjfyCfDTdIcxx0Aropt1VVhOWzP5DRETIAiqn2
N6VfBouZDakSC98Oj6jI5v8te7RdeHEiNaxkhTPqhC8uwQuh/GwkAN/cbp5BJqHTUAY7gzzBfTFj
uo20iDdd4ah7NOOAYogVXLw35EqQP0MPeAKyiooXbbR8sSmirws7kS7Y4IdLy2zpnqUTo5LQF4vN
VFQNvwMyN/GYquXLetbMRwVeNdamqYLNGI4Mryqmc9/mA0t2KpBR+TQv1/PkifeIjskqTk3q1a6g
d5aVo/uuozl8BUZsP1oQHzwHSRkxBOuQL0qsM1QCTblhhgZEAjj8egwFuTkQnfpIWRe99vhiok0u
62Ne5fZzYy6tahRm4CrdwPrMcgaYWYiQADzL6viTGBvIdjWkFD7fO4mzv/QWA5eXo2x26lVXOPwX
gBDZGbodSwzn6uCEU2N4Cv1aP9qux6aOVbF+uK6R1HDBKXLZRK/NxagO2o8mXF7ltSfdYhRFVt1y
t7Q2aJ85DUGfNWWnjYFpOj0Qzsbf5gUs43uadDRYY0AdQpOs8/VsfG3Fow8Lt1fSQJ9y3HCKzMZc
2WZ77rQcN9NSPU42794ql74yU5Ir5cnQfqDA1/QV+Tv4WoAztLChF+SD+x4U7KJYobQfsmC3bcK4
ectyzI7XOm2nx2uhMOdNNd1CjvfebU19n7UFn7bhZrQdZB+0AWiNpb4DB61ZiIMJU9qrI/Pcopau
Twwjvh2QO8V73bDxtGA9ZP3pRzMzKcJrrIKhRuTyDfk4u/mUwwnZRnZIlU5QBG6TtYcasGkVd47M
nwqKcJKJVoqhgJiuBQ5kcBpSM+3174cfZ2laTxnxM5vCnQRqQ4SbBDRJ6NZ3I7b3xCy4gqxJAmH2
bDvcoLQ1qFZgVGOGn6MV/YbVNBevrlPIityM7jlOJpRB7DykAY2XQIztRxG2fCMZBRR3/GOIGF5t
8a5kbauXowr2xunemiAUsAw4Nx5f+ly1jn/D49RHVHneI8I6tKDkGnO3dPHUgbaidUa8T12Oy8PZ
REmHtFP0/GbkkPpB0Pnu7+QYGwmUw4gzoOURJbPqEwyqtwBe3AxZioBwiEr4qxWEOA6k/nOWB6gS
usZM9/jMMUauiFRSjrxT/Mp4/usikBcOhv0paVDrIk9JY5pA/ZqQGSa95fLlCF3gyiooOku+ZXCj
j3TM1IFyvzkQI8tXxfOVXCM2ct7DSAkaVmn0SniAftBT7L2juWO+mkRSbO0Urf0mdpnxSrXcyXUk
4qdsoRtKWQJcixp9+51IIuImbh9CghvHm6BePlDWCJYmu46aQ6mAP1PUchB4OY62GHp2FEV2sPiA
22NcPk0mSKeTZdA76PBjPJ1xDBGY+UIVAnZeOfZi4806HxaYjoULoUIy0Rs6hw/XJ2QnokZusauA
B6Ow/FkOvPNoyLcZdPl5iDmipizd5mrkSPvcN/whZGU+S7dUaTPpHMX3ivG6bU6zyYiShQFDJbiy
OFwZnio7MLAys8uN6ntOMstbU3LQIfEIFnmVarmdxOMp8jQS7xJBl7OuFv4UDUqm1Tzh1uA7s7ND
wgojwW1jlqM0Z3LZYgEbk1aReJow5HsGeKQfkzTynO1IOheBqy5sHjfsC/dRqxHmOD0TqDGGMt33
PxgrKcSbSoP/0qEVNzkGxPU2DIOxwHjC46eLPrGbJ8u0Ryr2KOdFz8vmgrHysvZpOzP2dWyxyFOK
xMuRHCI+wVslY2JeXsD3tWg5uA+ZzbqwLKwq9tlxrmMX0jTbmu6kOmg/nX7Dzjq6XMenQJayxz4a
35+qEfmd3wcMkcDsIXy4+XCbxBM5898HBPLD4Hfpo+JaA6Grg5ERJlUgVHuPCWp+vo4KT+cL1I0l
L/1NDHWtprLOOI4xdfJ2CRKliWRV0FyvbKY5N9Z+YwNCKJIp5lW6PNB3WBW2fbFWYuTfTRRCasN6
b50twSMw5KxnN8HJeGMVMTPLjxp2GJhoiL0kg6bPalZ7J7XuCVkh+yuB+L0yianpFxKHQrrI/MJG
ETgVU2deNsKLZfvuMt6SgzwQMIgNCMOR2JlIMBs6FoU6VkO0awx6q9uqX+426zummdNMXBczDv1Y
ToIjgeSohk8bHJXYhTqLfcUAYXq0RWdsMHoiXUdRC81PA7mg+tD1Q5XcW3Sc65uKZfSMQp+7cINu
4T+lMJ43phXN6rlze4qQ2MjDV3OU6b6SSLR2TJWReBbbf+oDXd7bjvs1MSJjnSNCORCSis5fsbKP
eZz9HiPvXvlwTFYOtiX5eqgdJrCGU5eRH7iQWlAQdUCeIRXK5L3m2cR7TiUftHYxxNkbfebszIrA
1VXc4FWbDLq8SaXM7hzRWtaaXbO84WSvDwtbBRdWKStk9U79e6gL6gXP1iyGFJlL4K2N4FvrtjNv
m2Xxv0WyCRAZQhI4l72oOcEUVXFj1DYoDChbj3c9xJqnOLP5PKqU/LUJLV6S4876AQRwxB8Bx2gH
NksBWYsap1xKuiYJ9GMe4/xbQDFe94vR2PWgnNNhOI5OyFQNk4ZWhqm4PVgpgE0o8scNRB7uVF83
kyhh3Z7xi8+/1dSY7C7QD7aQfgj7RW36GgURI+h6MIzNuJK3RZFJlryONa32NKwl8DTaZbAFT2kY
0zOToXW+cvMso2s/7BkbHgTCNJ8YTqSxeDb7J9IPRmsZs1rNSMSfB668vq6bYZazOEKbdbZX/zTo
AyzqMgqDU6lQxW4iKAPPoxbyDbPJkaQj1j0FIe3cFQyeNEIjZ9TuzluMhFbzjBR4zdkuOdgQyr+J
wTNbvBR6ZlxnwGx0c9IJjO8VRoPH8MKKK1FtiRvfh355w4FNd4eW8w3a517ta5w+d4WwsbAIWoiE
Zj5bz9i0ANm5IasSOA+vxM8Mtg3MADhJXPtVHl2+5wTEGuU/ZD2J0vGs5pjN6HvJ7BL94NF3xlSk
Ks1dnJd+sPWmzt5x5eQ5Ub1+0Yk3nxK0bC9QHPJNywxhdea0M+9gVi6KMK9EgToJaTyoaxYg5TS5
gI5y9MGGyPa1l477kYX9/A314oBrkG4pt0d6wdRV9tGSrXmyKMr2xRI3uHheKaReSwph01QZnve1
bm5dCFzn1CerMM689FMpu/jJo8bX674scGFbsg0JcZjOoSOjl4RQqa91M/GbMM0hBhFpIJGI8zUe
kQbbaC1OAnijqHDwvve7/t3h+WcdHhoLIJ6/6PB8a7v/+FsW+/ef/JPF7v+Xb3ueB75vuUTILFT1
P1ns9n95LsZrdD2uvRYbnOrPTo+JM5tpmX7g45ZIcwK8849OD86MVhh4Jix2wjVtAIl/pdPjBT+C
YVDrHQ/rR+H6hMexul5RxL/0zuNJwOLM4uSmLf3+WAcVpUxly/boTHgNFGLhK6P2tB7pl8PtjYsV
CRAI0xaCS54oXDSiqPd3qgvVE1gC+lGnoGwMugKnGvQ5zpUzA+mt2RHABZNGL6Qa2im+2vVZHy18
EgHvJoQm765E7mKDFZJm6S4UnSbiYB/kWJypCYubuAziF7zKieoYXBWtQy/7HI7jq3Xl/oionV5m
bExxzyogow6GuekWtlC88IZo1UEh0gubiA0dYtFsRORxTU164kfIu8DbDQ5SbVzSSGbtJtHZeFAw
5e7mcarw9oC/hPPtcMwWTlMk0VBCOk0e7LD1MKOflyeHattu6aakOMzCjvJ8F75TMk7lU5zgIgIZ
nlC3ln+NoNI6sj+9EIGAL08A7yoQE/5AUHOMhuyyGLYZmWSp6J5y2KMP2M84l+hK5CLmHFJXPfWL
5URgzJuwj8IVobpia7OsrzyYfrge8AqdFhKbqMNyZRu+D7PSQb+XywOwJGgA/DKrT+6Rtg5spxNB
rhsf29e1cEeU9USDi1MHYQtzogoBceDNHW703SEcq+5FtBP0H5nO1tYYbIWUfoIAp9rK5Xu4/WkO
7EMHTY4MEXfTL8y5POpeo2oyb8NRvUz5JEipMasvpA9Ot1YCGaicsLt28wlZVucS3RXHj62onAqG
Tl3cBVnZnIsrkS8sysRfybL27uO+9fClMaLF1mJ4i1RkX6amzrZu7OExPctv3ZUuWE2zt42alDUT
zt6tZl9RmeesnQCmYbFwDgsL4mBfwaOwnO4zybmI/zHJvUmudMXxSl3UVxojkabtF3NsSFnIBhox
pXSPWdw4T7knyDxyqx6+Utt4624oeWWjLNUd3PEv7Lb92ZA2RlGj+U1U5Rd/HMkRwayjuRkW3mWx
MDDx7bTaTamm4A3JSP88G4tL/hAVW6+JIHDOIB7lwbwSOyMPT+F1UY3jF8j8tbmxJo5m29ZoWuwJ
F3bozFfeun5Xbjl+DuZlWHik+cIolQ1I8lpbE34hEE5H13qb2/DNVD0pwsCOykcliao3Ba0RPtSr
PXp4GIkLjdWFzxpH8pvJ8YBUloXsqhbaq0taSXCPtyCgFSRhQto8+xCz5jzyG9CF4NJxbpv0GHjh
eKMtoFX2TJGw6cXtaN+1V+JtEGkVr3sl38orMVctHF1ltrtsYe0OC39XLUze6crpXdi9PTRfWHTJ
TX6l/tqzTQxfH1mYRQf9lB0hIWaERLXoKlaaULe71nWire+g2ufEa20b2SHt8xFRW9ILPglVTu6q
m4+V6RuHuGuTfR6wveM+ZOzciPI2NKdxV4kM6Is4xc8axcWmzJrxGKQ+qB4eiUsLlGIHF4pVrjL3
AiiNLY2Hxp7cxnIdDLlYZ03Z3GY5Yroa1tB+EG26HqwyvhsHQqvWfTbPdD9M98ZFYXEHW9d4HYlh
6Itjb5JeXRatBCyMawplwyl3mTx6k/5sQyTb1BTQN5oMj63Lf3UsXLO+swqnod0kDNJMGuysgcYJ
+/FvcvC+/2HvTJqrVtZ0/Vdu1Fw71KakQQ1qtbaXbcAYNjBRGAzqu8xU++vryWW4B8y+Js4dn0lV
cOxtSanUl1/zNkQq2b/xII7eR0GUwWwkM8kCFGG2S7cuxwTUCXKyVVmivYicuj+H0wkSFvKYcoTV
ExVk+0M2o64YywPdvLOm4W21pss3uigwjGnAH7IgxVUTObkBQo76gh4b/kIhFiabTDTOrnXt4RKG
ZEULK5HXeTV84mARh0lX40Wz9hNfKYobK/TjaRLG0FR/cRtOm33oh+rar5GQH1Pnbcpo5MKz0MGj
M9ptZRMVxyrE7QYU3oVC2mLjcMDuG2Q28b2wxgsMHexLewmxBIvL7FJM/owpFhIYQk/wjVsZHVQH
kXAInfg0N2FOo666S4yTRKjS8EiyjoYNyoHfBnpPRvopAuveEXsnZ6xom7s97R7cTTaMG/qdPXuv
pdMa1zTXKCP6y03WpaSDuF9sy6pDP2Et412AXvnVovvkMA39CTmffo+YlXoEPI5GZN1NjAcqOBEe
LfJ18LNLucafIwC6l2kg6ZZiPjqU02fklYe9Tcdsj/zHu9aR2WUkVXqBBrG3g2d+OzrJnVYNbje1
iybNMAZvIBbXB2kp3FiKu8FW1pspK17PrOtVMgcuX2N1i2jUephFidEGZPzA3ohRiUOwAqn0EUhr
QFMOOJbS4Xjnl/TjpoF1veuHPBVXNBZpuC3KTts9FCUU+N2zayM9nQXvMH8yfo5otaz2PktiimHk
EmLrw6RQg9vlsCRWQ4E2rI2zUeRcOhWW7yEoOyMbk74tyzYsMK1bSWVUWfmMM2h3baGGeRu00KFH
2A6sggWlu2CD6Hz/ym1dK9t1hVz/9pBj+7tu7fkqhOl7GvpGHfvFmvR2rMNZbBEpGBn3lBOhv2pY
AwCCF0tt49pQEzGj0hIPC8JM1BZDcQUFYfA2AYIjdwhO5Ve10cXELngfUpofFpSHHpGZtY4KIupr
tUT9ASF/5+AhHNRs6obwWtLzksi9Am3I7DR9jx0CMqSFIdF3NE1g4nhoDsgVv2x7hcw6wZqZNpxu
8JVbv/NOshuQxtGu7JDRdZchxnyqGO1DoDjbNtGSRcVWhWjDrCWF9qKcBmGLSI0D8hvAkqustC7h
5goSvwSZEEYFfvzKCSyht61e+/xQBnSc2yhm3Jh5A4pZaW8jSolF5w7fz+JNlMn+jubxpBivLTkC
g3GA4l5CBQvK4mJ1shlUdjmP9sZeZAieUS767yqO412iYue6LqLayM/My4fVy/0DmmhHD8FA1M9W
PTAVaiamf/Tu8KBFlTHFDhCXhFyhDjFb+FgspoglA0LFqhYuE67ct//G2snwwbFzxawVEcMDeqkN
lKJS27h6af2B4L3uPRbpBIXvM/R4dMdCSswNbxTwbVUahY4YWuN+0kOxbOQQuFutwY1ufZHVr5pe
AesXZYZsY5DddMGEnxZiXNfTEAaXIos6hPi8KHijKjmUe0Vv+ugD2N/HvLSraFAAtKvGXx7nJMo+
xeTc79xFhKfEzxpGt8sYXiuMRcQuSZ00vqntwNu6S/hB4wf995LQJRJp4ONFsKZbdw7sS8kIFXcL
7Cw+ep3PKBjMN4hVwBacJW58UxXL8tXFi5yuYO48EE/zq3yyHFoIvvgwjqVatqWsw+RgYcUY7bSN
kmSqa2DyjfbuwG17+0BMzaZlfrtnuBYfwZAP+wBZGXoq44Q1WDrdKZRHUD2egIMHqJ20+Cg8YOY1
9xu3bf2DkyPbivZRB6LWHTWGxAhleonu95bIxMEd7fAR4NJ8DSRpvY36tXvbTWBGtsTzAslXB13K
xq4+pI5dpTApivgKjm5yBSXHvrK7BJwT+/Vk96l4460aM0G7ay9dGsd7azXyW6Hf7Rdclsn9bXyJ
ggTOGfSektBcN4dJdMGxqKzmcrYhVXQYON63ML+YEsq97nqspFOm1YUB1RcGXk+QGHd8gHwsIYpG
aiTyeUaoPTPQ/NKA9JczXr800P3WgPjLM5wfiYB9VaNZnRqwf3bG/YdnCoAhA4y6nR4xqoAh0Bmy
wHjmDUyGQnAuav9T//+x/j8DKF6o/3P1pW1U/ivAU5z/q++1fyT+OsPEKPxR84hiG+jL99o/dv+i
oSWA1NERAKxhsH8/av/wLxtcM4ZG/MSFXw746AfKE2OiGIw749EzChiIx7/BYH8OvIkhIOIYCWqe
v+b8ZsoAMDErUaUVT8MmWeMhGzi4LazLQtdTS0afPzVI/gHp+U8XpBkCztPgboTzDFVV8tSd29XB
yQvcaOeMU35cDXpNVBHbnJPnDxC2X1sbwLd4wNAXrBfwSiQEniGL4kJQ0gCXPYVtJh4KM1o8D6tU
AJv55UczYLifsTdcilcNJDAIYJnCJfgVxCTRTkyH0vFPpZnB50geXgR6pTUpYELfajSE3oclbmjS
DGpfvvQ/POWT9xVKocBonzdwpp7IYVvSPykXWFoTwfHZUIbS4GZ8Vv8Bh+c8h4/yoOxAxC1J4oFz
PAcZzW1Fn2jO/dPUAuZlBMxEAlFGm2HYqEMO2gYYTnaFWRDjzkUyJKcH2jK2nKscWAMJ+x+wer8/
Pr2wSAiAXOg6wAr4deVx1mHOnSb+KZooqnGbh5hsA6c9/n9eCz4nwGu2MBvn2YZKaf0gkbP4J09N
4Al8Sz1SW893gxmrvfxWzYb5dUMJcHv05YLQZms9R3rmTONoPw/+aUyyb09EZxfA3ssX+ae1Iwg5
0BlwgAmewxwBtvmhdiv/tKI5cyqikWFmJKhAHGZvf0I7O2Z1nj+SB6XXhebCEj4HlEaJ54wrjryn
ws0Zrp0BlGiJMX07s7OjvmQiKhY+UgM4XTKNuP+IWfTLz/wPOxh2NmHPNp+qGTL8umESF6JKIkr/
NGMKduWVDZ273oxGOkuxQxl81vuydJnVLesAkvn88cKqz49EkD8h0P/pDfi+B33dvGkw8L/eTFnF
Yq6RUT4p9D3uznOqs7gDk8x4//KD/9OlYBhFIGg5WtznO2ruIkbsYe+d8oDljc+qFlZlfHciQ/d/
+WK/hnrCN+LcsR3GPicLpfLzi3U4BOCB3FlXaCExIbQs+jmNB9BlPZP8EQ2L/rCXjXHgT9vLXBJR
w9CovrCb/d/A/F25+i6A9/jKphQ/ovbAoE9JhTvNZIGVVhjukM8zDaTgAVWQoh1Qgx48hVbDOA/m
MJa7PcffOYI8QT2WFTQFnt8WShm5gWW8vEioz/x6zxz8mLaiHkMr30PoRjx7/chFFf5MAXelKrtG
6QgF/zYX1iF1VDlsWrtewBQzLJQtXPyiW8Te4Y+9kYArzgx9Js8QXYm9SZDqx9Wr9ePslmzdp6m2
C4Yx2zEZAoUROIx5N5QKINbM0LMSyDbYBf+ZNEiaEEq7hArsImjhFv1HbVCr0IWxdC9YwA20/eU1
jiVgiaCtxO+RybeKbRYnvXPhqIA/jamGnHZ1nCF2WUlUVzcpHHpxrJqeaxiAytm1vu+N34k/+kjn
0a1E+yRr2SGdzwgVzJ5ejxYjN3F1xuYqndbg8KTTZFdUp/oRFGn/MewYUFzVjqFd0cF9bbnaQrED
vlP+yVliXlm4eoKCbQIf8r5HifZjo0vxUOYuu92nJ/2wODEAuTOJSowAt2pgUl+6NXEvxj7s76TQ
NRR9xt5hnuK556oYBdQpRpqdBgAAA4vBwAlMA5jfBJiCN/usKHDh94vv5sczQP4MHT9PqDVCIwAI
0Dy4g9i/vndHoGVdbOAAZwssZ5bqsaxTF7lFD7bhqhLI79Ei4/dDh0Q0qNvFu4yThr9Sm7H7qlk3
n84MdBFzoiLxGR2QWas8JjSZLAzVC52+JQzNoDoTPshEeuDhVWYSkzNG/wy+s5HCuCtB087IDFjA
hs4AqT7HG2FH1zR4CFE8BMVUFB3tjxaZo+1oJ6G4Oo+SLfAtSOf7IxBxdzYEEC8IS+RvNeeiaJEe
ZwenS7qv18i5zSyAr7slqIFkAOgDuYAkBOeNLhmObpzGYy+PjHzfK/j5UBj1EO1obM6vOyfiLNJ0
443ZA+fyBkwt8/3OS9ebNaTJuHVyINxj2wcPAjQtlJ1GxhXFnyPfpt7qXqyIQIc7NxX+p2Ycm/sI
LcYbBPyqHZ3y1tmACXAiSk9bXuVVi+VXZaCEqppnpHZW9GNtlQjQOWs+bWwBLnYTYr94G9k0CWs/
QzSyLuN4S1OKljrjLEjr63JfxnYAcz3rOgQEkCBs2JPIr1K0vwEygrRhkQw1gAGpv0X+2l7SJRpu
YxEgPIyAAnqYQ0lk2q4G1UWVCrNaQ/j4IKpSqoMKFvEFfy80wnEYvAbqLNODIXJMOMx0cPaLtsED
aWhvY8YUiB+vKvuUGgRu2Gq65xTTR3CIyclZdNgfIzWJjx0IG4p53A8wSGuvPL9GamGe/PUTVOSS
Wthdt4qWptxFUH22ZTk1nwqmUxrJWyDfpS3Do0lG6eDMYJ53hmKw78kBNyPoq0MdoX5AYAIFiP70
3UD36hI6S3dZSMyQl2BYvqKWOeH3lFuYirb1h7wc/S3ux4jMNnkJNg3vGNoHD6H2+T4Auu0SF4m9
YZTOoaaML2RkgT8DsMzYM2lR+pAo5NJkBn+KxIEZeeCmTW83bc2b76ZrMt3oAp2cJdg1+ThtfNSd
AQpXcbJDH4FeKTRq/IKRilrbhdFN3Q7v0IhEVXNs1GFgXgVSzP5SoRf/Ia5yd5PHznxQFprTQ8V9
xImu33AqrVg5Ed6vhd9PGKrbvNEQFsI1+IPmNZSvDqNsZlVbS5CRPZxhg5Zb8EkoA+3ct53GX0XM
BkbCFBEMHdFWP6bSJiC1a+zcL/bKlrU1SFYZDnBOooGmz77MMywNdNvbYMiB4q5boP8t+o4AZs+I
l3CBt6oZvYDFGALU6dHkRj1MVuavOXOHTdSZhwdTwng5Y8FnzdRRCqcKTMoZnN6Pnc+nP2QB9lqz
Dy/sDD7tOrat6XmY8TFYnY9u26fkc9kAPcZr3ZZvPlN4NdMnjLpvSzf6BlqM+3eFDNa+KfzpK5yU
PkVU1Qr+Bs+PPUkWq4uKdk62aeY0Z2LmFNlnNeqHAljVPvDzNN0myKSoD6hxDtbbfO3w04vcjDY3
aJmtQF9zn01Tj3+VWA9L1HTvYDKgURuH/vSOmXJ9B0Txm1vhfYNf2atSuwBXRIWzthvjWu4jzvKY
6ix9XPN8epsOIW+OL77Y9+CyYqCIITqsY5Ybp9lKhVdYtat2N0+oauI9TRzflgNdsAsdz/bJ79vl
plc0z8Q659ZG1ljHbARvoWDmBsoU+aq52c+ORo9cSv8VKlfVqx5Vl7s6j/qtbB3GKCPq5DRivc9t
LMaTFh1tuSBxc/ymIi/fMqNHCHZYJ6SD+opwEScBQs6RfwVd4XOCYOfbSaclPLrBvpG08j+VkyjT
rUTmgrMSgY8NGLYUV7Qlv5HMuq6seIqxABlT9eDmU3eCtR7vG8QNTo6wLXgXWtXy6BDyEB9qBrQ3
HddNNrmPhSL+KI13L1DjvxgbjG+7PEuu7WVY3+gM14x4TKePQ6V7ZhZK+fnVnM9zsI1aODaIaOCQ
cytmAG7HOBsURjCNdV2Ea/sO+0HcGKwSMSjT6bVLcFHRdDtxwn9zxl7dDF03HtH+Wk4QpWvk2+Ms
YfroUF5kBLcj7kBODqS8A2ydjuH4JnVHuspNkQQd+7KSH8tZe6AQquB6zl3CKCiAWG/7bmymnYut
S8IgtnVvdLhg0AWDyon2URX6BEQH2yxXDMkhtnr0uDvwXb7fo75aCZSvhjC/U5gLvBucRb2PkPHa
jzMWmShsgooMcbjybWBvmIQV4c7rphAd5WTN0JDWnEPaXsZtYo0o0vss1etxpU7BFDaUqNck+Sv4
YfM7W07WTZBrJkW513uHyPIk6htdExx6FQb4sLh5rI4De/cbQKX57y7y9JcpSMLHSWiRH2yA3moL
+BXUZdFWodwkEbi91bT/dzKDzXQR6u5bkGH6oApoBZs1V/rKm2bEfNsWc+Rszvtl40NB25aczq8s
3OT3ri0SjScEOXu6LjjkQN4x9nwDmnKncsC+BzPA8UMGXh1aTboWr8CFhfYmYZL7qkHmVINUmS2I
wx5vDdkEBwOCbqrm4f2MGxp6+ed8/T+90D/2QumS/VTa7B70w/95kgG9fai//vd//Q0/CLb7Ly6U
4vzffO+EOsaGPaD4F9BmaTUYPNMPqrvj8COD2f6/Nuw/GqEBvrS2C/zJp4uH2gIV349GqP0XPb0Q
wlsEfZt61v13GqG/9lpoRdoBvRbEHBzXh13vmcr5JwhUMkxOHiT9dDvUj6mqEJH9/NNqvH7qcfxM
cWexfi5Nf7uAKQN/uoCcvaruZi4QFQTOCCvx+CEfb/MYkPbjy5c6V9b/6rLwMDRW6K4AZ/ZjJAGe
dxQWRzlVQJqMsgnOaEZGBx1AW+AIFrllH3xSxZxGX/COjTS8rs5V1oq2TQA/4QoGYJ/WjzC7Iny5
kZbI7Dg8JjI1YMRm+JqT8Ob19SB9hcgX1N/1slJxkUg8au3lhC5Hm9wvvT7Q4AmuFOPT1wVoHIzO
iqRv9Ja5DShYT2Ia4I7CYh44jV6M3lVV91n5FsGedIR8xxwuJD9rI2acOZhKLBwH90pSrL1b4Hif
qqQfcDlDs2c61EQ+rz6F2KHvAoSQbyOnDKZPVoulYWmlNbKGTD63SIr43ivfCrv1VGjE4N9OSB76
zd4b0ySGe4aHFfaSGMLJXD21hv8TNf4QNfjmaWf8vwco/1PBWmOC8BRILh//+7+e/osfIcON/wK5
DRYoCmF+02r+ETKIHn/RXkLalyZWfEZA/pidhM5f8Gz59RD6M1xxM1b5HjICfhQweiDOeHRugWL+
OyHDe9YH53ZgFABxoQvOcwKi/PWTBm631PVg+18ze+2Kb8hkJJ6NEDbClHqndeEu7yFg5/qgFj5+
GANLEHyZcU1vrnF0BX9z6CxGrIz3Iwtl7iZOGEVjTlNm8ztp11axAJ7oxCo2DMrT0cKgbez9cetV
w4KNItwP5b5yKPA5jFObLO5dpg2jqYIUAmXdpw3iIhE10Fw+egqbkwCcRhHEcovFlhUlh2YsFK58
aLUl5Dw/vch/iHfPW720s0C1OLA9HcGH5T5fHTyYHEDea/C1U9MI2q5Ow6wqN9L3vPImTpHJtMCe
5U39rRcyX+59Iz4hEcEbJM/TOFM6v3v5ltxn3WcRg6hw4H2jF00TNH4+JjGqn3WrZPqIJFFQ3uAp
mpZXqz9QUx4zS+QTxtVhDkURjl8XDeDnZli5mFd0bfnQYmfW95twINW/QrVX2dl+TdIVe6lq5lXs
Nf2w9X0mRWIBHoLiJ27XtWTCtq9jX6GJhzr+gG3hyw/168Hl0+w0exAqkB1g78y38OsmTLKSsoHq
6qs9wWF9GyBl2d7VoKTW1y9f6JnuBRcCk8LRKFDMY/GeSwksBOh4pfx8BODsOt6+g4bk2xvX5guf
vbDwX02qDcj70OGqLL3tnDQc78o8aIpvL9/Jsy62uZMAai3MfZq9Rgbq10d2UH+047kQjyNGo+I2
wMNRA4WpLXAMVzDJcOj6dxeZti1Nc7Bw4LFZhWc9WstJLRCoofelGnrZIuC/dNaI92S0Jsv0h2uZ
qPGvw9u8UAKX78QeGz6Cy//sheIsUpXIxLmPs5MC/v3qAgfNMBfqBvYdIppmiatFDMOfhgO/7SQz
Y0IXQaBEQSv9ubAUvE0lYY2oLzPwFswAAHVG413iWjmr+/IbdH5/hagega4H/M6Oip9nKEXbOuU0
uvWjwkSuDi+wkGreVa4mRm01pN60ezXHa2LX120uG2HvgzEr1/eFCrvO29QVARE6DgqP8RvALMzP
sd9s3Oq6hHcfLSDbfL/+05zmtxcTRE4QU3TzduzfZ+VOXOJZ7NrNF6QfJHeBUlBZfBudxYLX3tYC
X4YEl2id/Gmxfn8xdAmZDDDbNVpBz8NWYjn23MnA+gw4xaH/FodBTi0WRl0m7a3jYX9SAdP1y/AB
lRJ4urteShl32xphjfE+r9cJqwMa/qv+nOLmFh882EPLKYCOBqX05Vf7nE3gwyEA1H7+TEgnf5fW
CNKpk/Ug289ZlDNC3mCDodfXSsySTbUutIPHY6xoVd9aXpLzNanG9zkMGoEVHwZupZ8uX9iAdfFN
KJuV4fiDLom4vuOD73kKwH7SEV2CeUjFB5XG9NgMNq9kp4KfV7ydBqVYjuGGgSNvBJCvCdEWqqRc
0CWHjN4kWafnj+tiUogNJl74l+6ABnoEeSQ9RF8cXL8P+L77bEJdsgPbXX8V0+DgVQX2TK2v+fzj
4EMDVW59LzEX4R6RjYkRgXSawfnAQLUrcJdBoXV9v2ovHO9H2Yvxjvy74nezpiCCbDKIirwzN0NY
q99QOdM52hZeZ/GhJzhT8jAtVuw4lSF3IZpgo6bC5TeFw4AF7QIRqlocg3HO9BuNcxGH2dJjCKW3
ChRRuuyLNObSFnZM/PqKWQtXs9KlE7dw2/L+Yx/lwXiR0MTPbyof9t5xctTcnLLeWoarYR5m9tIc
oTkH9BL5n+UUjfj3AQNMtDkz+4gWrLzool6DyGxx2sQM6vsDBAUGJdOmAaAhip2NTxILGtgN20/N
qQliVR3aVr3vaa/z/yBELTVgxA7s+o+/0Xc9IycvT1CQ3LLlWsyNvGwNWIPBy3G2QzSZSdTV4rU8
U/q0qj6taVYuiIA+Gv438K0r9PkGlDCdLDZX9CgFCrqO8HRhzS4hnbgdgd5slzbWnFpe2TZsmiIR
RX3XYLwCgLnwjIjXpgsKIMOYD8d0TXepCy1/YQJk8wfpvztJeNCpBuxyZflzvnzp63lkDduZ6QZK
nARGJ3kbVaBJwKjCqK2mS0RhR3hv6Qq9MtoVzuzxswWvBvMQRYzKx03vJWOT7ltLmvceuiNRYC9X
GO94sjLQ5k6k1/v8K43o8YxXsULNuNi1S+vzKcDNjPiXlWoYuiietJpbwuHaXGgaCnMvKOF6vtiK
EIPdLyBRS3aKtwrhX4wi8ri9gqajyduSEdHwWwX+JviAhCn/2MbeEnJbhR+bNe7HmhUc5mlgOVfk
+/lLFSmgf0GRRRfwkNrCbFGTWo/3XdTwf+mXVXzAYQHF/JbUER7j3p9yvvNFLqsJHhmiEg9F70nz
Sfux+aPS9h3eRKDIG+lyd4433oc5ggf1nk5Sp5aLcbZpSN2MFMT8wV5imAFHklzM7Grcy6TedSUQ
5OBijjBpRjDHvo+zII/HHaSp0ESmrMqK9UBn8wBPMO28gy6X1IdalOFlAFHH7tbXwbLMbP9IYR2P
WyfGuUtDogBG5lYE6MpKVJ911dtbkRRe/qp1YIhjA1EM5g0zeFhs5+DyLY/WZa7A0jB2kT3Mq+1c
KWVNpzJRIfcIWIJ30/sRXNqHBqQuD9MkxZK2b5laJ35z22JmC4xc2DkcqD2BmHCzp/FXLDA4O8y+
sZ8ibwdwixKKzi4SrxiClKq8JMyKL+vE9CozwXbhmeMCdACkKZnNWYYPZ5sNTnir51iZzYP7t9mJ
2G313aFcErMv7WFW7KHEy/syPWH0tPIzcJyDRPMo8AiVqkeuBWxSyfsAOg7veuhvGT65hNwCl1re
UoO+EWdBu9QTfwvZLxMFGbXE7Fw7x715PNhwAPhNSpien2mZmLhU2mM9v4GnbTLCjPEN4anzZxoN
J51ZRIeRVeRbcFyt2FBjLz2EMHj7/RKcImQU/IuoUis3ns3WwKV9hxFJdyBcchyNSxdyytc0hPny
Ir8yh6zWQ892nGnzt5DVI7kQHyAyWf6rGSwzHF9CVOBfdD1aatkekSNkktbaNSmWMa1avtRRTzXy
vQ4h6pvFmdrea+MjVqoRyOo0KyYEgg0fBG/VKPLSXZ9MTbL3bYDIb2G38/A4d1ZEeyNeyB2HBQZd
4wFRn5APuxhW0umLCCIeK/h9W9f5ZH6GHI3Hxl1xROLO8YQx4V5ZEYeWY7Ervb0XSqMpTCaa2nyf
FvBqvfUZAIY42WWI19y6yBgCd49LBr9M3p1FfEL2A7l8u56r+9h1Y5znpGSsfCWaboTp3Y5D96Wr
OWPQIahxE8S8FTZS23R5/ykn5q6HMmza6tHH4kRi6oIn4MO0OtX0ao2xmdrgoQCeACbu1MFZQGkA
OZ/eh2c+HKYpiMZb2WMoaCT07dq5RjWDuQ8Nr9HZ9rwjYO/tDHQY1gouAD50ClxwTUq/ymlBT4KZ
mBtvAGAt+iNKrIP/VlRoCKVQdvwSse+4cpekBfzL8yfs0yTVlzrjJKuwiammFUpeXq22PCTuCp98
5uMYNkKXN8glOd1hjMMUqwgStPU+xW+s5eBDM/ZKLcsQbTxfu852gauJ27pItYp3gAjCgh5WSCcr
Dar0InQ9TYPMntZTAtrZPjqTk7kHRP8dZqWamTj44sQLrNdd2db+O8DkOPzS7QuXrt/HkBvm+1nP
nr6xmB5bd77lq/W9hrGNCrYUQr4Dr53CtKo0zKDuiEciIj8be0TxZRfPa1Uek1xDQV+xgKsZ2+CD
4WbbUK6qjz47APabx8ztUEjblUIv/de4CLwBk5+wa0MGmCqg96iTpg+i3VDaQSWOCRKY4hYxJKss
j6OgL1llXzP0tDX27i0UULfdofFtiHxgJDzLKFHxMMXr79m3vSD/7tyhStIycZza3ByoXe1Bz3uH
g1vX+bsumWSC2o1tp+QoAOgDsrEEKl93kPNick0I1Ui2H6U3j+ZYiQkkfNx9ZNJHyQHO55D5wkS4
OrBNhokCI85Nh4JWJMRYHqybotPapxYpaZD1I0dPkNUFpwyYhdRdj0Ay+JsMjluT/UH5NpVDWIC3
oxXjj3UVH4e+zsUHPEUAHx+dDu53fEwtTa+hG/qAMAm9kMzeEE069+i7cB0/TDa5mwWlcuqIZUWU
m0MjsaYEcz6vhk2+H51GrN5F7LsVKVHjUmdbl/VQIxBs4A9I4CCXD+2QgAgbgDN6ijyf1ATVO80C
dU1oTk5gGzN3KtMs5NpDiMAyUhV+AM5o26Khxx+zixYHn42Cp8T90x42cbL0w4pfcQsn5o6apFOO
fIhlbPLVGGcfMDF6kOIzo9mmRQmiCJtr7H1GjkXdYfvnXTVdaFIWlO/NGkHmFdr5hkgt2oU7HHjG
AbAXIBLbAZKazKxtbKMaUt8QwxeTIp3bPULV5pT6foKBS2Udy9Y2HQsoiebuHS+xWEhmdEXcHpcc
v/dvFQqjJK4R5wp3MCgrY/v8WIm15xPaDJ23kpEiBcpfbGstoE6XTrNEqAjBNWbJcuCI1Cz1nAQf
kDSk9/T0GjkwHec95d+g76M+QQXm4DF05R0NjMOxXmzScpwyQ1y1k/jjWII8KS+yTqT1dAnOWoz3
K5hrnspZO9N8khKvpuyysyHbOhyUaJFM6IssppCPBLSHDzX9Omfe5hN4DQ1byyVLSd3EZPNj20kZ
XGAtq8boNR6qbptfC2Zu3A8+5OY78Dxp86gjvKTxvlK++URgMpqGF/IG/EIy+iZRcypK47x3zAbz
kiHv3WPvhkzvd+nT6ZqNY8qhObQTierW8zqyQOFJk29qYfZjgokTmbXNChTf4Is3/IP/3fw2WYlc
X09VFHJcOhn35W6zDFtmGqpiSE0y73Xmbp8+j1IHvJdqmFpeKpBAT9fX3kzv/9MYTSkqGmAmGbXi
SMpeqCDXkBMUB1/6Zu9WjRs3N/XkpPCk0wpWD+YD+GB4JLUw1Xi3gzXWXKtZJY9gG28qmhWOSa1j
xLbGOwacuXwYJXC4GobR0GmCyzL53rU/ObpsNkngss8QnjBFIFgGKjawF+aFKB/+22sKT96zXoJ1
OXlouzFrCeNlZqLten35MGbOzKIkT5mPSu2RXEO1keRp8znGHWP/vSKO1iYmMZjT1Kb6atLe418p
NYvcI7BnzV+8cejX17Y12vYWdbiMcmTMZKqsC3DB3nCPV7iHJ5Y1Oay/BXfT5OwiMlkY2jWmyIcB
ahL5FOTFeJ+oJOWt6ZqGLjAI2OqgpOQYNOQocdCu71l1E3FXp6fmveyZvyOUT/3AdhIBl6e1l6wm
VHbEZHHRhcGsM7ibM1v/AvBfRqlSRuRRT59eM1YmtaqsGgkQpO1Aq/c7PY7YhmEDM5n+EdCcxWzJ
0I6m5pWNln7TsyCrqbiD2NIsJHwi84lTLafdjQAqbAQ7pyI9JlmDEjaCLau6BF/jVBeRcqkpONgs
n/wAZA422AcQWi1/Jva1JFYVfWMyUTP8Is5MT1UjiktAcy57sFkEKRL+QWwVnSu32sfpaKrAp8Ki
SlZz0+06T0u65Stb4BToaKXi9ceoYKNTJNns/ilrGl5pDqWfWx8QlU3r/ZwNidZ7a8ZY+ibsaI7w
i+vCjgLtaQKW5jVa+OKWKs8bfNJytTIZyLymfPDa2VToy1PkiGdlEt3aKc2ufLlr9LwfSM8IiWEo
Ggx0QoSpnzVYo7kFpgmR6vOcaFNnjiAHs2Bn+QgZxBs1SJ73D5d83lUzl6Q8RQQWvGBE4vRrF3np
miaytdCfAzGZ6c3T1kBNwXR2X3663y+FvAY5LloCLs1zIyry8+zXRfWTUaXXfgb/YuITjHcPAcmZ
YE3sevla527gz/1jmMu0qaHPhJB6fp9KKRsljKkqvc+zVyMmehqyGo/NbaD9jM8wg+PDWbiKlqAx
oKqnaKKMVR9VW/Bl1N10IcxkI6bkNbHnKTJ/n300MjUlQhMGijMhFP3Ev16+/d+WyqMtTGLrQCF1
cI0xP/9pTD5L9CXSKQwedO7M3AcHlCkLOVwpoV6+1G97DtUT8AbITMb0VaPn/W7SqNxtSKAesP/x
huUiWRBjfe+soflERJJOf9xyz0coDi8mFC4MIbqm7m+0A9krL0rp3z9gGWlilEYRcn095ET2u9RF
WmLZJTH5PsnEwr+/VpjWyFdEuzr4AwPi+TIzNQ3QTDdTVT43ZMR/XWb0O+ZxilPvEz0JSkd0nehS
RQ1I9ewPL/T5KrvQy3haD0ZUyATpefO6JDGMPKdwPqHaEGIt1FWmNM8LKrULpEZM1vjya/0VaMHQ
BEn2J1+QgAkf7aNfH00X0UowWeQn2TAnyvYSSxDCHEFx4b0msq8QWMtytKziLTxQ9Ov2L9/Amej1
8xdIqgX83QbpjHYPj/48svhpVjld2HxCX3hJmz2zrBV2L+5FcXF8SltGmZnUGIcHE7+/N8Ut6GKU
F7XAczm7nJ4Wpy5AuNGvCqyFr7gFukK1sFbAFg2xfUIWdRd52oqmTe6UmmgdToE5LCGZthh7ZYnN
h48KIzP0YqfDgeaRM8l5yknfaNHtI5J5V+NAM/Zw6tvSMrmVGsF2LggUIt1KGxkwOO9MdDm5Taiw
D+IsRp2b2wqfGvSK1J6oCWXGJE0FsBJzvLqOSZaToi6IJDaQR9Y/SgtJZ9IdZ8CSp6wpacu+vPy/
bTgIYLhWBIAjAe3+trUHKosMf+zlY5v1Hjlr2mlTAsWrNhnA95b1y5c0X8svL5xQG59nNDAa0Yp/
BgRgUIZIg4qmj3EqTI9xyGNR3sAHdUvr1lY2d2DwxANF1AzckBfxv9ydyW7byBaGXyXoPQXOw+L2
QlZsJ7EzdGynOxtBsRSR4iRx0vD09yuSSkTasfu6siAu0UAjsVMkD6vO/P8H7IZ4mqcfo//mwEdA
3MAm5vHaFN57RjRheNGWb+n/E0JlEL8N4qyIb/Vwq2dXel48A6zsaxAD50wMIjBtIKpg1Hqb3NZU
SKLXef61YrTl4c5aOWJbgBIQntXT7yUazU7ly+pMO4A9BmwfdoFur+6RXm53ahQllX6bwAboTqak
L4vlOVC8gEg3WG2xDmMK3jH/c0jYsC93FhSLBGsW3JRr0rqkYAh5RP1+vWWwFnmEgykc9WBJhOLD
TLOnHWrli7TWThFpAJfhyBzCyrVFmjiMqY7cVADXeDkltLBFyyX4D9RKBfc5UZXG3InNG0VBj0bn
9LYvzeunhdCTNzJg1o+hck5Nx3hYMbUA93ixDX1dGa+EZZ6mlCrCsbJNiZyfvpVoquvKGwVmgUtC
J2AWH8CotumanKpmTm9cM63vVVqkTsOK2Z+YJlQ9KqipvUc06SCFZJeILGn7p6wqRYZAob/K+tsy
HZHPJBZco+n0GGLy7RslXJXK4SrnqNpUsNZxuL2A2pmA6TVzywiPA2h3CUvawh/VIlFEUiA85uwc
XBWGr/MqhWuD0avWirswvhN32GlSE3TbihyvYvniS640vJbt2AGiwncvskAkltsSGieSvbui5oHd
m8IwwIJ7Ld6SAnlapG738zmOmFOuq+CpPQtb+KAlb8MbVC7cA/dRZTh/rzLgK+c65dFLO3TXJjl+
vzgHseO927tBNJ2szWlyGTOb+K6C3LsaJ26ZUDRdGmNP2bv52PaLze2U+DWnhT+v/DPfrfTLwFt9
iim13Yt+fHDHGTy3Z9Ry7A+VNU3f+fAGXmOR/INgsq7CiZKvjC8H6sgVg2EZLAVPsKeaMMhb4Z1y
UAqCA4bQwRLhZR9NrBJ85fDqXjv7rJoU6/3mNTXx6M6nhg+bpU6VYLUuSOel4ZYSXqFFX+masJgE
WpOcHjaqRvNy5tzo2OfZ2k81C8Yc2yeFsczzC32VMF7cMcq7wDB8+qBUxUwmjHCDoLIEqRUp6+yz
beY5btG0vFztytU5ZYL9mqnVFJfPdluP/vnSjKu3dGG/LrYeWA7XX62+lECHyZpPy3BSML735rAq
SYmZzH4j26eYZ6qtfjKLvfpN3xf5V4Aa5q1fWkwo3tnxu9DJg9dmsA+eA/51zhgbgrIyyszCVRAI
/347TUr6x9lYy2TO99p9hCU/CV/bUcpsdTtT7dtntt8jN2OECQ1ZOkPcuWVXgTITDdcu85I5wPWY
HqGdeqMl5FfHcRxeV6ZREv8t0/gTJUInfMYfe7Dz69ekV4eSDUq83wdWWrmXhmYWzzdJQuAKABQQ
V2xoNL49/ZL1Sj/NcC1SsLz05zBLSuBpe2Zip8ehXtErM9e2KWfG0DEX45SAh/mkfuT8lejxVIBA
lfVYjSxvDfx4HUQXVQDf4A7ebcbaB4X9IbMz722ibJxb7C1oI/KKxV0c47zoRRJDe11o5idw08n3
GNaYq4T07KdK3+tfvBVx6lhLNZVRqeHygwEQ0h8rTmyTvQmpxWmgBy/VzNvPV+myoJRQZufa0lJn
KsCCswPf7xlfqNeEh0iEG4AbhFwAXOt9l0BTmHdquvvD3CyF8P3A8C+MdBVd7g67WaJ50T+G4u0m
pb6k6LEBbn5pMuM1mTz9ZSwh+c6XcUSzpkk/CFgqzHjPQdLCaUz5wHfmy5LCAem0LBzvXDrCJzlV
kmJSmRA9OnEBeTaEbzHVnjS+TMlbXTPeoirGkbNUPhy0pXlpHCBihPfR+wr3F3M1slC5DvaJc7U3
9heJERs35ECjD6nCRxvbFMb2Z4diR9lllebTM2ftOQzKJPg+h+Dq+95eBe8NB7pbcGvWJURq6w+x
VUQFrM95+W0f+eUtuObwk5K4GAh7p23PDb3YlmMDlMzNNvIgEPI3cNdX/o653FWxpATgrDYrCiHY
xM+mpbhXgb83v2hktZlDG4bW7plt321L4hMjW5PsAv3xRLNOH8BfkhLmuzvT+SYwrfcKI1Du1oGx
h0F2k6jvta2gvHz6c2rdxtf6lvgGhDi0mNOC158NR8N+lMWYzgXIP/MtaTOY1ablXnlHonJ1TiGi
QNMzS2W+hizhLljuiqsg8NRPSuUZ508/Sw2P7m4tXE3Up+5CK2Br/WbAbBtbubtMksVyR4GBuD2d
fk2zg19NNoLDb6PS8T4u4xSAKVTL/n4CI6F16dMOOyFP4nnMVVCYT5altvN3AM2cSP2SQk+U3L8O
7SC/3BjG7r1d+iDXLGdpjoHr6dtxDjrUJ8PJYO1xxkzNMxcu6fWFgljOV2GhXHu2VvELW4dJ8bm/
/7gHRJlMVlawPl9usd5QYAXhVUyZF4/SgKdjHG2ihJYS2DBfVxQ976yK0BRfJP9c6LsEnsLIyGAG
p12GnUi56Mwm6/fR8IKEkisddTsqmtSVCjuKltBgOevrLax0IJyCtU1fraun2hsBDs0uVCiSvxRZ
GvxdMkL6uxlAxgDCaTV9LvH1UP/AuwdbCL47HBMMJeqpZEOnEhrutuECflsViN3WW32jy2NP1ZBP
RkzlzA95OX1jJ8q3fbWCOWpvV+v4BRsWYhncZoPOVSYj9tIddErlcQ5OeDGN7X05qT+IfSj9CIpB
uwB0X3k3G8ZknoOJnb5ee9PdP76bVWv2CejGp3dsL0FXnx7XFLllVAe9lv2OXdg7t1UKC/5i6aj2
542t5X8x8kiZOCR232EXy/dltCnerqEyeRPtDO26SBwMmRMVu48Bo4xoSE621VWglMZ3Ouc31thl
EsHnZ56yGwOIp7TpdwUUo9MzTVDZExljofaxtzHLBVnvzfIWz8KCqFQHRl4yUeK9blchNaX8YLsT
N7PS7/5BdQC4TvX19sJw0vzO8qLllepsw1s9M0sqJFiB82yVRYh7uXLOzA3l3uZD/9/gLNoXEeCp
10kRFPtP5SLb/7XIsUb5kcZJ/LQelHmTvuyXnl6oBVvc7Negtu7TMinEEzAooMNipYusVge4UT9S
/bxPrRCRmC3KOUsb3sgSOTCx1evL+ONVlCa4UPWPFY9JpiTDMVp0r4urueGJiH4lhKffr5Hm07/T
eYPZHODaBDBiFtwXp1gU0ALs+n8jhN4SP4VgaiNLePrE040QMKWnQgDG4hiiS1YnmcOdBvT2AOv4
YlJvb/B2NAei5ejwFldvCwhyNJOEDi5qswVImA9MCHDyyArBHNWBF/FP85Jkt063gAb4ESGRtabz
XlxskaEJwWqeqZnP/UM/PVQGvzwHhjmCio0SHx309cXBOhUCXHhEbBDXgEGor8EdB4sHl90Jzki3
TJv0bHscesqAyt0IHgjhJ0HHJa6h7QQGJBN+yOkEF9iua1nQbjVfui8EVYyxhsbJbrTPgDQiQCtA
xtKvT9mRXU4mu75YsH8Q4HtkEDXnRVyNvAckBbpLpbWBGGJOSp9hQ81LstFPheBYI8CeFMEZo1Zf
g9MGFFhEEk3qJOjuyCIbTAzde30XZeiCWQL+1eyRwZ0ECvOirir1+jgHpAOhbCO4qK+eInANEL44
jyBrhyoFsE6yLpJpjghJVdI2rcrvGUZNM5kQQ0cH0WIt8AFpAgJqkW2S2gWmw1emrgUd4aOqgL2B
LhCJ61Y+g7OJZBMeTAn6Raz0S/fIVEe0oGgmZrGRQm8XuN6I2wij8FNhIvYB7QUez5VViESMuEYU
KFohCP/n1CwQLhApkT/22mBqcBEjiXbBSSl3IkxcYZu9QPhZX/14gRMB+Bm1KXKdQ9sFZKBl318f
MQOe/g1KBvXVCxo9g7yCqpL1bX8+OA+JNLQu7SK5+AA0M0FZ0EihZx09F7tB/oQMy49dMrC9IDo2
JPeC4YzoY6RCKprzOqrAQhUwrkw/qorBuUjgtFvf/eVRM86BKxLokBs9bhYsskfw71DvbH4+vKPg
4cTKbgKIngSMnBGxzVv2zIKnkVsQ/bVuuxkGpxap8BuyRwEXgX52C0anx9OpBA1gqPEQhusoMeZQ
WgoW5D4iW3ai9k71gu2N4JuhzkS/TX0Nby+oxHayJ4IcitCLVu8kODZ7QCPbeEypD08rqnABSb69
qY9IkhEYovvqq2caIYCCxYS0civnAXnJOv6hrJds2hyBusGljYt7r++ZYjioQX6iudOgXt9SZV9f
1BTgR6CvujUGvTNAqEQiHeAATQ/1NTibKLqSZTWACBgN4iRY/pq3RKynetAha4CIgFK0UhqeHmQm
AJ9OLlRiTA6VNSaePB4q0G1JjokMG9Mm6lsN6SzAsCT9/lQXqRYY1Oof3QWUWHGcCCKovNTX8FJI
oj4ouwvQ93SvMH2n3eu9WAF7AGUZaQNqbPU1PKuItm4+zctjBZInNGqbeEaPp5CAu6EYLYwiohBX
E6EO6UQADmoe6uVSwDfA+2GcFTXl+uJbd/SixV4RnFHHYuwArQMBneyJMEZArgiXjl0HfSmIrgTK
LxiQRkrD8xQM6OEkpUDNGbY0IHcQBz+2F8DIjOhrwoy6AzwLAIVk359CqiFGyxw1AtuqcxZIKoNO
o/m9lc/wzoJJLPMbpABNBQnFZhMIvXcqBY8UE5sABuk23doY5SHpRZOjLCkF00AvguWhft8aya4U
SKSN6L0AnDa4owDeq22OerlZMCwajXCD1Nb2iSjkdBNQWRCspaZ9oiqGlU2FKFGXPQoEDa5H+0nr
DNYuwKkUHGcEs6srUs7NJmlKGQM6CqK+IptCMjgKUA0IIs1HzYIrpETRmb6sRgqDU4ugqOW70jTK
qgK5eZRCXy3iTuJEsRfa1rzh7QUTSlRJtSicZjJJuEKtdejphbo3zyG1rNvD2wXkUmRdJAoM0N4L
MoC+h0hzBuIF/9mW5QcXOYKck44cRXkJ7g+PjqwfCq+jEN2R0JaM521VwQClAHuJ5CEQLRgYfgDz
vyg4176BqOa1PWvDcxGI6Rr9JOEi8K1hghJzRJq90POWMQs2wQTRwk+zMSwXgamXAnYsl1Ejb8iJ
52wdC6s9R8mj4kiqhY6kH8ZzaFJ4OKjmf27HIYtA5yWjQtuMUS+jRE4Nb1kj2aK2YqrF/q8cpX/x
Sz+QIGd+EM1rDEiwyB+DivzqF47oh4c/b5EPYtSGgHh0flFAQpp7L2pwivjzn52epbrj6OSHxw6k
+j7tP29f8OGtO/c6vtXxLy+DRTbL7n1oyAQupn3MZrQQU0K+zeLZKTSDM4jF+vkk//mj85wnp+CZ
hR8fP/Lj9V+4bhaAX+s+cA0kkH7gLITTd5YfX72emMLMouOfG1DPS0RxNouC72mWBJ2nbpreZZ+a
2UFpNpunx6cUT910ksuvDErwvgjuy6KzeA3ckV18sohm21m2OF25aX6WXrkFG71Kv79COGX8rSt2
ZiMQ5cje5RypB/PO92zblmVXvlik2bL7yG1HsOzKl0g8CI7vXm9vg3Le8S9evr/fzGd+ZwNqTfOu
7AO/iaIgSYPuiWw6QqWXTubBrKdFmi5L6ZXTbXdbgMzH3ZFd9t1D3dR0wkkvzALlfbg/PmK9L5r2
Mtmlr9IyyB+Iuelakl37ehYkHe1BXV50wMivy4zJWTI/riTEQcH7d3zC61mez+4ZnLkois6e1pvG
DelHD+6hVpt1oaZNp5z80tiCPC06O7ttuJBfO88D/luvO7oJQJDIJP6O1dMy6y8tOkWkl06ToqdD
9KbwLrvy+8W3rD+8jRY8UdOWX7qade0W7XOiQCq/8PbV5Sxe537QNeusL4puv2P9t4ssX3Q0Vdvv
8TsWv17sgvuOGWNxUSj7HYv/k2bhcaVapTT1WOml06zwX53NshRL2T2ctLlrxzu+3LS/r28wmYX9
s9/AU2Sf/4MfdCXeNHNKLxtGeCTdqIY+UVHvkl46Wyz7aP66hCS78MdFkuT7qJr1woS2OCG7/F9+
Ol+8epM/sG1Nk4js8p/T8hcbsS0r/J4bPNyILSpEdvkbpL+A3qzjUrTVMfm1d92osq0xyK57W8z8
44YWOoXmXZG0l132bpHFWLbjQvXKTTpceuWAyKa3vdtUs+zSX2bYHaY3dY8mHdsigyu9+CIvXt09
9vBNblR6/SC/T5k20fHc2oyj9Nq/Hh39ZCLmsUzTD1Dcw/zTkRjksX/WTa6J37iPFrPsz/8CAAD/
/w==</cx:binary>
              </cx:geoCache>
            </cx:geography>
          </cx:layoutPr>
          <cx:valueColors>
            <cx:minColor>
              <a:srgbClr val="FF6600"/>
            </cx:minColor>
            <cx:midColor>
              <a:schemeClr val="bg1"/>
            </cx:midColor>
            <cx:maxColor>
              <a:srgbClr val="002060"/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series layoutId="regionMap" uniqueId="{9910E7C9-EDF3-485C-964E-2E96A96D7047}">
          <cx:tx>
            <cx:txData>
              <cx:f>_xlchart.v5.6</cx:f>
              <cx:v>Avg. Wages</cx:v>
            </cx:txData>
          </cx:tx>
          <cx:spPr>
            <a:solidFill>
              <a:schemeClr val="bg1">
                <a:alpha val="93000"/>
              </a:schemeClr>
            </a:solidFill>
            <a:ln>
              <a:solidFill>
                <a:schemeClr val="bg1">
                  <a:alpha val="95000"/>
                </a:schemeClr>
              </a:solidFill>
            </a:ln>
          </cx:spPr>
          <cx:dataId val="0"/>
          <cx:layoutPr>
            <cx:regionLabelLayout val="none"/>
            <cx:geography cultureLanguage="en-US" cultureRegion="ID" attribution="Powered by Bing">
              <cx:geoCache provider="{E9337A44-BEBE-4D9F-B70C-5C5E7DAFC167}">
                <cx:binary>7H1pb9y40u5fCfL5ykNSXA/OHGAk9eZ9yzZfhI7t0b6R2n/9W223N00n8eD44qJx304wE1vNFqVH
VfXUU0X2v2/6f92kd2v9oc/S3Pzrpv/9Y1jX5b9++83chHfZ2hxk0Y0uTPFXfXBTZL8Vf/0V3dz9
dqvXXZQHvxGE6W834VrXd/3H//wbPi24K46Lm3UdFflFc6eHyzvTpLX5ybGdhz6sb7Mo9yJT6+im
xr9/PL3rPhzeaXM3fPxwl9dRPVwP5d3vH1+97+OH36af9rczf0hhcnVzC2MpOsC2QorZGN2/yMcP
aZEH28OWoAdcSAYXqR5e9PHcp+sMxr9tTvczWt/e6jtj4LLu//967KtrgEOHHz/cFE1eb+5eADfy
94+f8qi+u/1wVa/rO/PxQ2QK9+ENbrG5kE9X91f+2+v7/59/T34B92LymxcQTW/crw79DaE/0vX3
dbZ+vEX/PTw2ORCcU8KReoDHfg2P5AeSItsmiGzxeTz3AzxvmNBubJ4GToD543gvgfkc6SDKo/dE
RhwwTKSyuXi48/I1MkIecCURteXWcthrZN4yo93QPI+cYPP5j73E5g+drHOzBpt+L6dm0wOp4Obb
mO3ERpEDaivMGJMPVjXB5i0z2o3N88gJNn9c7ik20Vjk72k29IAomxCJ6QM04rXZYIwPwOExxRm/
xwY/PhZbh6Z/OaEfIbMdOAXmz70Exi3SQq9vi8e78w6hRh6AzTCGKHkwCrjzL5kARuyAUSFtDjHo
wVIfIHnLVHZj8jxyAop7tp+grNPor0K/d5whjHKu8JYBTGHB6oBjQQSm20AzQedNc/oBPi/GThH6
Yz8RKvL87qaObpr68Tb995ZD8QETDDPbZjstRwCJsyW4PDKJM+7bZvMDcF4OnqJzvZfoLO4KoGnr
90MG6DOncOep2mY3E+OR9gGl1BYUbYnAxLW9YUK7wXkaOAFmsZ9m492l626t794RGXWAkBSc2FuK
pl5HG8EOKJec2hiY3OY1MZ23zGg3NM8jJ9h4s700mlWaRnkRvSN93mgChGIKXODh3k9SG6kOMJXc
ZvIZu5eE4C0z2o3N88gJNqv9TDvnQNKi23d0aEQeMMUg8bQn9iIhpZHCpkTaDzFo4sneMJPdkDwN
nCAy309EVrfr8B1JM6UHtlRIgLnsNBWMQT9jyhYSTRzYLyeyG47tsAkYK28/XVd+G63fNbtUB8CT
lQBBc/t6HVVALgMaJhFXW6Y2UTNXv57QD2B5HDgF5nQ/gSm6d3RalBwgQTkTlD75ppeZpbIPNnBw
jLbH+SPPeEgwV7+YzQ8guR81xWM/+dfRewtkEqIFFUQJsTNjURLcGgJDeWRnoNK8jPC/ns9uTB7H
TVA5utpLKzmCW9LcJO9YjbFBVCbCJkB9J46LgeMSApNHxzYJ72+Zyg8gebqIKSjf9gKUn1eJHh7a
hxT/1Tv/YZnMVuCibPBg9tZg4P6/cmGQzuCNNKa2suYksEyKVz+e1m6QJsNfXcl+VMZOopswCtb5
ox95B9UFRH5BhRKPBZa/m4ywEXCBDSPYvCZR5S0z2o3G88iJyZys9sJkXs0a6srHRROZdyZi6EBJ
0Fw43978SbqiMFRosIQ6wNahTezlTVPajc6Loa8uFK5zP4P/yTrK31F5oezABj2Zshex/aUr4+qA
YI4pULYHu5lA88vp7IZlO2wCycl+ai5fInNT5CZ6X3cG0QP6MKDU//B6HWFAdAFiALm/2p3gv2lK
u6F5MXQCz5f9dGibppTlOitNGL2nZkntAy4ZeLRHnX9CAsSmDgCSJmSfD6waemkeIv1DHvPmae2G
aTJ8AtXpci9jz8laD+k6v328U/89L7Chjrkh0WwScgQ/EAhD8fmRok0o9FtmshuY55ETTE68PcXE
mPVN2Ji7ujbvBwzIAFCnhGIL0LL7F37t4cB8OAKWbctJtnmyfuN8fgTPq+FTjPaUFERQyDRFvX5H
fDgQA4WhM2ZbDJvgo+gBViAvQ/fG40kf/NrJW+byA2yeh05x2U/l7CyM3lNeRgcU2pQAlt1pJ6j+
AkE4kuSZZr+MOL+azW5QHkZN8Djb0/gSGbP5W5bR40P7DiEGbjuB6uVT/WsSaoCrQfsSgU6abSvN
31LPN01qNzonL69oAtLJ1V4GnC93pv7w3Nb4Uh15dYH/VLSBFkxKGAgE2+bYSa+ZRNA5Ywtof952
B0wYwZuntRuoyfBXV/L7xy+f9xKqq6Kpww/uWhdQdX7H4GPbBwoBNSP4GYuXWSlgJRW0aUB/4EN2
NDGpt89rN1jT8RO0rty9RGvjK4pGv6frg8oAF9A3S7c4TdYLbFprhQAhlG37NiY4vWVGuxF6HjnB
5mQ/mwVPirx+1+InFQdAnhlW0M50/wJ39tKEMIKwRKF3gNtTSefXU/kBJo8Dp5Bc76W5nN5912uT
vKNb27QGQmumDbLAAyZTc1EHIJNCIe6Rc0+6BN4yo93QPI+cYHO6n5Lb6V27fs9OGqjo2IxTkEG3
etukfIAxBxLHIBmVD+kQZEMvqfWv5/MjXB6uY4rKftKBjSZ1ctdHN++Y9MDqDaABNjQ0b23mb36M
H2AkgbbJv2Hyltn8CJfnsVNsTvbUm3UfvhU6eXxu//u8BxQckM8I3aw32xVhoGkTsh4EEum2dDAJ
/pun5Vcz+jE6DyOn2HzbT2wK/X+HRsMaDRvazZ682iTlEdC6KcGpcb61rSlCb57XD3CajJ+itZ80
+ssaKgl5UBfvWe8RIO1gaCmQ2/WDE6Sg1eOAQYB6YtoTX/e2Oe1G6eXYCUJf/thje/LWyfsqooAR
5TbEGajM3b+mjBr0Ob5ZzrZbfju9t4Zfz2o3Sq9HT3A63c/SwvVd/64LPTHcf1tSkAUeAhIYycuU
RwHJg2AFbW5bBQhI3ksS98vp7EZmO2wCyfXXvTSdB+Xj1w/pP9xXAEicDTwACqIPljN1bwgdEBtB
vYFPktG3zmc3NK9HTxC62k+jOUtSaFp/120FgCZIG3zbtg0aTe0G+hCBYSP0iB4I3C/t5i0z2o3P
88gJNmdHe2k953d5boa0Xb/rok9YgSMVrPncFuLQFB8hDqQt5aZ998G6Jn7trbPajdHr0ROczveT
IJzpu+Bd6Rvo1UCjYRUUf0BgUgJ6oG8Ql2wwrVem88uJ7Abl8QImcJxd7qXZXIawacuHlXnf1g9Q
2ziR0CS11Z7VRNPZNOhgkHM2+wvcv0BZeInNW2e1G6HXoyc4Xa72EqdrcG+wZ8/dO/Yf2gy2rAE6
hra6GppIorBGx6abFvgX8s9LkN40pd0IvRg6ged6P7sNPtXr8PER/u/lnY0kCv050MG2pQUTZO73
5hDQtEv4RDb41Tx2w/EwaoLEp/0sHXy+0xkUQ94PDFhZiAQj8Gcif8JuApwTrjgooPevScngDTPZ
DcfTwAkin/cTkS9DAdunBe+ICKifsIqA8B/sKgR1HFBsMJQU0JaVPZ77oU3qDRPaDczTwAkwX/4f
aZ8/3kDtaac5b12vZ/db1L3YQ+3nR++vHbbOmwzdBuid3u0hLKxuf/+IFQUzeNr5bvMZryL7H6+3
DXoecrc29e8frU1tFFYf3nda2RsIweg66ErZHIIlvLBbEbQmwvIrWOvLwSvmG2Hn94+wXAttRkkJ
C3w3R2AOUG+/P4TBl0KEU7DzBzwvWD5tDXhepANQ0aebsf35Q95k50WU1+b3j4QAmywf3reZKqzD
l0zY0H0nYSM+mJ4N/re8WV/C8w1vx/8nq4QxfcK7YxyVaV9xR3Y17GboQLtygY6KspUkc+NK1GOz
SEiWZuhLDcuV8CzJy8xck4zWo3ZgBRMis1THuuxiV7R5VcqriOel4bXbxHmEG7fseprPqd3lmZvn
aljGVtdZoZszQrJ2pZs0M61xxrrJ6/IkT4c499o2ksZRssyPmR/3h4WVtWgVR3w4GajvX8d2VR7m
Fv9qmaJddEUrAhf1ylMsLo/jzESLLO4b7DCWkOuQR2PuRmHTWY7KuiRwpG7VrLOrqvNSPQaFw1Pe
X45Jy9aoJH7iwE1tTyIU+npGwrprHN020egoO0DpIu/bdNG3OpUeU0W04llQiVOl6jZ2zYCiRWVZ
BXxmOdSLWidt41iplbphRpNl6etuHo9ajI6wcvjgnMZ+72at354R5uff6m7Alx0P83ZR1HHthca0
gROUA+ldEwyjY5JMezGr2q+1psNnfywEd3VQlf2qL2SfOL5mcKHURw356qdxddwxnC4M4XpGcdLO
eFBW2DFYH3dFgUsP2mu7GeJ2WDpR0rEV9434rOKhPyZ1p8wiimlVz0OjUeq08Kh7lt0M6KLiyYzU
Vp4t7Dr1XV6wfnTauBZOZOLYclmbtcKBDTl04aGGMqfkbbasCj/0+qBt5Jx0XTfr6rhws4C0wXwg
NYIbHZQlc7FJu7+EH6H1yHAwTxhY4zzxIz1DOR3WGainZK50xhZN0ZdXONfhUcLr9GuBYu74qMWd
W1pBvUzbMEAe0eIsywbtNST0ZzosROWWYYrhocE9bmdBkFbzoQ36WSi0OutZVS4qXzduU9HgMFR+
L5zCzpIrntqsdFjYpLcotopV7cdkVWci82Cxsv8nWINunTzG6ruftThyBlO3ySKoK3Ltp1Gz6nQm
5iRtReio3DdXkrY3qGOW1w5y9Hyph8wBC4hWhSjtzB2CvlVuwCU+znhKD5OQyW+QQZJFa0LuO8yM
GHusJYFjSGbZnvGra0ZTfVpJNH5P68z3mioYPjdRmS390QcTtCykYqe0RnvWlpY5G4o+P61YHHdO
XcRx5JA28l1mEunh0C8+8aCqnc5S+SpXUfClrtKsd2Ttp5cJLYlrxqRctHW2qAsJz6HwaeMwmqAL
FlaNO9S9reZFTkkHnsXH/lFZythpWF2e6cxXc8NRepfjZFhVCvbn7MMqdtp+UE7u1zcxiqhnD13n
MhnRZZwq5RaUrPtu+MJSzdw8CVTvqZYInXiVzQDHzimrsGz4eWcsP4DTJow3g3Ze7vX5yqHeFOWg
oyDcbrf69ON/rosM/t5v/vn8y81urc8/wbq+h21ef/ou2NpnE8/N9E2bqPj0Wc/bjG5C0dOeo5PY
9rAx7A8C308Pvi0qClAnfhYVn/dfe46kD2OewiIs3YctLO/XJWEIaCBmPIbFTcSE+hQHxiPVpsvy
KSxCGg4LLWABBiyVgXVkr8IiBw4F7ZgSesgYlPiR+idxkaJJWNw0Z2z0ZUhKbEYVhTm8DIsoC0vk
W6N1BE94Fas5OBo5NF8hXtBcH8YoE1HlJBBWw3ghTM0jdmyrNOtmQQaEQtQOKwZaBodU+TKxT3IL
JGs+OFYNbiguHZnqyCyaJK57f5HIiEXRMQu6tgqdEX7rN0u/GuFcnxBru2oEx99kTR8e4zZjw5g4
nRSWE0qrc62Wyzw7hMURduMmdpdGg1P5fou+kVz7tVvwWpfDVVyBh7BnkgaduJBh34TqLIpq8LuK
+qmTSWJlLmtyO3fSRo/W4IjB8hM3YEUly/+1mofH/Bdc0gYS9FMy+UJGeLab7ait4UhQoqD0AaYB
K8bhw7ZGo9AB7ElqQ4Yt8cOWcE9GY0O7EbSCcdBGNr2VmIHlPnJJCotpNzqjABoIWZ+k/8hoBHDZ
l2QSNkSDNAYYM8L3iw3lxGrEoG0r7Fi+strEYIgHwg/iduYD0SNOnUE51MFckO64JsPgZqYaPGx6
eyECXyyrjEaOz3yTzcAp4FNTUX7dJyiZ8QjlXhBww9xO27Ms4P3XrO+ryhtsZq9VkOMVKVHqNop1
bhUGdCZ8cdvkZb1qbRMsGNBdj8ukcrGfhO4IHHMxtAg5Qtm0cEbVmznEqcxNc5mkTjwUX2lZyXWu
TbZq+mCco4jPGyOEh+oWuW0cBWdY+3KZD1F6TUK7jZzW0DpwbMKLryFuqgVprfHQtKkKvQB0j+++
FGXo9FmZVk6mg+Ck0EP9CVyAPO7jEV02nSZenoqLtsHqBAG19WQWBH+moQGWYCftchRN6yVR5Tt+
jPQCgmy+7CLqJtoeLoqyECudk3zOrWQAN9Lis1yowyBPPFb0ybklfcsRPkkcPHRylgamcJqkYlca
2fmsqyhy0UjpsYp7s2rMaC3BAeJDmoTWYWrycpaQanRDKx49E6PipOKhCGeVtKzY6brmGhIIOiOY
iePAB0JGS5zNCQRj+FQzXpQtMScisnwnacg177P+ZkgaPjNdHDq+SMzFmPjwQQNP5xzInGeV/XBJ
o1h8b4AYl/nwJ8rAZ+LSjpdNG5AFVGf9z62Minkc+/xWRjwZTpqBxCcByxInlWUfun1fZzOZpa0X
hVIuDdd6XnESeQMEmhlsWkqcQNapowetvkudd38F3aDmI8p76VZ+ls825a4LOnQmPR7i8lPY4PiT
7IthbcG2M7aTjwydWEXSHkkLEafIEIAcqbCclQGkLpz40gvHRB76iOdnNm6Lk7TDn8LeKmvHsmm1
lE2RXPRFZR3K3Ab2n2l1RKuI906Z0li7EbYysWysJhrm2iRj66iGJok7Nn13CCnNPM5Jq5yx1/Y8
pKV0Ca6C0KkKki2HRsZuPioWOIQ2KHdT0mSe3Y0t8eIqEJ7BWeT0ZMzOLYstFasSJ2zy6kRzsi7S
SvjHlZ324VGJ0y880uIyK9jCtyS2ViZqqE8WaW3HiXBa1eXqZqRDFc0CfxjPxrY356YhMrtRue2P
xzSHLEfWzSdW9va5lk2om1maiGvqm3imdINnQZqrw64QJHOUb9LBK0NeXpa9lcWdGwExX5ZUJPoT
STua9B5DSV6HXs5FIQ5zw6SxvIzFBJ2Bo4T7nrXlOPd5nEPKUwQ++jaGVVe7CDKC02oQmfgCGTip
9MywAV/kvWr829ivjMuiUTmwnNoJMbXoDDXFFTy5LHGkyprOURoSKBeyv6h0UK3i78LyB2sp8xYV
K1akkHYVsmkSr200ZJl+Hzb0pANm8DkbSrZOMOgBToEGHKxwWCPIFKquP89rQW8HatfJgvh9Wy7F
UAlIga1IJU6NfV/NcpbAKcc00NzJeoSv7WAsMjcxaRA7qCujBfg+OGOd+BDUiTJZ6GVBFNtOG6m8
OBNyIAV3h6YK7fooSTuGvKJoLScQvQhmKMz5Wd/yfs5oBz+itI0dzeAeuxz7w3XaSXKkuWW0kxS6
Qu6YqW4Rg6hwkitarZJIgd33zPdYktLaJY0tFg0m4SIXrVwUoU7Oc5Iej4HCwtGYFcd9yMIjvyzF
vOhqGjrpZi86J2+jsvKaHDL3OubkUAq9YFYeb2w1Bv8V8Gimg8K25khE6EqkZTzjBJIg14YkyuFW
np+KsCkuZSv4ac2r9huLfTI4sPvd0WBL20krjb2kpwFk5vUIqsPYpMjJzDjcVEP1HWKUPoVudz7v
hG+5URsh6RBUoatgxP68R7H8xGhgLii1fAgOebpKA2HOilpa89Qa0GGbI/9mJJydDz72jODBClyn
v8zgo74mAkeeyZT81uKqL5zaJ+UScvn+SIxiPKGMSCeo+sQruyH+MyQ2PmRV0Z7SoJ9Dqk2dvkZj
7NZ2iEsnbm06iwd/POcqjmdhohYmzctPoyjq1cDbZoF1Pi4gD2eVE2PIokZjtW6XFuEZ7NTAYk/3
RB5FNrh4BWzYKzWwwA7Of9UDl3UIjkInIH54Xg5B57ZjmMxorIIFhwuYlyZpUwd3NATXONKvtl1p
iIVMlWuQjuoTLEZ81zakmLMaUs0E+3jJTWV/sXo4H1FF4JXYBPMYFtrNdF6npwnqqs8N2OFJo2t9
DsKoOpYC5+4Y5vFxEvYgrNhhe5oUbHQZSfkyHds/K0mj44GG4Re/aNCp72MFH2I4MIFsTJ1GFsgt
Mhudmj7MajcCyz9nsegXCgSRtRS5WxmeeHY/1hfasD5zaCb5KlNGXSQ8HI9wnBTfOxNUTtlnaJYM
BVqFKPji65y7OM8QkAchHMsa7FlEEi0dhK2vfe6jWRcW1UkPkteRbZkI2DbINF5v2aVHcUhjp8f1
J4s0tfQaExjjUNHPlNUVjml7rtyKIeGOkH9ETh6Q2q2ArQvuoITjAD4NdXK0JRi1bmuv8CO2Jr0E
TkHDGMQlFIMn0DpRICi0fAjFla1jGUDICzLIdq8NH8ro4n+z4h9/K8ozU4cczv4pv3/d2r8RYLdD
HrNiUIQRdM9sOtBhX27IcJ8IPpT9nxj9Zts7JO7rabDqBqIFiLqPjJ7BIcahvQPoPpEM83/C6CG3
fs3oYes8sSnbweYGNhQoxCZ3eJkHhzXt21yX9onYqIFDR9lqsLGlHTamyBvCDEh4XxaHkBWAmFjg
qp2hMTCzjst00RBTgW67ESAZcKDTQqSgz1U9OCyXlFXPvGYjXdotBRFzI2fWG2EzvNc4VStB7yw3
0md/r4I2G0G0sU3xLd+IpKMGNc6V99ppcq+jglDXzaONuCp0nLkQekFxFRvxlSuYolOGcQ8JbVDQ
2AMj7c/pMAg+D3vZBUtF8dh4fRKj73GTmsFJhyS5rYRVnUUBuE5guFl/5vuFCZwq8OHaszIbEifu
o0SsikHTcT7ipi8XZiBw1DasJIeNDIbzKmTVsAqsHDwtiI898DyYYHFE/dHKnKLKMvuCyLK4UDQO
Lsc4ac+qjXwVi7T2ujCTgetv1O2402KZqTSv3JgWY7CM+rrf8Kgk9yyqexDN7YR8qsuyFmPpdT4q
6mrpYxY1i8wnAcRiyUApmwsdoRF5fZzpHLlJLvtTW4xZjt16aK0VNbhoEqcMqpC7MfQR53kyiyRI
1/0XA5TU2JdtkieOhioAKBks8tv+NKlakDpmWRpp5ZRFoLN5KUsZOA2U5HngMiuM/TMfD9a89Qts
QMoztQ16ZdW0oj42yGohTaoQULklMh0IhESHqe9V1LSbB0eMy7GP2Ti3+rhLnCTjXdoe1nXTlOgU
D1lc29rRoJF3Y+YkHekM/hr4ISHjtz5Kh1zf1l1VZ5nDknFM/f91eG8SNKA3FhzGT4pjr7+16L44
dj/kUczYfJ2KhA2hOcYS+jVf+DsJG0kCDQYlT0JdFP77rAJCnwe4PwaaBfhKDt+SAx2gj+4Pej9h
FQmoirAOAXb8UPifuD/62vkB94FS+GYWiMC6FGiLe+38YlwSeNqptVSWBWE6iodx2ShqoKz9dE+2
GvLLIhyEiFeqyeY0IDSITeEdbXYue32aERs9tGNrLc1I8XVSZINnN0ieZV0LDuLn59r46xflvs0l
KRD6YDtnWwnoVtr4+xflPsAiNqq1/eWAC3WGuG5PQIe1D+mI+vOSZ0D1fn5CUKH+dkpYCA+lbfg2
M2h3h51yXp+yTwyrsND+Mhq0D9lQVdTHhW6g2gbVvIK5UnXqM8RDm8xRE7S2x9I0Hha86Ei+qFjQ
uKxtaec0fR4tyjjSS1X0FtRUlEbf8z7Sx1AyUFCnCdSiGzWU/PhA3Nzv88NB4+wiTVK1SC1df8I1
zw9Vq8u55WfRqT/UEVDqmOWeHeThYqhQtooCM8yq2mQXxKLjnYqj8XOYUP1ZlMEJaoZo1ok0d5sy
RcuR2MkJhe/Ykm4Y280FMU3212iPxdlod/EngqLYgTQgnbMqzF0cZa3bFHm3RIVfeNVYkYWEjNHR
1dDNcNiXDuTS5kjgujjVpYQ6TJrYa5QG1jLlXeWN2uqW1ZCKwKG98jlEP1LcGJllx3zM+gtVjGHj
oKoDt6slnSND9LcosVSXeH2ohalA1O2CznyDbY7YYI7DvIznAkSi3O18eM5dFBYIUlo7y783WpTf
4iaQX2KVkEsVIBW6HTLqNpamjB2stMidjAxF4lhx1M91K1HgQO9v+D0JU8ncKKfpGaSQsnQ5DYpj
0XTN0dDk3Wc5jKm7qeJ5hKTw7MXAGByQethZZONLIPjI9ft4uAwrBQIRRvpbJop2XvSonsuWW8zp
C57d6iwLF2Ee3gw6Lr3AluwoULIpHTyyMJsZuDlh7qcnUKkav0BjmHVh59F4jEYfhBnT42TFIWO3
QFGLfeRYhXVFQcdf+RTRZdvlZmYPUXKM4qC5DaCO/T3BQ5zOxmDk+cyqI3UIt8B4oc9vqjp1Owwp
Y55CNt8LqArafefwhB75Vt07SRJ8UsaCxMUv04VVSpD5rQwKuX2XuwUB5U35EQeyUh/FlqY25HfB
4HIk4zUsmPfhzeJP229sLyz4MOsFry79LiXHPDTnrO867EA1g8KjDdbTM9ICEaBkFuP2rs+ENWfa
qk8Sko/faxCuoDhXsu9lnyRnIAoQLxnr+rJiteXmtbysKhXNGjZ+tRptn5IxJDMyjObUEuM46xTv
rqB237gBVu18yOhF3mVfhO0XZBklsmupUwdtONzkPEqI47dNU3i8Sfo4dQZZktgZTQwaZpAlDDL2
ZkjcIa34eCy7dOhXqULBkLkhEAHk+JYVjJ8T01Eggj1pTBfAjShAFxhaE1/TbRqD41623bUY6nCm
sBGBxwYQGlyoXkTMYUApHFUDh1l07cjF196igZyLISFslcnOIC+CfF3OTWyiikJSVPN5kHRjACSH
wTvtMmqDU17pJgRxDwTC84BbASgIJa9MeKR8qy0ix/gd+0bKsNGgw+S+Fc463SvyOYZeAzavesXE
rehDACqsw9o6TIYyaPRVkkEltlpgZZJvFiuTK9Vm0UKjHNxwkQm2bFGdfhYgLmnXt4k/OF3D7UPW
twVyQMSDvgEgVmrBats+7IhfHeO+Z0uSWUg4fTJEg5eNCoNAXYBAZKrNr4XP/athaLobTnJfOjnO
yzlNbHtVpD2ct6H54CVNSlelQflh1HdqVmcNdE5kUFcCY5ddcVRRairo8xB4jrkpoHsiAqW0VLWb
GyR7x4LMABDw1Z+9hn9VIFpcjQaBwMtyqymhr6PLLnqblnfQrSmPYSIRVPcJLY7KQWWj1/AgDWd6
6IqVRKk6S1nE12lWwfzstMVzSEayC6tLROImMoO5WbyEY8yqs7+I1OlnGwE3TpOYj54cs+IqyEJQ
zjZ7WmBwHglvwG5T7z7UbZuStoH8obvmZTn2ZXX2/8tiMFbw3RAvWMHfeqRebJz6nCxvRz0yQQmt
ULDBoYKaMBWbPY6eMl/YHQzBt4NBl5SETXU2X3b0lAjD3i4I2rIRMCdIThUsx3pigvB9FrCty6ZN
CpJX4Jz/jAlu9rF4yZugQXVDmWDLLPg6Jgrdk5vjL3gTUJeuKSKsVyz3hfSgsQVforAaTyRIlfOi
iiWUfEuBvhtL+NciVHo1ZLl/aOnIPzSatK5IBT4uoAiwSOjYuqTFaQZuO7GuJTRSeSIsWTQrQE52
MSSqZxjs5C7WBINEGqSfKanqWZnJyA3CzD8pEA17Lyei9XRlaxcHSHeLOrPGJSSU/Aqk0/9h70u6
M8W1Lf9KrZrrLToBGtQE+Fr7cxuOxhOW7YigEyAkgZB+fW2c974X4Xsrct15TZyZy2kaIR2ds5uj
FcLkP2WpHzJHjABcPUFE3zNHwIAfkIDWQiw1LkKcVumvdxAHsUNlZ5YHWm/vhef+8/0+pI3v90NH
UqAhoC7B53/IigMo69aq68TJEIkNseKvlTNL3pQYgz/fCZPkw7dF48DARzcntN1CyfHhzdwc+w4y
Gn4ywP6LoG1txiwlhzQsm8cl4NHBonh9+PNN/83rAVxFNhxjMgGu2X7/y4RqvUCZflD8NMc1cATs
tgjQHhCYYl6ptH+Thf+7u9HIBwfspxGO3f0wmEiLcOJw3/KTD5VRdxlk7/ZrLH1zO3P2N+WM/0E7
sX05hvIMKQc6YKC4+3CztUPs7juvOU31ysM8rEHlFNPUj0UqfeA7tl5vZ9A91wbY8dHxRItdo2L1
H78z5LJobY9+w7AzIaj8PsIcuYDt57A9TXMHHmRVVhVxBdEgiwW2zz9/zn+dQ6hvfCgVwaOnSPm3
Mfnlc8qJ8VDLuD0J37n7MZWq0AQrWNSiq09WNQB/koF16d/c918/LMBfVM9wO8Yo6LwPcamrWtNU
sWhPg5kWkYFt/mTC2ZhsaOb2P7vXVjvCVrkdeIbPiyM1Ptwraojxl5o1pwYEYzGtNgFK5El7VVkT
Pv15PLdrfahTve0U3Ah8jweQ88PHa5GGEUkwh5x1xgesnfRn3oSLX/z5Ph/kr+/vhM7ImyfufboG
v3+3OeZKxuPanEoobdpiNS1eKrLDlruG9LFuml5nq9TI8ZwUbbnz+qpGV48/RdYPc2d7hq39ZYT1
meA85o9zZ7E+OH2q8QyL2tiQZQIp7Uh1KUPbn8cqpYWKQ/s38fx9CD8McYAQFMPmjDMEgRf//upL
FS+jK5PmVKdl+EW2cX8G42VvRItaWIZiUJkmEAWCk1+rJC8N8u6TiYf1ux+DPnsTC+vPXTmUx8oj
/blsSvxwLfkLW0PWBEn2P5KqX9GRf/eckCkjNYAeK4IW+sPS6mhYGpcQcvTA6r4ic41kvkyc4ROh
LI6PA2lFktmWJMmOjKa7eEtgeRYOZXmauzG6YpqVp7VJwxtGYpXs46Ue22KsWbIc/vwl/3XWApLa
QByIbN47Yfw+pB4b9AjFagPayENp01XQ4SIjVnr35/t8WPWYMWjesPWJTNDmHgvkQ4RtCLwdJagk
nG8zunvWOMAhA/iwK64i+vjne30M5+83S6CDw+5IGeC6D+NvU0VVtLYI52gJU1RpuRQeF3POsVT2
IC6rXECIeQXwO/lG+qE6rCPVfzOwOBJ2W4m/T9cUSqhkO1AeHxpHL/4+tlwKEmBllEfgCNKeEh4g
mGq2huJUzcLdE0iSXmldNnnTzL3MLPD+Cv++MXFx79ErVS3lmc2zvdMLC2aUQ62Q+cT13ORB17sL
hDbluW6m4MHxsPy5rDMHVMHdxXGJap5NMn5MwMqegx5QwyI9BFzVm+CBzl38GEMxeNSAOQGrRHYu
PNGQTyQx7t5WZThnfKiX2156+oWX1ntF/V9eFBEgPBhIwp99igLwjGqwdyDqRHl0yo/UvgWNjZon
kVuOMHaRB61AEL1Aiuy/QfcfPpkwFFO2lktPACeU0U++6MgUPQS39U6lbX2pQqzsiCK0+HJpXuca
wRs0Bv1ZjSQFUNYjbQRc5oFnMA2r5r1Xx9HBRB6SoSFZ1fc0mYPdAA/At3QyMn0Y/RbzDau/6vbd
yHB7ISS5TwOF2OmpOfnmopKCTGHVJdn+VtERj2EpeOqpMcpkCWruT2wM7QX7DP88AQC7fR/eMjZ6
Fwy1dy/Cqe7Oo0t4fSpB+IfnAKLMC4S+/bybXN2KHQ6tQ7SafXsFCh8RKvVX8jyMHWbk6K0+CFnu
A7BtBMbOQjmscul59adobaIvM1TsJA8qb7gDaQKZRRvhOqZu6kusRVWoKWlepQdRC3T00lYH5hh3
2Xb2wWNbheETxB4yyEiAse3DoHnlVR/sfTlGL+DxCc+waLjMyqZ395DhrzrXnVzvvGVabxsbgexI
Ir955rFGaHI+/+xbL+K7cJuHvRnLczq3psptneqmcKuPBMbvR7cfFo65lPTaXSBU4lCC4QQOm2m1
uPueEm/TZCDPmWslbN7iBVQG7Ywrc4UJtvNULV5qU3nHEaAJBOxdBAaprNfxONeoGGI6kk9x3WHA
vCqyl4rw9tylfMccAYYoo/V2JJDI6zbxj5Vx425SJc0tGeV9pevm5EFCdQWIMcobUEEFNBnexQ8H
d56BwxwhaCw/VTrZjdHcvUzx0F0s7paXJYUu3yWHrnEinwDdHgCdht/SFMtORP3BGy3EUh0AMI+s
Lg9Q8+V+PMg9WyF/ieTAO8iDouAzaxbwdYM9Q3q/r+sp3Ju5Hs9gN0VWA3gAcWRYNvV4Ld6lMq+7
jhd20XMWqKjMNI2+AdMLL+DGb8GopRkQtXUT5Uc5NpwQQG7zFJdxv7NKBFec8tybO5oLPZgDKHaw
ac6vs9p5ccFE5DYh2IOq7SsTwYuYidq1pA8LG0dDFkCDdSJe+nWKVTnAUSF4btcUu9osguc+jM5g
9f1sCZobGFdM0UENuSzl1Tgk1VctArerI7uea94jAEdbjgQw9iZuwvACQct07zdcnclCu8K5+LpL
JuBv0DS0iWLwtUxBpX5MXic2IqCFMKtcyimzVdie/TEafaBvVXI9U44HGnkUetliA/dEXRTuV8PL
eaeXgF1p359ukShFdWGAhxVd4vEn6I2rpznwzKOFGWTIRrURgWJx9tIl0ICUfZwAcdLp97Zv5GmF
5+YEqLfHTZFFX2TlPaTUmIfEWLsL3Tzvtv1nA33FUudQBvV3ChRnnmCl8RMEWkgFgm4sc2mRi3SA
n4ZuiBXw06RBKBpMVkUldoSkYslRtCh9Zsy/okeat2fOiw4zcEuRSxH0t8rTnxPupsI3DfQ2k4N+
ruJj2hYaaG67h7qsvyIQveyHtqN33gzlaJzM1RfdVuYqnNdCN6U5t2b2dBakhj2HkFPCoTEEqskX
xEnYJ2R9Difk7VlgUnV0S4+J2SJ3QInAyT23MtnBpPJ1GFO693q9fAMml/4EFQ9dZzz4AVxXNPmy
GsfcwaMNgfbDrBl0L8jHhnU6CufYzUqm+F6Cys7DcRQ50VNyRAXNjmz1A50Jf5Y/BIxmOzi27HnS
oPj7yLswsOg8R3eVa1jdB6QwAyRcCWf3vJxKKDXDMkTx39YRYArpfyINoElfc3bGR2WPK51dgU2Y
62wgS/S2Ok/dJ5oANZgGVaTjFBRgenabKE9ktqzowSQEis9ULzsDc8dTZ9V4V2kVZn3pt6eynYIL
RrApQrAn01L6h4VSTGw2XNA/CURBz4K7auL0SKckvGYVqAQpHH0swToVQHjHA/ec2HOn0pdZ45UQ
aKZ8UaYJ81TjlNWsK2l6qBco07LB+CqrVFl9Hrw1vAELN96CL0Daz8IxzoQi7bCzHRkjsIFwf/Fu
SL7RLgaIM07V1UpoOhZlGfGTJcz+0CjHr3Vo5nsdkTXNQsEWlZNuwJ4eMSPzYVzoDSp2cej6JEEB
4I9n7luN1QU637Q9BylH9W2q1vUYAnBmecPSY786eTLpQLLFL9OrcVrLSzsP6SGqlv61G6Yk3nWC
TV+iik77OG67n4z2sPOIRIwnMg/AkloOTkuJ5x6X3slpjHjOqAt4rkq3vHgighEIOSY5VWKD6aEw
h/KoHmgBuma+ghywyb2x3eGLN7uuD95gDRJFMwtAxDhpRu2GqrKXhM3jK7RbyxnsPSlShj0Q2kN3
sNSWRZR2+s73FvXayg4xe+LYNRAEIJrU+RIlU0ef4AUbEvWGdtxplHnRsNY/a2KnXDeKQ5YW6QFl
kiY/oUYeLitEFzeNofMTqcrlNZJN+q2amRwykBaEF6vnUoptz/Y86UFQ9cORxJE9BwH0bLs+Xr5Y
7Tc3XtdPBUkX7mft1I5ZYzooC2Hvu7GBTQrNJ6AawVRuWs81xFPp9RgNrXeJTMML3hnsGSMU7tCT
z3McI7scQcz57bQe/dLosy97MRc6CkaEM+uqxzRsA5uDuZlPlEFdlvtAhzAvOUP0gRL7UwNmZM/Q
o2wnsCkcQk/os3DN/CZQG6HCqHkxkB6jINPmuQy2qQxEybvUiQiGLAnkeoy9sPxsaRC+kECQn0E8
m+sytdUnOkBK6I+47Apa8ckfmiULZiqfSxE1SCc9KNBU84TEuNzpMvayupse4vBzVbkhsw7hteQl
JlX/2aODBwaQPCQL/IdtMrjcS9J95EicQdpnc/jB+mxFclIkSV1nsOvBg4kaOxsgw8/Z2rx2PABV
SlAnZ3OtR2yV1TFYSbCfY/MDAkJ2QC0f5ZMM2L7z0ySHEuQcqB5WwWbxs57O+7Ri0JvA0FJA7I4N
ul39K0v7w+z8Fydw4Xqc00NgIXWGHIcfIt2sj9CE19CrptWlHZafREDZPUESk8XLEpwbALs7BTTr
3ODMmSPzAA8E62KxnuV8EJDwvnbaZxlqfOw6SITO0TxGO8Waad8bra5BRkC56K+HLoYyO0TClaOo
jgtt1lsTe2CFojU+UjnVudcvKUoTUfAZLGGAVPBu9ZUHLrgV+1TjZBVJxp0gozv4cTNm/cSepSX9
XloRX2kB7MBVsMgadT+H5KWJoz2slhZ5CrsZenXuyfTN9O527sqzHuMnIcsLQi4AI97oq1i6n9CF
f4bd6SEB/S6QTedDy1+Y15iD6wBSJpq9guxXuZPVXDDi0yd0dIchcwxeV+YjsSIVgnwdnHgsdcEC
b9/O4mqtE1D4VfzWL0xkQQ9UG3QNKoLKzPMXkOZv6wILbTsH+ynhjckts9UXT6jKQb6YdudIiiWz
1mbN2IQH3+2Wqfm6QmR+hG36mk5PXrrMn6Z0YrtaNY9JWNXHxLAul9MyfyWBTHerWfRxQQ1zPc+S
HOXabsscYl0aNsnXWEXDoemnOC1UbeSpmWLAo6bdyomE1ethND5S6EZ2UeZ8cJZ6oUTu6359oEHM
vkO7ZMmZCA5AB9YwlXqwgAQmvNJpr1SbTfUCSiqQ2/WCqWtfLEBnA+DCL/UJvCNmdGI6IbNN29fq
zGs52DVV1WPWIR86JuGckBs96wTaYTK2U0YYQNMYaqlriH6bXM5B+S2tuvKnKmMsQNwVFAMtYTZD
KoJCqgjSEWVRhWk/FyPCC3CmjdOw41x+A9VP4NSZUGOMAb2C7mG9mbDHfU6n0l5IRFElNwnZaTvF
3k1LaLPsNLMoO+YEYcmoNswHf6tO/GZdfrQuMLdtbP1rz+/c3q9kd647U36regKQu4Ls5sFXVO9i
KlGJVG7xXsfRxPSi62UreZkGVV1Tob5Mw4LUgZPYOwg/lCfk9rg0iQeyq0cU6CB84dBJ/AT1lYn1
c8z7oGgk0r8sqsUdlS7v/AW+VVG1ucOWfwo6hY1UheU5rClAAYUiP50TYAQbU/N+v0VEZGfHWJ7K
OARn0/HlgIPt+q/v/wtL++DBi1H2j0nLDgml7ggxiHhRvUYNtsoAKEEamlvjkPYQFJvgetwQP7IO
g9nImmZeraf9O1AM3z1olHWE/LcDbsz7RnhZ04DXJQyP2NemO8dODxBcU/VlbDReoGlxRcQRd68A
vNzRhvtf+9nDVx86D89sVnmCcn+961bku47UUKt0s7uswlqdrxD+nKIeWLigKPumpRZjTm07HZCq
obafZ57IYulKSO0aB1QE4CWCAaT88FRLVozRQiH3L72+x/z3HLmGjlu8APxrDl7XAlFM3RWTUgWZ
z5kGJDOVuoZ62Y173RkTXfNJezfUN/RqbB0YMkcBXpWuO7/PO9IMbr+0+AKhAwHOJXf3tVYxyqSV
bM9Xi/IngXARoAjKrHs+b2PCZ7BsPv4T32qFZnDBsAGkzCNfuEsAnvswblCcmgd3SWxpbh0MDfA/
wEITR5gBOvJwbbZsF+Rt/FgFjOxYvaSF4CPw/ESkxTok3tfe21zoQyRPybD9dtQYLT/etBUQQNnL
ggvtLBSqtJgM8WAHo9CcdhrK/EZh3tcE6bWfAGct3oEnnwTlT4eWh1dLi9kUOly0Xcn4AihxCAts
58uTDlb/mvmmPC9wY7+UNfRatqyxdEiNJQz3J7hJo8tzKfzxpYMn9cQmaMxhPV82UYrkpf+A4gBv
OARQXmRlVXXIgEszHNjQBNeoW+QXDaVbk/Ue785QKrnLosbgwXQazottwQaqq7/3rhcvU9rg1uus
ljPXtjzB0IcJOadEvThb5ZUHRE5P+Dsmmw5azvR1pmrJa79B6aHF2+ClLGcg8w5qkeXZ0/g6WpdY
7CtWYDlbBsRiYHBnLHpXQfVyCQGBXwQaJHyThlqau9j5V7wK4HIL4/JMeYgn16h8aDFsHggPNmKV
gRZFd4ZtFhgBaI4KyGXgS48W6AY0akLDZsySxHmvmy/3BVQkGXNwsVjTo4SRZUR1up89xEcWYaSq
uCKfHAoCNCUQeGEoSzAHpWcx86goz00V9CXyAAgFSTKnBXr0ouxL43r5kcaok3MUGOtXNTbr87qk
YKEUEnIJKFVUuxppBXZG0ULFoZbhpjZ6/tRA3f9dLFH5sxlXdl5ozW1WGexMUWPQq4AmtkILAcyA
hU3ltzamdMiUDGVZJCMA7oKLZrR/wc//X+jwyYof/+d//9YM55+ddt61q9CiAP3+b27nX4QOHw/L
/uWP/qlz8P8LPIYfUJB1EDkA2P+HgRcnO8HUGgGr2A4epu8u3X82g0FrbfQ1A+/mhWjQtFnb/1vv
Gv9XBEw+ZFAl+EgUwcr/0/T/D2rlT91g/I/8xdYEBg5i1GebYhNnTP2OsWOJ1TJ1ZXVGWQnTVxj6
yb3xsbmiaYs+NBPspNim0bdlPQlIgEzWjil7gCxAH2XSL4dw8qeDpxtsgb8M478hgejHPjWwFuPl
qJd6CE5wMX+E/1dY9NDDBY6cZKFivGWs825ThyIma9+def7m0Xt36zUSQF4VMmwNKLb7d1cf9F8+
dkqawuwn3p1/bjMB2nc/YFQr/1tf1xo2Qb5ZBh00hmnB352E/V+2wijWJD2arnRF9Jfr0P/Lgzi+
GxJrC28iVKmbT5FRPj2k7/bFCFhiD+ASrsYUhPcORSEqZsmQps6b+5GZNLxDLjk/sVHwzMiph7uT
Bxy6edNOr73tvYeoDEc0w0D+26J5DWyDWdrR1YeOPqj5WYcj7/bNYjl8yxDb3w8bDAcIdg/7/+e1
rMgBPVPkeapa/zDDP/GGdjbylvV0LeJWXfnVeBZjrD4lQ7Pe+Wy16Gcw66sSe8t5JQspmsRNMkMp
Gt9MUWivh6rek6btgKjO/vgA+O2bF7YqI40ax8J1vP4alCUoOW+m5kLAMtyjpwFbEVYtjCHNsl5X
iXuE1pffSjvDfurYkGTKwM60hx4mepWqx8YhapWtlEYun0PYrx+8tBMPCzbEvC/T/o4uLqmXPJR+
dwkHrsKntpLwV/ukuXVu2kW2RCnBuPlkPQ+QYB0OpzUW9MB5P+xFogE8+zKec4XODDs3ANFewxKs
gmMkC5037VYPYEnktMnBd8f3GPXpKo07CVKGe+cKrb3PoOXTcw0OoyrKweNfhfbVpzEZ25+T8ROa
dzMRj6ie3U04BOt1uHjJ9yqp431U6mnXT3h7ZJw653ZBh6Fm1GhaUy/R3sEQClqlE/VLh2kPV7lc
cw3rK/STlXnwksXc4DiF5YoaBRNt1LBDNNV8pwlq8gDQFl5Ihw81tjjsXg55voT/GTK9Pin3BuZ8
mzvY679SXCQnKydZmbJ5R5nxX4KqrfO+tfZHAKfLZerrqEjXVR4jES0m120bf1PQhEKSmNQw3i9x
K4vRhBbGep0M9rCMwFOyhCoFz+TUJ0FO2cRH6IqZLXjFUdEB8iaf6Kq2FJ1wpCoQFV0xQUe6WzGO
pyVxEsyFz+vrqosHVI8GoxfNpcujpd21aqn33AYU+uq0jN56E5k4a7iRn5wRwzVDhxgMn5u6C4Xx
cx+OrMyDFALsjNXpJvPkUbkcFrTx4UWgmblPBq+hh6Qb41On5ROrjXtNFrfuSqOiE4s3FCiGNBH0
PBlvEAnNN8hcU5mJNLYwjgILgZ8UtSHa9JjBWIDeMnmGVozNBZ1QacIb5afLTdiL6LT6DuY+uCcT
6KgXXffXdkx0ANXRspzGCi2UCoUggr5bqN1u6YgqBAbeKrhVPDL3sVwAUjrQiWtmoSC6BYwmDiZA
K5IMHbBGApe4LxbYOF18EyMcXPU140iaS95/LvUwPTRzqMfdyoPwUk5muiYTaOsiCSfvtknb8VMy
BgDL/Bldd7wRv48xR9lO+rY+L47Kiwnq+q4JTPcken/4lFLt59CC9fBEmQ4y0BHBF42Dure2gvAz
a6IGdiESyvhONZaTrwK2ZZOjfwN7CEKgvrsEqgp8FCFjuY+8nv2QLpzOtvfNtyqteY6Kennw9TId
wQEUgJNgQKvmsT56QbsAG5nq6KpmC8TsZpGPNBxdm5V+XN9vip0vI0S1D4lde/+opKruoigSkMpY
3XFQSbV6Hq03wO8JISw9yE3jXUKy/AJKApY26q/LBRX8MmYVypU6g30YLSI6yI1vQeuBFqOLwu14
pZefiO/sgaEFBjCMWD3HhOEWFfNgfkds3rcWaiTZBetuMnTaITasJ5Do5delW3z8wKRDnMcihxoX
lKU3DjCuuprkzOuDIQfdkVz7FWVVltig3rhWfzqz1TTladHTDKAhjt8/25Gk9VXvSQI5b4iXXPxk
B7DhrQ09U5gUZEc3reHnxtfiBPFEcsfgJMZd+7dgUmBTGO3CW3QouIYLFyGH8uvKpuXbqsYTS+Y+
iylZIQHvgeh6cPEKgMU3lo7JIRoJAAzn1uB2wEKPMtOk5oaCDMqDYA6KvrZBNkv8aFKPPMPKNd3L
IFyvIjoBgFaiHr6Bd1jelpCrqw6HXBTojrketrzklZNufMMspWEe2aRB6GiTJd3ZuqyvYZBb6gzb
qbwK02lVGQ3rJET/MJdEu9kSGxWmlyzcW0masVjd7H2OW62H3RRP3Wukk6rbWTaEKyodmJ2LVhFQ
8xqts9DlCtjVy6BS7g6iaxaSzws8CY2qu89I4fC56hf4g5Zb4kXdg/Xix24t6aFt+6rfhRF6vG0I
bXhRDdAJNEDxg9sS1eMJKdb4bMdS7/VM+mLUHr5X6aH7CBZLOzyHdOpxzWb5Hviw4HlxGW2bqOwv
6aT8a4VwhlWkrMuBngRLhrwLBQRHxyJMkCToXnCg2zdF/BgACeStuWmZOLfoApJkWHUkykK7lnU+
c9SAUM5M/YOpPX2D5l/2Ho6t5nEF+BsWsfJDGEp4QNABRT1UzGCzpim91KD1C4g9guC62XpbFmij
olRuIljJM9pH1Y7xeinK1iZvpl2n15RNwPCkI+ycRMpsCSYN5K5vR7azvtNRJo10p7SFCzBj4xxf
o2eMizLR8DnIVgLiJkvadrme4PAQmUEcaXM5oJMU2NlWfglaIHD3cJf24PSw6d9j1TqTeZgD5Y6N
PD4vLWyjedQ0w3TsJownFF9lXWJrjZB/jTxMH9cVre1GOD9hSWltfJXCR7pmNQvFIR1j3l4k9Jor
BBNJf9MCgvgMKHp68EOTPE9l2h7GuJI66+C7eYv8EmZPNJmDj0nJFYr4qgewXPsOW8YEZQfgRuHf
BfBh9+dUNOy2mhPxkw1e1OTcA4yLJmnc21gikqlwjmHa/Kt1Q/xXI4f3JPv/l3V/lXVvI3gtaR9+
VM3/9Gt/92BvSsb/d1H3NDT6x/f/9ahf9A/1azkYbH/3j7ouRvuxJAzRmmnrp/Srcxsnk6M3ODTo
KNOQrca/GBnRNRzU+Ham5aZqRy34Dxejj4PmwwB9DVAowtydBMl/UtWF4W/Kqe2OcDCingvRFYBB
6vdROeW3cvBNR3+kqOpmtgtEJNCH0hMLvG2UzqJ7iYikaj9MViFQAmqiYCjIWAIVGWQ0EADWa5ec
WU0BHHeMYPUY1nN14bQX6BU2disVrxQ40ToWJMYqCfMKmlz/RwJQbH7gNTxRL2kKiOQt7MMpvkEH
j0mA4/UbhUeJBJX9LfJobdDoiVOJ4mI0FMY2H01Q8MiArCHPCfpwaH8ShRyH/02B+bsGE0ftQGEI
pVu86SEx6t5WGf+i303QBmeu4zr9UZoRUqej7iMeHXm0II2DFKvSYCQcOqSCEPPKJij3v8yof1Pf
bh4G8T/qNtw/SUKI0OF+2CpvPMzv93dtmKrYi5vvrd+FXZPrEZ2t0PaJBWRq95CfIagUstYVeqSQ
iDgx3BkUYwo6mMjFJjxr8J+qy8YRdgD/BgLCCb/780NumttfnjHBGaBhhL4E8HWD/8e0/P0Z1xq6
w1qG5DvSr8ULisolVTLteRpp6EMGqeP4uaMe2Iw/3/fDt9nuiw58SRBQD/39wo/3Bf2MioqE6Xd4
w7iKs8UTXH2t0XxoqDLTNnNzO5S11jqra5Qecfbn2/8uEY5w+wTG1a23WQTWEGvo99eG+78h3lqH
3wksHGB+qfFi+oKFRPRpdE3Cbxrijz48d5OdHzvlea7OcOwXx6D8p0+CtoQxtjPYWlAsvTct/GWS
ot0W+rhaT36PYoMlt7dgofwO9j4zqwgW/TKKn+WMIZgyFaOtwzPAgkWy3dLA1mn+5qv8rkHFsIDU
ilJK0w3HCmj4YTag5SEylW4o30rmBioP4yT60u7grFXMHlAarZgif35//0Mkwz0Zmka+L9QQ4fSj
FLVirkVjGU1e6wZ4EzmuaKeIBdGvY42moYBMIrcpz9CCAdg09FoYCAq4Y37sRdzafCDohPPI+ho+
vmKiowwe0I5nUK9/fswtnv66TuAVgjh+U61DJo/V8iGWzAb9W73Jra/QjUtMAkjEPHwfbzUhmhOh
TddCHkXQTdui0Wbc/tHADvg33+dfBsuHnDzCGWM47CUKI4S23+dtOgVKWxWPrwNH7ySSt4heyIYW
62lLr8ISfsMXBRdi99LDAo2IKkWPnkzHlLRo3we6EtF2i/y2xl/BOMuXKyiQBAR3fx6urVvJh/HC
IIHRh6gXXxhC/N8fdAW4KNjgwldVBjHpd61Wgs93k9ONgDMZ/ZjwcAT4In43WvhIbJF2zpJHI0R5
UkxyCH175zyLSncadJkNkJGj9+VMPcIf0Kaocn0OQ/yKkBiQ1vrD2YOcE1ftINaapr9Zpv7maP91
AiDZhaGAAY+FTYpiV/n9hTAzh2mBiPc5AaDRQh7opRRTsSxnxqCWgpgdob20f0VPPsPbBcZtCycC
ah78ajU6jKf9DB3J366h6GMUxyHNSEZgdILTaVu7H6ZFBz9+X9ajeBYSq2jahejwG10Cvw7RnkjN
FsPByoW7z329okEKuDZpoEtAwDfxQ/V/2TuT3biVbF2/y53zgGQEu8EZ3GQ2atOyZGnbnhCW7WJP
BoMMdk9/Pjq9791WATZqfoBCCVuWlGyiWbHW/3+rWxMK5zUaoBdtmd4/g93bAoRZjjU2+9J42+tp
exExhJYx8MZHpYtyfVkrv6SaaFfVtmnlPP0NTtqQaCk5h5CifAlBOvLuhFcsfOlXOwWIpLxe/FDY
be+unNOcAANQJB8fham1QBNufwBBWoIHrjy3mi02GBQEwC8zBcNOHaNRO+OTJCkw3AFCSshlVrWG
ao5GqJ6vUsnm+qkJm0S+jACjGWRBmBJnjF3TEqL8frC/XTV5+oENvhMpCAUA8cPs8I8lXCRLg3Va
VZ9Xp+5Rv8yuHaievE3RVtfCdGSbDr//xLerER4PaSPe36JS9u63n9hrRL9TLaZPKCm3wTgZuS1/
m1ibzdsfO8//nBRiZRBOMKh6NNssLIzT31/GFs7+MikwZ/wACLkeOA1JlPzrpFjFaDoEC/VLLZGc
CyDTxrO+t13WsRplZd84B50Ebf4w9iHpIXA9XpseAL65pF5wQsB72Q1u2lEmDv2nWegqXEgaO/74
CHTNzuPOW+f2lkFkZ7vClgl+X5lgnWKyZ5h7Hlu8S6FAUVgO28wf0XK/c9nvFToeCJrzn8wgb9c1
7ApUKyB7utuZACD6m2pK6ScZrqw+eB5Ng/zm4GntEsSO0HWnHQdsKa8yhzwv8v0yAkK/I4W0jV68
zBvjRqAAd5OnZPa3b7pdvtb6Kleu2JbIDje1c+woV8C4X72lZNYlU73F1M6CI/pFB07HNPrDS3yz
soVEQACRXVY13iCtEd8s1Z1o6rWFN/kcDhno/SNS+e0CBlDw29T9MY/p4wtc84g4YZvirJXbkqJV
x0ZDqZow3pm97VttV9IxnYN7IK/yid4D3Q4fQOufk27mp/JMbLe4pLXfH0srgG6psKCKPl7YL7jd
P9zamyiTW4s2j6/DVLGxSr51LQ4zWMbKtMuzSMdtpRp0x9BaqzVvvw7UHtDRLUPbrS/oorb9sbZa
hxcy+3WVLoe19p0hPUbCMtMzUarmcUxBIRh9YlxZTZrcihhicqrUtroZls2r3EU248YDEQkfmA+J
zX9xxnJ4FCREeRTDEGTWEHuVKZgSWeQW/Nfl+WxL4dZw/v8dbB8uW9Q/vVZv5ihCU0F0FbgehtsI
s+mbOepMq/QXv7M+jAA3WB0u4a2bhfNYxpwss7T507LwZjvaPlIKAnubbcmGAPRmO7KLlqhVzcGH
3jiMkGEZBgYUez/PRxZKUhFIJmxoCJ0q7HAakn/SELKw6PGUJj1XwwO51jApjskgQxYDJuT4qGnm
yQ5QW0z8YW7YqH6+trSbGh7lXIUNc4VZtL2OtJy3FwHHxOFLtBTR+Gi3dcuVeCWmhJfSH7Zz6u+f
tozEr2siN79tAiwSWGbxcL492RAO9lZqz8uHLIN7S9nSlELhtAOUcPbdVWpQNJn2VbiLXDcClKt1
l3c3dmXETCMFoh3rViOokvdJvaU7u6md0692DptmSoz00eM3bfVNFtWqIbf6tf4yYTZBPDDirgaN
UDSRh+OC+LE3x2nyqFAgQkxAUmKZqp07YWsn2jeNjpy4mAdDaRXnSEe+O8P/QjoyncuRyTCuGjcK
KTqvQCQfuY6R9EgYFrm143DMhEoymjInIX5L0uF6yAIiszhAgLOuHGsZiijEyyUxuw64jH8coyAF
BFTj9vgw+a2bvxhZpcleyMF14oXzaYsUHpk4rT62QgSc8iq9Clwx7LvWntbbhCSafXImJ3OPqdWH
mX1QkJXk8+KNaWlRb7Xn+QMANTHcW/3QWI/sGIH55mnf16Azx7SBGEdfjKx/H81rVZ6SnOzGcW1l
WJOcLFuBYDTQOC3CV6cuwuZb5qp2nPcMlaX7HplhmrCDVIDIiqshaTpvk3fZXuWfktoq/TMIVKss
qUEpFyXz9wz478BTnh0Ranm/inZkSK+OJif+Xvj24NuHpqFwEVwbYDFZddd4c9mlh2JMh2m8m7wk
zfNjIuvJeI9J44oONaXMNoTJ7PnUEzBg2GzrVR/meGBSS/odbUUSvRbL9ZT2Vpafprxmt4nLaJIs
sKPKjfextYzv9dcMjslK4kkQtjhno4i6ot1AMWT231VuEPBluHzTyinERTsU85KPW9tedq+r6SJ3
vCl81I/uFT4tzJrxUnilCU4zfTKQfXty3PZF27NybicVAGnElzlZfPTHhZeBMH63TGpSwUORWMVU
HYNSoGS+LtEKheM7vxBejrUniracRKAHj+w8XHEY1rdSVj1PCtk4S/Y9qzZIvltLJDqoaHvT5U71
QNsLMuMH0tQgPg+QHgTXzpK1XRJQvIruNnaaLXmHr68sdLhvyNZ7zUc3dRs+D2t9FD0joey6WHP0
5sm6oUFBOuJTQq+Oe9BLCVl21Ly2mB7JAXdP7xEH8dKxyKbtiYkKbVxE5RBCzFNTB9uSL8chReUc
TWh1bYq6xBungYYn/Jy63Go2eCuPrysAOQbsJX3Cp1WZwyGzcfLt9ThKZq73l1NhI8PiIEmVD3vL
WJpXYTVlmMnvXceBpjvqPCfSiqfQWfBI5GHmGYs3KE1nXoaiMXnD87KytT1trFdnvg8pX3EpOW9a
rU8+I4tPEPxT95pY8zbAfG1tb95bLL5XRfX2aMaRsnnOFoufkGsYm56PjX/ej9YgZF9JuGV8zwPc
SDnFk0lE0WeKSADtFFVnnsXP0ZOsfcSfDApru7lkWH48DFLlvL+fMS62Bm/7L5iMSAUQ8FpPPx+1
dfnxvx/y5efIFLjlfeBC2wgAu1rZ+Frm4GX0Ce3Bwk137jrzWakr0tx+4gCettQ7Ly+qXanEpQdO
3kan140TLYm3c8psXHw0F6blKY1uXfEjriLHpmPSHAn07tJGw4pRqUYZwxwNUrt7jS5PsFXMINa1
yz1lbs4ZLVZt40/OxvfeTuf25dVehoeflBXPx5c5v3Hwgmq7+XlDv3bH1NHbx2Qy8/nm0nZ2kD3j
HpZmoI1SJrbHexlIq1noGHPgJre/4uS65/eox9GGZdcP2XbplwdqrfiQNA1BBFKYg4UHAAHoCsEf
Fma6JZHg3+amZU5HRbplPvqJ95uPgdu9On7aMHyoJtXbzeuRYBcLFmdr/iDCAr4Af8I1AlvX3qZD
vXrb9TfwgbLp2WxigvzYpCF/F7Ofk4orpA2BM9yKy1jJiz4agtPPRx4VI6rgw5yLkj/CDtDy4YXK
S/Z5QMyrbz8TuRUhtfPOGhoMLn2KGyX2iqzlyDRUitxmRcKAlA2vKTPXQZtu09mwv/K9cjF+ER5L
gsV5uRHIijFWDrJFJkuBSlbID5I+5ZwPzgFNCyyoDvHJjqDRq86IQfj/pZ7I23n25JAq6sjlV+ex
HBKSApMu+HQnS9vxxcciySkAzPo29qeIpbw4zqJzWWFCuJkGvH/NFlsfZqtJoh5XCVvV/Mn254L1
BkNbW5ZXP9PJxVBlujiarOK8+3WRvRQCm1zG4ziJH3Omayl98tqRAyfri8hCWN3PnZgy3PfD5dbn
KO15RELNa8kdlVDmAHyttsMqN2i5PT5nVtuoIV+1DfFL/jTsMcvYO8eg/rIoYOYuXzQDnJ/vcrKP
FqqOlbxyJF1UVDtSFotf3wvlaH7Ch5zAoB490zOuLkmW1aEjUHKEYa8T9zqljQp/Y72k3hKO5WQN
O/oSkaJMnJKjL1r4sm3ioSIx4d3WG+oZ8B5GHpLweAkHlkrkpQt7HvyQiMfMWW97eAZUHc8Xy0hJ
Lr6oGvzNt7hDuMtPE+EZlb8p6bXOz5EotiRla9ju7qn2C394Dya/XpLDnBSQso7+pLwKs3VLrVbu
ApJA/meZCocjOZshtXm4Z3Llrvym3raN2ku24aZd7TD4Lk+yGKDrnkVuA8m4mVavToL35Wom60kT
TJNVWBU0vc+st4wva1IrT6Cgkcc2jBQd1Lojx8stS1VRRd5yAVHdTuqzH6GRc14lMtjq7PudWpIj
vqUex9WUg15LDuxoovJ2fUX+24rDCtQjuRmJaPiDnXZFCr3WW0Q2P04BsU33LRpzbPyfeiB82j7p
0ox1FFvu2pcvqzQgwHaG3WHmsO84LTFlEHiRcQyjvC4iN8Yht1jBuAsmKlN0ibjcyeVddqogQRzT
HwhDzCH5sdxU1bitf5hJttWE6H+bvHlfbz/R/Mje07pr+x5OdIufWNJl+0Ec+x4/wcl9q23kVaKY
yinRYnJeh8VRh4KJus3KqN7+5eeQJaZkJQL2tv3TJQW/LadWGuuZ3ijBznG1HT6YLEgRAE30MONF
L2sSudcTtmd+KbXWLR3YUyfiC4R5VosOEyVsQpv6w5m85XbloO341Z8f5OmILQ1lNy/7cmJr8mIN
cGA1ysj35WXBKi+Jxg4jH6MBF/eWhOxR3EhJj4Cahmy7rPON9WRyT3HPw0QVb7zJ3XQL4zAo8RkB
7nMuy/yYcOAI2Efo2EJHDEIZdysz7ptp3sZkkKxumdMgrW/q+pAV8EKS4+WBkAfeFr0SGyh/F9iw
VdxmrqiC8A+JrzcHenI5rA+M4B9aW/A4b3IVyDkJTkvlPmUIqLjqIE1nZsPUssx2AJO5iGok8ZKh
req2a//D6e7Xs9328f5WqwFYAb6GiftrvkububWmPiBVdVkaC3LAXAXnAGbS7z/qTQKd2QQXw+az
SFnx//52rP9HUnGisU2YEEr+PUbscm7buFOJlO9QG2+jOwJPwReTF7zhVmrJK/u5OP7+Wn5NIXg2
7BP+53HzlMMZ5+6v1wI1xyV9W6RPEVU1/3NO2z6WaKSAAZrEltD5T8/53z8QNAyJA3x/SINpDfbr
B5aZtiGp2cljNzdsFCnWnuEaviPL3M+Z/fsbfMtD4Q7J3UKjg06EFht69a8fOFeFTOlT4D/+XDGm
bN2S9gv+BM87zrIPx2OhklW/N5NYYH5jzGWaC83SYIH4ZT/6wxX9OtJ55hylQjqBghDGukB18Ncr
WiLbmoJFdI/VZVJNxHXM8RmPH+t6DqKOV5BJujW6+4jmL1xBZ2XbhRRgNswajx0n+6NXi9azdzNL
C/DRTnX8OPMjcc75IjhPxtOlnqUuy+zvb+Lta+TFSVvY8DNIyWLcfPNU2Xe7AaPneM76cluZ1h+B
kOq9xrxfrNDIu//88zy4gojqbRtY9JtnFsxEI8B1zPnntjenW8tBu2Vlhcjb5+l/lFoD0gX5ha6t
TAzBVP235UBMCZnoMS/Ol22JIHl7G0FZMS8aaCPc8u9vcFtf/n8RivxsRPlJMgPRo9BJ9m0+c1rW
OderBw2/sTSMiqCuA/HZ10yYP03Bf/8oXl1IBY+eAxwy3y51wOUxFGKNubqEIqNHdoRxhPaXL7+/
q59SjH/cGLlCPipCIPOjMB++Xddtm7pMkGf9Sa+unfUHFxwqj9JATDLtv3qU3DSgBHBDbjUCIrBy
WgTskQ5OfctujQQH/2WpyPzcuZLcg/1QJzSMbK8WYgOvPScQ/Z15iROXktOnHm4dxyBduLJBsF2Z
lQYcNhjHvoZm55FquxOz0wr/IbrU80qfw4h4B9eVzi7garIRBTBBjp9jEKYp6SSuOGgEeb2v4Fbx
Kn4GKAFSe8YAfJJtKGzICTYL/8cydjlqlJPN0k0/AJelm6PhFgZMI237rKsWjEN1blzDDxBi+SY4
i77agjnrEtsAhCCvsrOxQK3wDvqhhsPX9Brj195XQQUA5O+UR8e2me1+BjI/IigqaxPPd8VayyIR
dCOZJc4Wpe8eVNjykTV4XyIFm2pFnsbVjO80P5HPr4rqWRD2RuLsL/QZRGvq20CcbnCCYQ2Ml8s5
LJqWnl5nWWlq0q5kYAKqDLsiG0KQHpZp0wnTeAed3XMfoi5SdKlNO9Dm3Qdvica1/UC9YatoEQNi
Hjm3Q08R4QMeSqjT+MwlcoJjpjvHKeLaIej818LRsw9vPH+e3M+ONy9DeCZtlqj3TRQVJeDkprdo
cqtYOAD30LCZWvqhaRfe7X6iWRZ4Rjg0ZPtiQjNMJfGC2WC6w/M79LiVK5h8nKajUFMXzTO7P0m7
GqZX367LJdsnkoAbdHbQ1DA+yLxYZgcbdSu5/VyLOurhqX8X1qzbxbHJKvx6RNE/4iwS31ucuMBq
5stlaFQ/osEmqEqObBpkOTwR8FQ+RBX0zm3AZbglLoKptMboA4t4Gz6pDYhwrHMv9XZZmk5P3rIx
Cpd8Sk65HMVVbov1utbzeEUmo30MtO/GcIyzc5APaBI7OeoPCYP6CsZEi9FOuhkYB1V9TO1NYBs5
9J0JgSKeOOySUnIb7zZU9ue2ZDo2k/Lv/Cnfmg5nGW/XxkhNMx76GLW5ebcW1WAfiMqHA+5sgdq6
9+uvdHN9ch2pbrW00tt6xMrpAYaJ0b6kV2Nron2Gn+Y9TfY66voq/5b3XbKvMpXuFtk0ey+Juptw
devjArRO71B7S/50uDSxLJrgOPEnr0POY696bg2AgCz51iHgPpWzA/ppiQrvmBV2+6TgpK4IvgFk
IdRt0+dpXsMvFQ0+OMqb+gNdsvKDTRfjGwk0Pd+1liXuJGm6ox765ntfBMl7koc4IbNBRN8cSj2c
ZxzlPI5ukeVHteBsdnASP/ajJOHAUrDvl9nciH7DgHn1FGK9iJIs/JgD4VmuUSCYr70rCxxGRg0c
c3KE1iCFvPB7OHh0JbYSS9/UEXKEvXSG4v08ipJzUt3eev3gdHESZu0Xu+jV3RxI+7b3nW2EJt5W
Q03H6WYmnL23g3K8Jvtt3eSlyPD4s/p9o58Uat91DeEeDegKP02qm77T+XrGLu6sX3C+twjK8QPd
ROvaM3KzCqktiilt9mqdyvnGN2mX7mxH5efFof/HwpEqHiexoeFDUHM3eu700VXGvfW2psNkel+8
afmKKzM5S4fpM+JY2pNatPNdOtNuGsFzKw4yGJqzyqT+tKiZmMymvA0dxpRoIMo4oK8L5lkj5Bcq
0+1OuBUGYRIF9Pmqh/czkuv3oJsGMH7DkD532dJ91LOq3V03mzlOHPxYu4Lro+IaknNj4s0Z9hTa
yTxELkQO+u6NxZeiVuuOIk+NVJyWsUqNDqB+GV4rV4cxjI7kBnuE/NKH/nxXkO8fKTtIWrkOyQAK
yuo4kZr0bvOl5rvKKaMv2iKo2YfEZ9C0i757AIJYHlnoIY2AAgyuBqelV1dbo+2YMv3stg2dOM3s
nAo1+l+0SJ4nzsnPK6i58NQpuUA5qdPvCw/klA0BvCXCwOVpwL+c7LTsqNgCZMGwjjvFj/Ca4AP0
HHrG9dEz1KLoVcxKfCh00r6O67h+Nwzw/YiJ5F4iLDjRp8qFFtoNT8SX1s6bmvHOopHh5xWDw0lU
oGTihnTyOQOBxl42syLZRR6SD4KscwUeFG5N3xSn0jP6GW2X4Pqhcjh2g6XCF/0n8nLdQ9Rk+spZ
quiprvV6m/YFDi6MJdsxmGYPjbSHG23k9ND0if6gobh+pacmi4PbLZCeMJsc0E5O7xwxmNtZB9N1
Ps2CJhUmbE4gv+Se4zEKS9Ie0fVq6eQOi5x+v+K7eQ5JnXyCFTV8YMNP6Zupg/vVsQY0TH5+rKLE
u6PC7Yh4oH8PQPKlgRqDFu24plb7UJKCf0hxtnQxyhD7qLH+fVKDkTTL8Nb1TkfS3CJUKskO1O2H
VKw088rSej6IoAyvHGp+kKVW+Y6OSYLMvLa+WQkUdPtuwT2XR/FSz8S6+8CQ0g7vSk/Qcgdehy7B
NFWRSu4mS6UPZFmqswUU66Ua9Bd+JyXRmzsv9Kkz+8IExXmOCuSXnnLyG/yK7mdjJWaKq2yy75H6
mOfcHcfulNHTQcZR5gS0OGp1eMS9ggGyzkKFnbqHijZS74YFtNbBrliHaNzVImnOrUW9/3axOjhU
e9+eBk1jj5FCj4M5bLpuJG4IMUsLr1aU01Nipn/7IYuUfizSfKwPlHwXXC952eZ7SzceIkS6wFmn
YOz79XEJG22y0xZ62Huc8W3Vljy1dkrLm5Izua5iJyByib3aJOM92ZKij4Vx0g9TsGLsb+3Kv0Ou
RzM/LNx42gcO4sOLl3P606wjWg2eT+CUNsiKrsbBD248d7ab4sMqcCKCLpk7OzI3LoudfR1KKgKn
bmtMtM/G3jNPkZWW+LfctIpoZETLcpB2WCvnp1ygmtm5mazet4tjraeJg2YBWKdz7bspKuYmdunF
GNwHFcvpHoHcuse6n98ULuAF3wnKm8Fa5r54Vy2WH630gqyBW9V78jR1uam0lOvV74ZBFuEAb6fw
wYI0pm+ZDyHlzdg4i1sfpGMw45UZ1dld3ZDmxewH02sn6oXCT2CK8qrJpdfCc8H1WeakSfc0x4Ja
lQLB2tOxLMM2glXQuS5TrShHGrzreBWpfvuDO5wtyEcBvsNE9ruAfgSk4sjZvTjK0t/GrUuhgCvn
nto2oY81PSZcg6/QnzP8+tTmkaKBlcz8x8WSkB/iztAur4pZSWHY8vKsfM6/sgh1oX/IVAUDKu2c
OYJcBTckOyjwG55379BN2zxTzK2Tq6IL5Zd0HD+va5Y+p5n6nGJQLHYcE+qnCW3HIQkTfbLZPGwW
CV9T/grWW1yJ1VmL3BzHTEex6tSqdgEyTQVtyKufYBX6e63pBW7AnbG+jkP9dUgTACYtFt4uBeVF
hTGEATX3W9MXNhv5EOEfegoQEOl9PpLrYTwwYHbo4aZvTqvK9wq8WnjogyDFCtW0T6brh/RgZpin
dDmpUxoT4oS+rsHGwJPoqiPuF+8JVohziLAh3cJAs+7dcpa3rqJo2aY9xWtgau3edZPxS2MCc8LV
BVfKDtiE93Y0dv1BOX57Rj84IV3UU7KL+sme4w4qdSz9HkBE5NS0z2wRRJrr3ufmQKpYztOa6Pxb
Qt27OxXU1/aaSTnt1qXU8DxdNn96+Vb7vCC+4BKSR3ad/GhooBTT0zl7ofuy85nM23xEtBOdWjuq
j4EKigeLtsjxWPvZRwx9z1WBEizl4HYM3KT41E7u0OILa9tPwk70jXFFMkP3nIswxmAkIWdgUytT
mww3BJuYw654V3AsuRknJ/9aZiL4XCap87HE7HM3Urnde6prrwUp4xeS7265rWl08RGF3d37SSKI
W1kct0Eov8pyOwwvAF7ZtWe3f23H0MoPlQ+hdkcyGeNp4zV5G/c6nwdqTWtLsjCYCshjFesITU3z
wruvVO++ZnjVy51LI4xmV1RBFtLEre5i0l+MiWxRdDbxjQuoLEPIqYm1yvSmhlLyl+LUlsWlEsL+
zMY76V1EO4/xyhpKYFSqsK4AUbvPm27g6KxjaXb5Yql3njcXr4ZGPmwPnDyP4IJQQ7WJJ+4o3elb
ILYOTSZTQpq7uTfqtXSHOY970ozjLh+r+esAI0SfmJSc04wii/ltpGqFG7cYR9CyI91LOszGbK4z
je022eh3unyNybEOsuFW0tBlox15ybAHQ2h5B6ur0fza6+i9DH1VfQrUONMGV0DPsa3OPpspcJ6o
roURqiBiuJ0/TFl1go8y3LD6NdNh7jL8st0cEXqi4sDUK7LJwdqXbEo8fPce7UjViMMARQqDKJZZ
nRWyHI/p6FNKqcu4KAnS9GE7xoIsofGxS0wNdnr92MCYKd+5rTP1e04VScmSFvktcFPtYHtfThbG
1Ua+842gA0vpdLn4UiEbtZp4tMIZxzIFs3K278us9dso5rQ9S7V5QeveYAGcbG/ZZ9SvQgyiqLnl
sm/GJanLW2yaLlTE3nAAUw/VSHaI5gnIvCNz1EaBzAL7Imm6OjFVKKPgxhEN7uK5a/3hmBKrNdeg
YK36X33Xz6NHO9ky37pgd9TanhLbpfZyUgilhmavF2nZxUNhVMl7kBZyKZjzhg5PVG9AILXO99qK
QKdp1Rc0lcHRP3sfPapM2dMlWWupreAAPXJLjbpOMqvbKMKqQ8mVdZz8BfNwxTEvE3v2T+iqV+Zb
5wBW+2TUlGGXbEISXRYn26SYfLYIluPhBcCc6AAvElDOZ7uAxS1jk/amK08r1S3eFlte0RavIjTN
WNNwbDBLA72T24PZ2qKygOPm9aJOnsTgqdw/+AhVc3FjG9Ph2NyLfCDG4eyQdkeFSY/12IJWV6JC
usccDa02UREr5hLRG2gI5SkfgnpZFFnYkUxqHiOpMgAkDmkzy7wCn4XiJiJ3APPzbiX0C0FxVX5C
FWxMIgVTS3YRXe2XVcgTdb/6RYWmerZQ14AZbTGf7aRh7hxQm9Tf7IYWI1RpAD2Uh9bv6UA/anQq
826ljch7DENm+aGyv4nydHzwUMdekQfOaeORiLh0fXNfOOALD0rUiLXGiEKwsqqnAq9xcN0RwuEg
bdRCH+JmKpuTHmxUjHOooCUjoS6/qdUGA5loEFM7n30U2KFYl8eeDgIzAYJVHYhAOSEmhfKwXPty
qPdJHc6v1prMCw280qlzHkNMlN4eBFLzVdOSQO/6YuRo0KzWyGlEF052IJzQAOAyrxy/pRA2ybgQ
UeOVXsssPeLTGhPrWBsnRJzjdsA/E1u2LWwIu79y+jb4VI2VdPoYUmDaxiQU883hHSz9uQ592+xd
2zPDR6QPyCZ2WqGyi9F0dHTshoWFrojk1jnl5I17vCMOB69l5LybRBkcgtKvbqy0p4svwmvMFWjr
aBnaxe5iwJk1MBF2gTVkJ3wLvJhgTsFOoK276lTVFTGoUvm6IlhgbCTRe2PZG6MZkKnvKMhPvOw9
DTfD6FCgrfhuIV4ieQhG6M5iGe4/c7icsvdBUest6gJQfUUE499oetvkryyRYjmJURaPcBuSe2SS
6bcUfz/tPKd1Rq6WGDIj65rTgx4CEf3uPfMwady8Z4WNjepwULespkGNWaH0okeH9GGwj4p2uoZd
JPP9hDbmr0nQpSb2yl5eNbIokCdq74k+fUDA3Mb+6MMp2EUBOsQMwBcK/X5ddliOljOeSjff0/Jr
xNRFL+t+B9g5Gq9TX6NO65sVOWgK44zLxWKMNILTcKwaXPFHKkTUWW2BsXCfjgLUBZFPQhZmUAHy
QpHCcdylzdLfC6PMXeo6wLZsL6UDOUII9WGagwHV8dBwl6gBgs9SZ9CLawLwd521Rbx9SEvUHTE1
/Zj9MomQo5Q0ptqzoRcor0iXPKxAaUE0+ErBYR0R2O2FXeeHlZ4ZZCg85HTIRmraYAn1r6nPmoOb
9CAhB2/5FLBajLfzQNPdfdWN4WPvafDUg+V5HQeCnCxQ7bb3okrcW9AIZYBMKFnqnXaS6NayMvd1
qfIScovqH9DqQfbMQ/cLrhjTUGcIoiXOvb7QcYBNe9kb+ov3u0rjGT+YjCavrL9aVLeF4y7ecfAn
78VKMjWfyVyVgmQAzSl3FdSHT7SOS5cd9mV9blGY2IcAKheHgsjF1dDRTaM+1E6RfQBVoyfAn+zP
I/H5PhO6A8hPZerdJCbS0MJtk3NY1eJjh8oi3Y2m+iT6uv2oh7bdZXlD7hFFJUKpdGTIV/pTak10
Giz72Yrx6Dv32mDv6cm7fG5SY13rgkm9BzsWvAOW2N4M2OhjTuTlHXmB4MpK7PCFjDH8gLRJ/VdI
2uIwS7t/HOESXJd9O7hxMYbTFq3REBIKMimeoO/Dq15kjb+HD0PgVOfRfGrotVc94pbN95rk1l4z
1IGTCs8cCF+c22ZpM7SBk/MxS5b5Y5QMDgxhY2Od9MpDHVagGtEW7qUnh+eQcP/kyMR5bVGgf7T5
FW9nzTw4JP8f8dyE9zNF/pOCGLKbQ/MFgfLwoIy9QBwbWtthHqwPUWqVRDQO1HT2A8i3JuzFPoRt
SBbNups6V/9VkOwA6cJBpWsh7e3mzGlfrLCST0WGeT6WZPWvlWocSmEoLaFRfF0M2X8NVJh8kH5l
gyrrcU8NHBfTR060ba0etexb6b0bCqBK86EPcftjWe3wPyMSmJcCpi7GBiXadzRe3jyCk4tXw92L
1p6H7No2WV1g/gcXMDwn+Tx5X71GtuUVjKl6kHEitT0AnBg9OWkWrxI1CzUt9BFF5ORY4xHeOSth
Y2iDJtalr+352kD9QIDnu7N3BGE4hZ/9phlYVDpVVjPEpcDLbDrejw06hb0FbTZF0EK3yhE5MmE8
qqoFLzSTBhm79JCCZqr9bnfWQudHCpoI9Q69mpYSmu2apyVqIZUmm4icMQj355QW6Wp370cRDhxh
cjH7Wr+04ZTQbIZCbMi5D8tQPhfnomh7miWCQaIN2sFWwvTdqynX0QH4VqQqX+KplYRku1VlrAxX
CX7mIorJWG93Iv3UjqpTls5j0P1laJ3oejv4eiX/hhY+8Odba+g5MN8WS0/jFBiQ8GfG4x/Kc78a
RCj+YaCO8MpS5ESmh/Dh11J0Y3PmKGYVfbULXCQ/q96uX3qUn7SoU9SeUzg2dWzXUrvBLoBQjlKl
oo7Sx4No5uC5+FHo+v11/Vpd5rIC6vTYVWkeQvHw3zr55t7iBl6aB9/KVm2Flvoi/KhLSEFE4y3l
sj8UKn+tyW+fiI2bp7F5hyn5bqiAf2oySBqGg41f4nt9+cTxoqoRXqMpzfdBJg0iuNGGbRxneUGx
8vIq/pfm8CdIH7nnfwyOf2P0/V9cJE3/pf8nycH58Tt/I/qi/6J6iNmedkO+SxmdMfwT0kcrQpQ8
IAIwyeB89iLe6t+QPv+/vE26yCu3XSwtAUOQWvKQ/ff/EXQpRNKwNc9BoYGBKvxPcA54zn+t7GO7
+h/2zms5bjPdoq9yXgBTyOEWQGd2q5uiKEo3KIoSEX7k8CM8/Vmg7HMk2WPV3I9rasZjk2oS8Qt7
r81/kEo4mobA6S8OThwgulnrg3kgnYEVgoVoArq23C1Yro553Fh7YlKxO1fjOH9lN+fcWcKkzXU1
bbyvqgEZUFcrz7mT02BapndZkJ492BljFd+ubQgMnelcklx293Mm0wcQeCzBBvDMRWxrn6s6Ql6a
OdmR5G5wwDymyGPN9pPiAtNPs3GiUieR5wWlvEJeX8ziMJqE/h5VhTjyNi1PkWPku8HoKHjht0OQ
SQMvj3gAZ0Vy1GTHtDctEM0Wig3+lCSKI+pYtkZRTgBJ7ea7One9u5lEHzhj9qTfJgW8tZMK0kbm
lGk0AkDpy8potrqj5Tut0uMnzUu9i6aIqzbR4ES69kDlXYWaTVlYNgw2fBX73Ksxz1SUxUy8MtBg
PWiLtme5r5kA3NFq4LSm+GzzdNhZuVp/Zf3VbI0Wf0WTtvmuHCrxoTEzG1Nfbma7upiyPXthVLrm
yNjMmbWg1/ThY+WmEfVJMt7IFltevHmcn+gJjVvMRnLPhLe92ERH3Cybg4MiM90ysBtO9MFgAQ1y
JhhNONtagiV2NMGvEU+Tb4oyR04/sqMS5vAVfLCfthYJEF59ApZwMBHlbwbsQejNqzLsrOhciLo4
KK5yoJQk3ampiEqWbbNrGklCEBU9XVefMu02xx2i+uigY5+/4mFe9K2nZECdeZ2snN5sOLFKyh7j
OfU+OQ0ZKRmqeYZqRAbXcmwevMhMzySjqOexU5kQDExJP+LZ6u6yQc3fm5VZ7yhydM8f8fDsrSkH
jyZyw7gt0J7OcWwu29lxGJIqtevc45nX6MP6xg3TzpDrOlm9ei3XShX3dhRki5m/DMh8LhFAkj37
U+Nk93W+K2qb8YHrpE8N/otLGdfWjVJs2U/JzLhAkcZJH61V01nF71Bvdw/ZYngBsob8UCjDoS6j
ddRZWu5Fb2r9UwkE8NzEpiAXL6/3WZbTDhaM/rajmVjv8no86clocjk27V5RewrtuH9OBuoUlgJC
wwkQOc+snr5ZzVQc4hlGEuBH61ABKNo6LtTh2Sn1R8MULwTtgQ9XYlP/5LjlQyWN5bEj6ocmslRv
VWKDSJ4StMc4yxh+rgiFSyI1SwtGJL7PbL6yK6SrhnrBMLwX6oNkV0q+KV7S/IObqkUgDQWYuxTF
KYs5iaNhgGUfGFq7CNjfO0bXMzbBU+33Qnvoq/IQ66N9BBO3K9G5geV1wOaneSZuGEjzeyvK9/Y8
9kc7WsoDZSMlTj0IylLP+NRXpAk6aJW3DNGaEGgxA9lyyu7rTjW/LQylAkNAI1zWiExmBeIJ4cn0
wSlr5UZaSxVwQh2E0Ilgw0hjfFXaaTvmdnNqWrqxwPO2Vp8Vu4i59JmCNGflcpNRJJ8UOC9YtQzt
lqm4BkpMoV2Qj6q8lKpsX4yenpwg8JB5trNjjjdtZK4NAMcdw33qgdLUyEMWqHoI7yqExHP8bukq
sQMJh8JmhssbtHKy1/IMpW8MGAPqdEdPWA1ggT1PfoiX2QQbJ0jNyNuYqTx5bpRqQ7GcKvrM80wk
10bTlKdMXyPMSFswNsRAkOtsN+SFt6Ud5Er6keG7eshVGrBKBQmvZ6L6kiNiP0UE3N0sxhiHrrOm
glQApb+lK7DOccrAoql+tpFc7DLVcq8qAos+qBlRX1YsMVjoYsl93Af2hqWt9wiMS70saDU+Eiyf
3hWL/Oxh0dzzRlwCWkh56WIz5VIas7sus9HTk39yVwxme+1hyJ0zdWzoJNOcbUFRbyqw9lsNZni4
6Em9sbrG+CjGQt/bRDxs2sittsmU6d8AzAznEeTHs2k068uFNfFTQrIUOGxN5j4h497WILuDcIeE
Udccj4GiRclV00iDZsJs+TJuJlijHPoysZYQ+nm96SbdPblr+RxOeZW8M5xs5ELTYLfCuWdJrw4k
lMTGsIOJ2h+Et9Qf8gFdjFZnG1yKy1VIw9zUEhINpmCV/IxBKU12StPWbip50WSswwaNxWf6LRGO
KOd88n7Vc8otfgJzUe/RC+KyFE3rfRK2nYZFOapPedRGe55MRJ71ejjrtnVdhkx5qdExHmts7ls2
Od07LS3zg2UqGAJQiBMYNLof4tGNtpraqO8TmTIOlA6Ll5mN3xYQXntp5+ZLyXzlRV0GHv8DiWn0
/ZNJWh9deEjUFLqHTjmR4KEzXStZQqDzXhlMCjEdA8KKQqTqjUoXRm6WZfHDYFGIgJxliRmU0Ppv
DSk8+yrhlvan2hHCX7qWgaATuc0r9jBxkHmi+9AWFHBxJGixZbtKWYp9bw2fmArHPs9ahjMudlHy
NOxP7Faf1Wh4JY/pE5iH+1Kjz8duRCKF0RSHlnnPBj/sA5jS+lgnjvMga6E/imwsX6AsTR/biG+U
pQ2U3E7nngSCOua3GI510zWy3xE8xYL+TKnFIIDZKPbMTapXvcm4N03uJkxMTEimwb02fTPbT50d
vQ5oYV1MyCMnDq2QXm8VRA9BVKk7HFP1sivoEM9p3SjVp5oHKLWXJ/G+RGLbCMzsR1cRLV1eprOA
NQT83bk8Dm3qfAJw3HxWnSjOrtGU5CcnsbT2gZlfEu1ysLqknLMRZOILJ8DKvrrJ1CkfrCaarI2W
YIpGZ8Tu+0BwnRGWijojSKnKrbS7jx12A78lQjnEmc8kLDY/0naMezutcWEW/XDhK6ethwYfGmBC
yol5NxD6jShHqSxfoDh4ZO6v7KlFPpQLnNkE6MGRNwi2KyWNEQ3lEEBLbb7IJG4uLWfzCDfXJxJu
fF7NNsfWs0HYmcqw08ppZny6lltAJwaMkTAb05Q0gS2abVynABH3CMdMGJVuuuvY8wVzZN6KhdiY
rFHiw2JiIUb7Ex3bQk+PvYo8RssBmqGhuksimy02mvPPg2HnAZPLGXC1TJnudd4GIU60adO82oyR
WU9+lUDb7KOatT+neT+otQ7zUS92YKzUV3izlNFQeFke+ww7tK+2W9rux+57JtHwPaEoatin9EQc
vKUXvbUm/23iftPEYUJaVcT/xy74Sxd3n1Rfv/3Pocufy68/dnJ/fOMfrRyAPU1Xdc1GA/1LK8e/
IijIVBEfkh6/dmt/NHKmTqa8Bv/BRnSJreAHLp/JH2daKt0i3ivrP2niGIf83MSZLn8xFoDitSq1
/wI1awjPaQvPq/aK07HFnZOKbBAUGxBPvIKnkPWEHlGec6VOecjWT3lsKQd1dC56NSAN4W4QYd2Z
xc1DznHNwZlakRqn/ro82FYmqQfLoBiHFqhFYOKYAj5L8oHbORcCalgeT9o1m8b22TOKsz3mZ0MZ
d1FfR2HfWh4orcLycznwHmnTV/IP0kuxrt8bp2aiWLKaVhWXwaGlj36qUrF46tXWOsP32vEZEd3k
W4LNqEnZ1vbpa0c5GBYGnAynci+OMeE0d5jYx+WrJ8rzqMl7HmNkoiGbwOh3HublCnzzpMZ8VZsB
zUrS57lmwwaA48XqxZHd90vl2MyMu22VR8CrisT4yK24T1vX9keVm70iyYwYOvei9caTkPmzoy7a
Vo3He7UV5/UI9AXFmCny1wwLXADlL9saOT2hUSC2GgB1+3KUCK7Ge7ecaAh1Oz60ufcyRsLbaYm5
J+PsJAa9Oix5ngbK2HFggN8TlnPUEwQqk5jI05zvx5q6xRDHeMqf2yZ7rhbr4jAKt33b7DYmvxDj
+Neqn69mzrmajR50OcGqiimOC48hnwlpQXBHzKax4kDB4SP6k80AYAg12VAGQbtSZHXqmRNuYmU9
lknxjHQHc/C8YLUe0TCtn1Uz9md9vlxpwq69Pu54wZw0N+bNKtVT7VRKAIj41cj5MktLz4glTzon
Z+9WyJAyNLV+Zc6PSwQ2I+9tVBrYV0PR8UESeDQaXBPFmpUdqxkIjdngKrOmB9bp4TSXY4BIrw+j
Kn2mVPQ2uT69uNVyknqcBlmCWVI0zlM6qV/cxnjnIbUL7JFtjN7vF8R/+2aSDwvzjTStkUi0xj5G
H+ArqgvPp6dsGYblZKMC24wj5xMYknH0UClupmUd+eqF4dNYPEJgevGMsYcbx3y8j/Oj5siHph0e
sDm+FmDtMKlWfTgU0wPuF/ZqaU+AIGvWzWIrSUBxybxiPe5aCcfBM5+qpsyoxawLkmJnCzL4AWAx
8t7J4VI07KfUaee9PXE5Ktp0qXWl/gzEwCPBMplDxF4SwgOXXT7FUTA3JomqXi/3jTPLY1NZ8tAV
tnuYpKK8E8mcE39bF+9KpZ6J6s0lyrqmCyB2Gy+91n2G+GffabhSkVNMSE5NthKotkKvaAz8Jsv4
DGWpVaBt67AoMrMpH6H4PRaTYg/hYrJbZ9mVBnSRF7MUn1uDbBOGyJspwRW0GGlY93O7aUyWBiGw
DDtjSd/GYG4Je7Gd5pIrybUkQnQzKuYjYp8YMYJl4aS0nqdybl9KfArclVmC9qXxXWfOALV7NlL0
gn0ry/Wr1ls9uxku/yXTXyr0TX7XFMQNSBXVn65tDafivM3cAsPCZdhEGmBcmFPvTBWZEr6TyMc4
8eQo9oWt70isYvvKzuZk2uL4w0vnb4A56zj7By8KT3Emfh5MRm59h4HcL+PuNLNZAY+i2gOvWIlN
DXQed7pQ5p8XAOS/mSn/PMW23j5thZMCjcVCxAKan+YHnx8JNENpMwvYx9zqYamJI1LLxLdZhvzm
k36Ghr19EuxlF4+bCnMTPfHPnzQ6zmRkUV3t9V48e6v0dH0cZ9rILKnzwYDzd+r3gfW/DXr/2cX4
x2eCALRJMPTW//35M2MDGJxLFO5+ht1BTygfQM1AwzLM/YhBnsU7j/18ObUdT7d/Po3GzyCePz6b
fQUaG4YhzOx//uwavzpbWrfcd0VrhFlVuNc5Qs7J4+KEUETsVW96GRHEbMUo4ZjIjvsWWjijh/kl
sSEIlctpiFklL4a19zwStbOBRAd3PI02j2/X1mGuI/drquxcQrkv4BJNRfyoWkkR2pN5GVzyqLFt
ejvLqupPLIntwHR5PPzzb/o3l5BhouxkM7NmrP+a8KLnKb5uJHH7RO+2kAmuqrdciwV51W8+5++O
qKkZa2kFfhJs2M9HlCAJ0CPueq16uXkgY/Q6aykQTBa9fml7Wdi54tzHWnHL5Xx1erW4JTHvUHOJ
XxvJc3ktVbI1iVrTpxMIH0Zu4/CAFvaCk3KXuDzuUeYUQRwn9o7UqOkptvR5x4qphvAwp6dBbbt7
VFSPU8trf9BT89inLhMtu69OZpm+RqmFFYUJI72RW+0mJXuNKjiERKAvPSs8VO37ZLb2SQIKIi4W
AGf1dBLOSmMblitDIHpmnT/bc5XPrSXmwNGosf75QP7NEwYXn+s52GodwFy/3ImwIqvGVIxyv4zA
gSgnJp5sVq3bvoKV7J8/iwr716cZKC7eUy6UF8/S13//w/MFOh00WwTge+Q092aXHovqdw/Mtzvp
lycmmzHQ2et/00P+8hlp0gjsQ2q5rzxZb7t00gMzWl7WJ32KUnrXkwYmdHPvKfoF4UuycUpkNFP0
kRXDF9eWxJsUDB9dzOl7mfESx/SDmHiG66PFrwv+uo0TpWKfG/biZ5ZB6KS6dHc5Gi4EjB/cnn9s
Qxg8mDMb1dyiboHnSrStB85Ob/U1ebDRd8NUozHS01er5BJsUnGW0yoUj+fAtTMKVA2GmKUxiigT
cp3V/h7VWMLWfzn95pz8zR3LuWCnisSJNaKl/3xSyATrYWiTVKvlNAoyKUjTgxPm64rgd044Aoz4
szCf3Uth2dDDulb1oUuyiOdaJmhgQ1IicK9o5VrYWhUOifpEqiWiANVZfCEB7g0OytrIuqyAudBq
eRIhjK+A6syPYD9flg4EgkMeAP6NwEMIF7QKWaaJ+jhTiPk1ChF8HOPOq8f72LIHP2u5Ps2aB19n
S9hHCvF3BWm2O91aHlHsy/M/H6S/uUl4Z6x/wWWie/vlGI0xkaFAsMo9mcghJc4EHoIfx1SJuavj
35wR7Mh/vU9c3sI81jR8E3+5J8Gl4Yc2h3Lf6l2J5K6rQmQLx4g3FYLnFGISl+Qy0yDJdZhGYM5T
GudnRC+o8qrI9qvSq+EUy2bj2UvBtBwVXzm7Xzqh3SnSfQcnqQsSj2p/KisjNOruBW3E/ZRDuCUj
lOE9BhdDPBMmTJU6oldZ1HMzlCjuKzCpab+RPSCanlP61l4u5mSEqcUXkq18tJVV4VKPcltHA/qq
BfXF5E7XtyaI8XsVjr2ojuUwPqQ9jaQr4iFYGlo9axmxD8YoY0yP5YJ80IV2RZPCKIhqTXOGkKSX
OVz/Rin4JxFS2SCqB7nVzLbbrLdRN1lEM44PwNtoICw2hK5dK0HeUC2BvUPiInCq1Hx1q1hPTQae
DqJvc+dZ00u7rtEGDnCWp+fUoGfxJkpxSO1PWSLvkZvZhJ1bbMCKoyKz41Ig5W1jbuC+z480xbsi
4s2C5pELk7vDHvtzrlmfk24sj0KzLrKToaG3c7A2RqhnIKI1bcWo2Lrkvfmkt0imfnPl/s3tTa1j
AbYGwmYavxI1cyJhWOdaxb5z5peyk/dkIl2oLzh4Frf1Wn+9tdoVcLgtXhneh+s9Xyb9dh4JiW4y
vg2jNfGSZbbxhIdCBtJImPcxUkPdLTfeNMz7XOsIC08JtibfJN00ZR6/gFX2znWLOnSJeS/2S+Ld
gQukyneMi67wjMn6+REXIbaWFi6hraZDMMWoqeEMXIaYxpD3YWJUnBDAKgcnGx56yRO01fv71qUl
9Yb8LIfh3iQkfEf+xrQhIckgFHOB1Dw+ZGg+wwJPi29V84vdoW7ERnOPYT3bg9y6SF4iNJnDg2FP
17Wa750/36//nbD9bsJGoiA127+fsL0T+XNSFWAOvpV92s/fkzLevumP6RpqCJMdnmPpBphz400N
8YdQgtH1v1SwCvRE6/zNXF/zfwolnPXfUNPgj2KI9oNIwtasFSevm2+91H8mklg1Hz/WMhpMDAeQ
lKfxE2gG6IWfX5utFOvIhnwkE6FxaJj5tk9kv0XQ7N6spEwqhH0x4VR9lyzWRrQI0T8k61w9d2yd
GfuEo4uJe1EQUroDlmcwip+b/ES6eJpde7tsPzMaY2q/2CUJcHF+6teZvrdO9/GhpsVRX2f+9jr9
72VW3mVvK4Fy3Q7I74uCWdvRdkjSe9Y1AmE+rBTk23oBsxQavredg3zbP8zrKgI4cnKXve0nDAqh
MvDi2k2fZa8kTwM6qmJftZWItygMBdE5yL8h0iqwUVCqqyJNJr8Y8WWNlzwhNMTZuk2+1Bcycfl1
WSa0TkB6W2ZGe5J2jXbaFGBElOJYokHBZ9DoYIosUAZOgV5TX7D+ocfgeKLSn4thxETMQ24MBykd
LdASmvKXcczZWGxEwrsHzUHZWQu+a5CvDDAHcoBgeA4l9uGStPYimJA8YxpP3KUxtdAC/kpwsw2J
kxkg04rEEb6L2nnJvi4RCkJLYKeEuhXKuErBZumg4nZYmKL24hT9Oiwt26uKMNpHsWn4ozRbP0Ns
e0gURe4w/+rvBTOP1Dc6lTe1Vo430KjW1vbq+dmpM7EZ8yEP5tWzn7KZ2kq3EHfERxk7mJbFoar6
YSdK2TBaKiseVDIfDi5yTWdIxLYoSuaIdhK/s3R05zLJyVs0YxGavWX4GczAfbd40Q2UY/ExKpW+
9gnkdiF9yfod6cMfoJXGNyNuuuuYSOeWY7L4lKCRD2Os9ccWL8WN66HazrJKH/NuisgWr+aPzHpQ
lI0DWcgRtifMiqnDjEpEj8h4DTQOtvKOcnrq/Q4y41bCVb6L7CjfQf1PF17drZgf68a1WNzl9ge2
6uV7zOdCww6OuBAWXmNM1C6tMwWM+JZDSa1nE4TbFRusH/0BM3y7QzQaPxoEwZ08UhoR9NfW+GB6
Wkd4JYnzGSjUNn/VRtMGF+ks1uTHVVluhF5htGf2fgUI7xza0XrIGifsssE0KHom4s/mOo4ZQy55
ib9gkO+GONYhSsPgMk0PnXQ2c66HvGtvYBPKx7abyp2MnPrLqCcfNWQBoN5c98iZZgVZs2Wau9o9
L2gob5HdJccS0NVDrBnL02AsxFt7AB9esqpVT0QrIkhpGsM5Qqv2ttCJv0lCd/eaRVhkMgmK6cjJ
GOO7w5NqZ/nHWSzpRwaNKUyyxhUfG6X0wpExwJ4SDOsg45eN54z9Nq3tEwh4OyjcNN9lzNzelQhM
juPUrfLyGWG/z/cq77QspbK0FlDAKNjSa4nYctV6T/ASiXPmKqZmTCwX0Ser/i40lWbeVONQB2M0
Ega3FppIaBJcEmpQW914xDwHtm+29EfTgVvSK+0H4kLfZ7XifJ2sCmoEVj8V6sCI5C3Q6yV7cNrM
JF1uju7UHlcSKaKEDafxwTM75zyPbcOtMXTvl9wlmr1Vqxd7YCFds7q8GoSFfIFSzLxBU/LJ94qx
PqFuNTFYMva0m1wnM65o5pAg5/hs6trwqbcU0Hg5HDlRqBg7NG2BRYx/L63jZyTZ6bd8hI/RyeZO
H6JxY9njhKl2MJ70JEr3huLoLpEK43ynT2hpTGGPHQUhQ1hfmIl60ZqJyMRKw02Ej6a6iazD9UqS
J/NpXPMUhWlJqRqlqvSTAj7JXk/6CeeE2WG8i0fjvewj9wv6BQU3VoqtEAoew23s4fM9S3r3rpKl
9TxYVJKeHbU2koEVjjGoxnSNtTLC2OUmHVZYUz075DY8YPPtLk7sDSh/B2MMNQOmod8hC2AwJdnx
zJp7p2g63su0E1yiFh5YdXqhdC7vtdGeD7ESdQF/KEncWQT+UdTermdme0fpz+waTdELTEbrtVLM
r+yqdXKW4Gkwe17l/V62aVi6cJMr4jxOiXv2DCHuErVi2JstL4mKM6tRSfQ0p+lDpbbvWaOjGdFa
3DERlh/Ao8k2Rb24IyjduzVaW9GE6gkI127smF4ml1zIeItlKQrbstU+po1l7rLYUrfc7y/ZUrr3
jd6NQUJu6EPMXpeqt62PYybwebeRlZ+tismy1ZXyXJVqvMdYtNoxCrvfmXADb1y5RViq3nhN56r9
2rArh9lZazllj+k+xmTpHfkJ51AnLzSorNoiOU9YBTAgxWLWPzPiLGmTENZM4dypKcgCTLSox6td
P0xDaA5T/0lv2yTMXabR0hGf+077kiEsDxZej3dyLOKBUcOYXE23YXmDPCicigTujTF1rxpD2w37
meF9RpzQRiJq31SxK7amW7kY2ZTofSq17mKrTr+DAdnwU6TtOxnDlN9kEFeRS+iFi7EhUQ7jcGpT
M0HVM35pVTP/3EzjsEUSIr4CsdU2M0pHinb3c+Lm31qRdgdEXg4LcyHCxuLvIsvxfPBl9l6mvXpQ
0bCFMtWw00AAuFsw/L14AOx4dibKrrdKxTcRkd9wzBhHvctglvRZA5g6rjcIQry9gZRj60xUXsif
rJ3QE3lKCxZ1aE7qJuw1RUGLsPTM2CoJxqArX3prROho5g/pEGvBMCf2fgQ1hF3lvJhjjYMIlINa
e/q20qyXRq1vAyJrgmlKzMbZsuMRrfgzTgnGjLOfJIAXUlJiwMYT74vc8UJTeXOA8Xhds1vGYvBh
Q4yhmpT3Lv7XY1Yt8RbXjes3jBiQFpWIVZLk2C15DFabDWmhKPdeN43oRgawN3OGfMkobsQ7Xwk+
SNj7IK5YKkycdj6zlx3WRFj4MV1fV2G/1GWIscAFijhoKKUMYhsVx3in9BN+e09xHnoTm9aSRRUR
0tq3JrKVjYVtwmcxUvh6SjipjMgI9UtjuI26hnwPO9mGASHSjw5xxiTLm834gJcxCVQSXlCg4h08
TARf7rMSf1mcLu6x6OcbxKDP8M4/vDUI/+2lftNLMSylvfj3rRQ5NuW3lz59Gfofu6nv3/b/UgWm
vCqcJ93Aj+euM6w/minH+BeTX5YwhuOaq1yBzckPYgW2FzobqD+l5X82VKb6LwTnZIUZFospdOza
fyJYIAP354bKBNBosNRkjUbHx1bol0E0s3U0FlUq9xX701An32yTLKUXWH3/NNvii6sixq4J2dmU
mI8Dkdk0UdMsjq4m6kDt3QdXuuJI2rM4T0N+J90V9EBTrzet4WPbRiqWSWAlq4MSX+6yNY1CDdF2
kZjpNt629hReXdx6AY3frY6kys2L7CkzXbHRGocaklHcytqRQUaWb6Cihgsz0T3J3EOulla4fhiP
2Vb2xVZqNcxJFsF8TQdWUQYfatk+aW5SB4slqdAXS9kA0X3EbHbPM/eLpPLne1FiVGzq4x5bNRi6
gG7xprG38vWS34ckC8gqbfNkaxl4/NYp/VHh1ysxiaIgLnEpKdS1rXsAIdlvoo5DI71oE/cFYRSZ
eNWFMvm2zaGs3LYL1YY/lJAXql8Rf+BX4DCo7qFIuy6MWr6KQHHGz7WJMhWegj8kerXPiIpHFIHc
y25s/q0wb6M79Jv1O2nvXD/18Gkv+ir7nTkENZSuDRnOyy2u8ps353KTd3wkQd3WyTLZcpSjofNg
5wcyaluE6hJ/ALOJQtZZxaxV+TqXTbVvjBYkRzQjeBSzHhNkH79EuaJxHLwHT0X5TE57HXQqVtDV
67U1e9cFwy0R2Wde9wBPQ4B8QbuN2XjZYiJeGOhy9IyODx0t5+BqysPbRZI2M6pok6j72uE60GaD
rFeXubTqPYzo9gMGkzJAdXCTKT9UnAlzfeV5Wy3DfFvBzjk6Xq9vZL1eRT1fy/T9knYa78Oq0zeO
TLLAjuzVMc2FNeRFHRSWdeF6fp08Cm0ma66fj+kXBh2c+4X/l0W0MeRHlYxPXSzFsuJ7Co5Sp1F2
knCxnCGGeUHbtU9v57uIeX9JRLwBrN1lGydcMpiTOPUNMsjBdvOjyk6Dm5yrGuWZ7yZcna7DpVKt
90Lc9POHnJg233bxsmv8INx5SHYIKb5AVzk4pvMwL5z5seE+cZwxOo6Q1s8JAuoAYcSTQ7cYsLQ3
uOG4mFzuxreDUdbcFKPCl9ai+AIIWt9EAGeOuQ7V24y4aHPRRccZ6fs9HtOavmAEXtMiFTD6ugYl
reubVlRqWLQmh1SV/Axx0p3cjsUBhhDtzmgiIpv6Rd8ISFFk+hggkjLe5wNR5EAUUCCMpTi7Ojcq
5lmAV7TQiG/jfKNyn6i5TG8ysS5vt5eRLctehSKOkTMnZ6NykfYNeBfUgtNtJh7Km0QtdxOKyw2d
PrehcKvg7dwq6CJ8JSrvbOjzPEK4BJAeeAHsLFa261UOSnnZVgxKd4icSYkm6GwLJDEPMbLXwdsF
sF7h3OK31FxAWs08xjzJ/W0u3rJ/O839AFisb7mMcMIwns+06LlOLWVv0aMEi8JnYSlX9uQc8PSy
0i/MgTgFmnhFrY+syuDuURXu5oKUkEAvGQGo7VDeOak6XazJ2rlj9kWJ09lXIGPfRUIXG+ScaTAs
qrKPLe5TNEfa3ewk3taxuchK4v3uFOQeAdU2T+KswDbFw0FbmJBP5s5Lcqh+ysQfpo2Syt2wA9a0
BvAaq2Ma1LWHkUVa6JRsvae0UPdqZRmApZHyOLHGw23k1CkOSqlo0G+J4bm7RSvnXd3zMKlNKWmK
+bUjyY8wDhp3kYPgoHB5ghUOS9m3Z5PuTfrm7aaFCSNxPig0531ytVouidYyb/qczTs7UqircBPw
2mHJMTcTq0XUrYGocNcmjVreTbY5XQZHvCIK59DM3AFvx9om6zwUBX8k+Cua+tIWG3Pqu1BxmdPk
qxzcIavuqiM+DqFA5Ds3al6bNYm6GLINN31NWcXzxFTydKu17YurAighahLMaOM8FqsURqCJUcbh
4qwiGWN04+OcTnTqSt7lWgiNAdqhGCuCIL+rcPLlMygJ4gJsKgJ747nr9H5Z2uyLnlVTiAzds4JU
1R+sGE5O5451dp4BXBxTooNcH7wN4h9QNeawWU2sflKl/ZWoTJtkcKSyGIeYi8iM2RacxWn22LYg
7q9RWzWNcmQr9AzNovraEcRupmo1+LExiVc0Wcpi85TA6hxwY4x7XOrVFhTK5NUwq8hGrTPoWkWG
GiaMeRWFuuZGZ2+sFmWbG+XYXegEXOdQMioo9j0NgPI0Qz8MErQT+V2UeEbvt22uoTScMdVfLGnr
6Nn0MlLuS1D7x8SxH34oxa7fV88/Zl6tg+Dv/3SdaFM8OayFkLczrF4Z0r8Cq3MWzQu98LB30hnN
9JK8poKXi1G6D0NbGVxW3HVmypX+z5/7l53l+rmoeGCSsmg11F/qKW82dVRe9bDXxreHHfegkYqv
5YiQaKrF6z9/2l/WTOunsXJnuk6yl/cXGcFI3k+6lMM+n7lA1kqAkaCCUrBTv/9e/20CftMEsMKj
Lv+HJuCZcGiwPelPG5Xv3/VHD4Dq+F+awTZRXRN1V3/p//UAKCb+ZarU3UiS3TXKkX3HDz2ABtPY
RRNGHvTbquNP5ynR4wZ/oOOqqI3pL/6jHuDXvTehoWg2NPznXK5E5ZnrRfaDPgRvDozCYZgu1IOk
Co/s/f3KyBwQmc4o6T2t+ZjRhYqNqooed5cpPwizw0nSeWXz8Yej9zf3rfazwxoozUoMR36Ht1td
9XfrBuiHn8Ys51p4ySBpIErtEgtcrP7gVACuJsmrAOmuOXxyZP2/7J3XctxI1nWfCB1wCXNbhbI0
RU+KNwhKJOFtwiWe/l9QT88vUfrEmLmei5lop4JLJDLP2XttLVm1hdc1ayD/oBEIDHJtaBJu+ep3
nX7iN2KEh3lu3LPk94ydckT4ZpBXNG3/fMbf9TM/TDXfz5iXEM0gyQw6EoIPZ5yA6iJQo7u0JojT
yL7m/H6wMRZscZRhtBjUZKRBgmOGNYdDPUtlurVD7qKQWg5V90qXRhrrRKtFAJqxgg5UxFQlXcRH
RPVUaXyV9ZAWAf7IgP2k/yDj5owMMkHjVWrORdLGQ7H781X9+hjw1utsudjpILT/KBpylQbQp87l
JW16/4ESlkHdhGkegxwbwSvcwP5tHRr5058P+2FCozaOVI+5mxRnorBNazmtH54+8LfIrmVUXpbe
bFySsNRfArQmsyqMH/58pA8fiO9HouKDmR/wgu96H8ZZXdpqbmBNXoIvtl+W4nWOUt5T5iqr443e
EP6ztnTFehIw7Vh8NmiWQfHjoOEq2XUjxmICd5gdPhzeda0EjAAEU7fJBFHN6GizfDkHYr/kBiBO
tVI6j56eS/Pd+Fu5bxC1SGzjE8Oyx2p11rIptMsU4vQ9FEXTCmJPqbeaVlOga3NBzhZI2nYv0Ez1
n+jXjF8fFDB/pg0sGLjmscf//KB0pxelEKF2YfRh8ZIAkomo/aNWsFdYrcvoOMZJ9jXyfNjDc0MY
TmVPyRp7n/veufNcrVUcuWu7Soe3BGHD6yCwen0i46Vh+fEuo71gEOH5Z27l7VzkjD8MJ6fF+9rG
nXWBILoOfS/o/HjeTVDi/W2HhGENPUW/HgolemqLMe5Oo9xJs613OV58cv6a4qbORYHyKB+jxzEt
qoPC9r2qRVPfw431gpCEl3VfYbOnN2OBCgpTWV6OtSYBC2F7jCLDZ0k4g45fm+i89vBF8xszja6w
iFkT1lDU1Uhh7jqz0KzAQTS/MhJlMjfY/Tyv9NFLz3OaP19CHZphjL/lfAYH4q9HPYbqwqBLcHq3
wIJGtEmBMdJYmdPpWy1h8/a6hpR+LDp3G8qmxypumndNbIwkH7qaQWEzzsKv7EMAFCdloz33BVzp
Ghzhgfyk+mA0fv6aDLXDe28V2W3ih5O7GmCpHFsadWvMbTV0G9M/wc+cNpS7m61hTAa1BspXAGxH
wvPWqEfCTSGtNuhr/4SROWJzb1Tdnk+NiXsAgP7K69z8aSr0+Mxs/fpWWJ3Y9X6qmSz5i/nFc6p2
Q9We+gKbPBrgQGZeQE2O70QC1IJNX4csrIxMGhBTl+IwHsdxo6Kh9+gChdTzO6vYl/ynhKbYbcWN
hihN5zilJeKGI8ySSkzzyu7ykN2uVhYAzLJNtMRrXI+WYWNHb6HHp4wk9Abd6Es8lu507gDUykNC
QZquKFbQSYG/vsZhjIT0ixy1aYFp+WyusuqbqYq0s1rYfn1f65dd1rHGBtbWzDviBLoQLjsWiFVq
5tWtTtvukCrL6tc9zwDpO5xZNq30ikkpDFExU7XPxmbjZGOkr9uc5tOJLZEDaTtT7hgHasr97tyR
7Mui1Rhizh3ZNgpti9khDU9YXS0nWjc0jRhwViaLbZknrb8CQgOCbDOxM1troY9taqVCMo3WGG+K
Av1aP4a4sd282MiQVcEWm2Uxr71ZMGOWJoSCdRG3NM0GyeblCjocWUFVlHjvWj+wsQ30yuyA0Xu9
dykg4obH0nI7V6TrcpLNrPYSnUkLvDWKXeKe5DA3W7YyZbJVuVOovS4l+20Kl8iKXXyA+a4l7BEF
o2Obj1pdzEZgWQ59Iv6nazTddY0KSleWjyl1m+JgtX5HySHunBuKKBawadByxlk8xpK6nhvTBtxR
hKtpkHewASH9mNm2R7pWbqqO4tnGM6YZB3iq6vGi8ODJb6jV1y1JBUZ/bKnb5kEUWlG/7KF5nIkr
WZ+UM2Hcb0CXfCz3nEAREHsbNwdDT/AbJWDlKG5RE0CTQPds7sMMStTY1j65mGNqry3CjGbAXOms
nelhbm+NOoSozb7frTeGIrzxECfGGG0y36aZsPx3qwWNUTJ8Ivot05ggyOqmBE0z/CpFAhvvkXlJ
XSDB2u4NqJHv1NJyvXRqH9dKCefpQvQln6QIlg9/wAcqaW3DJDbKL7ORl/GxoWgybeUo5uSMnOTu
zgYP9CKmpVvoUb2zCGyboGtIZ044eZIOyMewCIheg0raJIR0fsnHkZVFGqXDLRij8WvdxiiA3TEK
N14m6NiUXsjviLwiprVsB+MSFqtlX8tOGHdGB3FzNeIE9tYd4ZbY+c0iTfYtSFtgIy61m1Oiuf5D
qSOKWZdp2sidm8tYXk2KMuVab0aeTTyWnFgFg9w44wvmP8BXYHQXzJJtgEJ1qg64TEPzKm2hzN+g
vvPtw2SnY3/RTd2y+AQxcYXoESVcNRYcuqrmGVimWXQzoHR3ufjl1EfmJ84L0NqlLUquom+gJKzi
rMrmtZ8NvDp1jpf5uiTDFIhwz6og4t8xp5pdGZ8aw1YoHa2apu0hHtupvyioMUnMen0DNld3dWuj
hoa+OX9Pu5srYgIBGrqsk7uyeAAj6h9pNiceZUeRMS6gMb+MJUzM1dSm6sbqJl2eRSxz07OqJs/m
1uNrsZOlblw2ftR8sdn5NkvUZGIeK2RT/VkYQzYLVOs2wH4JLNrVuHMy2pCN+pbRfb2aegnmsNHV
kD2OThHJPe3Y4p2Yw2UOwWEbB+wDPEAIpDPIbe0U/qOmh8UWGUFERcZmmlPtGN8kpICcUZhIRSAQ
dZO/luPMQj1t+g+0tocI61nJazJroeUf7LIymreCCVnRrWBIbcZlxt6kAuDoFgQpLUrak82Z0fam
Q90o7wa+tNags/Ru0ufWH/w7TbFMP85+1xqvxDwouSrQzg1Q5Kkgb6bCWMIBRlJyDjWPBU4BADPi
hIehu5iUC1xz0Xx6rtzbBZAv5P5L6Ad8ZjlDu8mqCtvIZNO/B2C5iZuyGM4i8nDjtSdkEd+xEpGv
SDmYRpg65bDKELWCTRwHr+EroJpbwEBG8mRUWP0H9OFapu6pxGk+PwYWBLAF3LijFtbj1zgCgkIG
KVX3Q0LL6prmeTjv2h6g2SaZewZpYnapdTVhSheXhVMv4Goq6c6FjSlyosGdjnJD/ZSnhiIbrFA7
uwVzh5T5xpisqQ2GHED9bvYaRn9mT5EbqBAoJ2JhMNGPoASNO/yAjDW+dP4DY72QV0hiDCZYs/ZJ
YSxiBwV+/8UEF+AZqywb3HsB2XqkURB1NtEDuTfcNKH08aFGjOhNnVg8TTYOajpPLBTO5y4qKusK
SnvuHMi8hr+aTJMWXWStVo9BIcHdgiMpelTC0InYRpJruZWxl8XEwOj6Aase772ispSs7DB2/1a1
/6+S8kklhVIFm5z/u5ISvOUv40v79mMv9e8/808vVfyl2/4iprax5P3dMP2nlyr+ctmPIDNlnU+Z
hd3KP7pU/y+KgPRZfRBOTH9LA/afMor3l41qhLKMI0yCF3XrP2mloo39ebMBIUw4hkFqH9zZhS/2
oQ6QpXSXDKJb94pU3qcu7coaNKI19qtpBmozuW3RbetGXeWVOS8BC7Sn2IEjrtHrLUSuku6dNRtP
YdKzZixLlgS8p+Pb1DkLIJHWFZ9CVNpRd1V62hKomj/bGqHVFpop4nJZkSpLJ9Vq8uHQcxOTfUh3
6zbtaB1MEGwu81SAb/Cwzuxdpgfoi5Bkj1jKMportEmIoiTuJUbGxTKlPSOfBfNnQVKPNol0N3Jy
5gp3c31w5yQ8VFrb3ZR+ZB9BgD2nbqM9JXlBJb8psYmAgmb9bkas42g61p6sT/BdEYZP8nrwoleh
ZVwk6F00QOa1bSoUTz6voBIWAXb0UXd6lL3X0KTwOvt4xEudJjTeMNCKDcbdZubo8WBeO9a0+Fi6
i46gj1Vv0q4xvLtw6C9gp5ZIYMvbsZmN84lyOmKgcgCAMy7/V5xjwDm3vfopLNAEzUY3HelEPdOq
PCy8l9UCqcKq9twIumhuVd1OqTZ/yQgtDmorjoPMq/ttz2dtnSSwd1z/brLCDWJBB8mgs5wCWV+C
nyaYwtq5s6ufrEzT2Hlm1W0k/fyhoi3+wNRJd2npocJKtyAB0+aijcxHVofXPddXVA9nuJDasSNg
9qWyjfauxkkMRZXP+dqqc6ZjEyz4KPahN/NlF11zgmnZPtmZd+fIpCIBB9cDOk2YGiEU4xlB2t5v
HI94De8evbBGKqk13oPkjo52AVyOZo8srk0/7L9pOrm9a2J4rOsOZ+plkbCBhH4TT7R542be5HF5
a1FY21iovviWV9aNzDt/K70QEaIV823lzUHeOSRBnPMRGoqp8XdtY4GPiWqD0BnkXKuUzK1V5w1O
dWkaU38WgTbC4YRh5J4lQHJmF47+bHPhgVRkYBRJCk1YcC+rreGxGwU7p/SzUTWiO1Twj1Y4LTr1
ToDTrO08Kirhu0KXeZGbLfbaqKTpl0NVaVe0ToAkpcbt9+nrfxP9JxP9gjFklv2/Z/othazk9eXH
if5ff+ZfM72n/8VP6AJzJJs28b0496+Z3nP/ohrpUJWn+LS4AX6Y6g0sCIZvAwDQLd2kNfLvqZ4y
O3YGB0ojG2DHpPv3n0z1H6pKsFCxauO3JXGYv9SXT8qPVaWIVcLs1VW/N4l96Wia++yLCUrzz+2e
ePAViR7leYYGvQz8mDbqD/fqNxXyD5U39jyLMsjg/mDCpaOwnN0PNS0CFWby8Sbkg705bFxVOOS4
mzk0uaTY/xeH8j3BZwieCX20nw/VWulgGIVYxJdMH7mJO9KSkL0oZzb/xVVxK33LoTKK7Mn5+VCz
MWWQ523oTdOUUFmZm6DtSOnqJrc//PmqltLkD6XX7zcQQ6xu47g3rV88zLQR+iwX3EA8IPQTlMl2
q3fep8EJIpTXa7fiC9SEuBmoDFfrPx+cMfibgy8+GUYxtZMP19kBYAituut2WmU7sCeneFMadvOf
xaByicJkXLrEXTlwcT+a7mXkWQinw37XAkMljtksUYiLqXGHTVoXVCL/fFEfmgXfD0eDSscxRLiq
811k9sOQFM1gWrGBb4LmPtbdrH1zLfPdi6qCubU4cwgE+KT+/OttFKaJ0ZhGL02zX9ZaYYwiwLPI
82OeF6yg/JyH5VebP1/X8jB+HikcheIlyGQdAYG1vIo/XBeEFuLimqzfWcmgVpamndNZPSnDRPWl
g9L589F+dxd/PNqHoUFbjMA8kfc7bxiNFTSVVTQUlJrTjH6c79NCz7Kvfz6kubQZPl6hR5dRWCyd
GZAfpjIVE345jrx2RuzYJ7uy84eIAL4DqSZwszAfBH1z4w7KWze5LV+dTveOBL3s+6itdkPvD5t+
wkHajm79bZos7aAcPKRm2DW3S54mKTbR2sia+ZOJyfjN8wez5CKsBGdh/jLiPBlh5+p4jZIRaPnK
1sYMhOIkhg2pjCwHJemHtVeNgcXd25gg8Z712Z1Qg3j1pUvLcx3VkX+i6BB98i6I354a8/PyhmP+
/Ng5S/2ckjDZI7QZYhIAYhHQnyM+yXO6jWwieT8lFkFfo0NmXAX+7UhabXtObXUApjSxrBuIBaK/
iikFUv3KotAXhKWHisQESxT1ZntpOrN2mJGWBPDuMM+62GkbxEoPPVW+h44oKSg5SbNubahDFjER
q8FqvU1fTccuayXixbxfYyP2odmKs9jO7tlto+KwlYXWes62LVsKdFDdqfLded8kOMqVjXhnCnPs
IQSwPGptM+zSEqNvKNR7pqybDhY6uQ8R5D8n7k78crn982j99QXxhGBhwFvPN9h1PwxW8m5EL8bl
ocv4Usv6mL6gfjCS6a6fQyTqPcmo/8URKSGBEMFwyHzz8wTgt9NA+FPW7dowPBgQvnMj+uaX9nlr
URCn1PP05+P9+m332Cag3aesvtSrP2whZeQPJc+m26WKMDMT+8AhIstj45ntZxblX4cpFnfTMWF5
AiqzFi7bj3Nb1LOpGek+73xvELBJG+OAo8j95Ab+9ijYDlmmUBzmHv58FALctaIbuYEa4P6W5Ctf
21OQ9q7+fN+MX+cxrgbStcdqkRiRjziFjOK2Qd2answEC4FeB+AmQCyBI0v8LKF0WVIw8FHs0Ljy
Hqkd7io7Sz6blqxfplPUHRaOV88AJkcp4ufLbZqKZMbBJRoYzDH6TD/fUr3vtjZuMQ9N4WzjPyGf
rtWrt7wa3ZusS0dMi/pwUcyzdaRLFH7yBMzfnhP9ZIoShFNg9vj5nCJb0wj7sOSOGI3yoLdi4+uY
PGcYy5ch0N517Pb1l++e/ZwEhFO/ZBI4yNAIgsDsCKjjLTem4TLDpDjP4zPkUnPdwM66VSU2yxof
3F5E8XgsFUGTevfZ4uL3F+CD67BY0vP+L8/+h68wkax+obyRm4rzKmrdetuPdnQfM4ut68ZNg1Aa
+rpwnY4vVlscaYa8eIl7J1vHP/R1GK5JEBo21Mz962p2qzvPnt9mEZZHy0M2SY1ZIW1ONb4VXb6l
mVR/8kkwlsf+81eWYfHDFXx4C8aOTKioUtRntDQ6hrNfHjsxwXXQ9KBLAHtYPRWbNNUPVkU1Qdag
pv/8gli/HQUIxKhReabhfnzdPcVcQpdbLsl8mFL73BNfWVZduTb4kdzXX6t8mB4xXcff0Ft0/RCt
08qkxkE4CrRduTV1eBitQ7kdfttYYMzFfhhzwB21ocWrExlvqjQMpkr31kWQK/SULqvmPxKkRYTr
IPRzTRj5fq6qF9Tdt47iQKRI0vOgmSo+uee/Lt0AaekGBT4M6Tq7pZ8HDQU/l/AwJoQGx2YZEhea
5oE2Q89GMGt9sk78zbTtsORm52njOkQD9PPBJAndSCYNufuOPkSswlebkpFNn/CTIy2/9GEkcaRF
amQj/NM/LuxJWeoJPBKMpDa6ywwrekzzGddhodhNCJVRstcdzTuGDoC7Pw+h33x9HX0x8VuIxHQW
3j9fZBcRUBCmOK16V31BKXM1uc0NKb7vudt9ZcvrBH8+3ve15y/Xio0aaREbbmq0Px+Q9DgJB4Qh
yza8vOkt1j0qtAJVUji1CCSmQ3RXJRiwI1WzuLGRRQ8yaoOFf/PnU/ntYBLIOnHxIEv7+FlO+m4Q
JLvK3QgPL9Br+BU2Lf6VllS4FeP0/c+H+81Hk5wK3EI+8RI6m/yfLxyMVhYV/cRDVi26+toI1zNe
0k/2iL+9v3hM8QQtt/c7zOHHeTWVRlQZqK127JHbNRZ38uRKomeckNyAEbXGOqIjGWjwEeDqgmWh
GgAwcNDOZjKwPnlff92UI8NiV8imHF2j+Pi+jqoXkIAzTmZAvIw2iJZMOxNArDC7AhMhK7ood7Hb
masq6/VPXquPciZ2sCgtTVyXgnU7Us0PY62DHWNapd7ulGHHX2uXoiPGh6g7ycQQKGucihhu4mB1
ElcVLo3VgKlZBHoKmnpVNG6crUdNjRdDbKHRNrsOl56IhHz988j4zUSDL8QB47Ag7eiC/DwyYs1L
lCidZgd1st32Ni1MWzb+hrV88skt+c2haALaro9SDpnpx9pPkhqybujp7ro5LN5tS7nXcxkX5I46
+n9xWaxBBZ2bpaT2y6xWY0zpas9udkSGtNfYJJ1tpdzwLG07qoj/LjRe/T17/CgL/80kxpEoi7BE
RLX2sVIB3yJKq54jJXRKgpAWzW0RNeaGrxtSq6mwoZXH6pPp47e3kv21jVDbsBG4/vzUokgnTj0W
zY52PPYlAe0mSQszaHVTfnIoX/zmQ89KQ/d9F1GjxYz188E8YkD7aDYYInarN1tHQUhfJ7E9zgFa
gzJfO600A4c1eU6k2TBqW3aO/bSZEWoUJGYIXi4gTLN/CKXKH0yySGLc3NAPAhrCDpzxsIlfQMhr
F5lFlxqDU47nQZYLm7/kkizMcxUiJX8QQF5HdJ7qTGixv0uQCMwbFIkktEZZbNw5PZi9ILfhDW9T
o5icDYkmsfkEZTAp3pyUYkm0qtnBxGdTTMD9kv7Wxvcyrwx1yElsJNg+MQp7o+m1cSxmurw7ICmD
vBQFtoILu+tVeO1ItCpb/l4bERSQUI/xy4ZPHJQILqILYIYLD54A4XTbiya/HYARQuIotWpvtDBU
VypqTSJ14+ShgKBCOmaPbPEAfD3CttVXVbZVWaKiTVEj/TpPF7wRlkK/HvEIy9HHHj4INREkiIzq
rAB5qFN3KGozqAuQNeCbyBZ6cenWK+Ac3YTPHOPCbS1QruwQPKTqagzd4ZYc7rbbEKTuuzc6xABy
oNUQ9QcWsdO28SY/weYSIdSz62ie11Km/q7E3Vht8nAp/+ma6cO8k8K7J8stX095UVlraccDrRl0
cXh0+mvqvNseLeYjqcn5U655+k1X0pIPCwAJmkrzjdX4pz5X27KR2wnL2U2Ix3ywY5RHSIl2po37
OvOzYhv1w9Ea1IiLTL6kmUOQQg+5pE8na4uS6NWGTb0ZUFRwDq27cwjz2Ph24uxsf64w4ZF1mtJd
PJMQ3b+6HRIAu4cqW7rDy9w44MAs5HoD1HmR5A8o7DcOWShXwi/ajaGXyVVmjfOaiAPjzCvy+AI9
IDkhLjJNmYQPE0DPndCM6yRB0ox8JzyEvp2tpzTrWVTQ/8r5SgRSuvM1kXKHprMh8s1E9yVzdiLa
F0GV3R6zaTKDWc+azdS1iANJZkY0T8jKaEGX4clehZ59g0Zn2hijF28x+xCsQVsrCE1Sz2eWrjdk
wtfPeLX08zJ2sT92jRNMete+O1pTrrUONa9HwXpHA1IsmOp55ZbhdLD0xDxI5dLCm4YjDbMtUWTG
NhPqqUAN9FQm4d4V9m3SqycUWeVmBJtAzzh8KsiTbnkDC+8w9C5ZAlqD4kxod5nvhUcZAgOGY+Nh
yLM1nkODKDL1SfNk33CTtNpw1UStdyN70kdGS56TAe3i/0dEprTyTTaY+j2rS/aJLBBcQrZ4tyVR
lyoBioQnCxLBrBDMNiW+gxUrzRapV5X43V1WefG8Mhk8jwXN+ilwG/YRfEyZJNKoH7/Q+80um5FR
liqcj15mHPQe+rhWdRVt09k74y+qzcQLsQmFKZQ899QYjfILSdOuJP/ZDO0xC2YUvl80w9rqaYT4
UUOuVO9czay+Te6c1Xsry80+KLyWJGVVYdI41zQHi1fmem20ytUgtCPlWV1SpG1Qm7XcKXJzyjyY
vWK4i6nqX5l5at6FRZklhzF12o1A5nlpjKa3xWw9wlhvKMbFidS/OnrIepL6br1xZz0/q/nIfutg
WTr42YivTUeRWPTvpXNrD1n47lPc72FCOEhXvtulQRJO9/SZive2bnH/qkIaz+juWqJWa3HyS7P+
ghBwDNC9QeJkxXLnEVLzZZD8joLXgq7RbI4gDvJ1MpX2AdG6fKQKtzTi4WgtSmlGQgxB8ylGzvut
qe1sm01a8+Q2sA3SNuzyA5lf2TZB7PMoKnSB9MvHMXBCUcAynCUvR25qAuUTxtHIccQ6ZcF1QP9G
cA0l5A27Ur/dZuybij2h5vz3HUC/hyYcF8WloKW/8qPFUlXpNjbOgtYgkU1xvoxBbTwSaRXf6kWc
ryoXNddWcju1B3R6XKK7GErOInPmVJ1seBjMqR8vojCMTolHzlSl4+GtMC2f27HNr1p1srP1xAEA
A9hyxUqkOTp1HJ+QP9XPlO7MDYUzcYpaXtVNWRXzdu6nbDtWE/GcGFuiU57XgwuJh6AoXqKGl4qn
SxG+OWaFb59cHL9f2yFqCW1ujTuZcL8TqLgkS+Ok9GJuqtba6kxjaF7Xoq2/imWHSRT8XA9B1qQJ
3kiR7MVE6o6j4ccwWrs51rjTz+dB1l87VbdPQ8x9nV23AbYdoemYewJ5gVoV4TGiGoE6o5Ov/ijF
yZ4bDdB75UenKRGIzVDpFeoVyaqNFqE2R0BrGByNUJ0bfJbrYPTJadfw78MdLOO0ZIbqQ+yjxJXe
1YYSp0RU4X0NJ+vSEX317ERYvYlFA2BhIoU3VoPHIlL0WEajzmuOqtXDIEIffLZkf+zJX5zuPS1l
XowW1s/iTq91LTr1aBZmuAGCFXiJTuhkW01+aLNFcNpBjMVmk2GHjgGFJWAqcU1H0Zh3QTrX2B1n
3nPKWKV8JMlJvZOTKV/dCEBRGKr8YLTdMsr7mFzuGh3rbVLEw4MNDswlopOTzIWe3XhdW79Yaezc
av5M4FZdjvFJOUVprKRdtk95M09XniP7B72esptkedwm0UfnAm/wTWMPHCjT1NZ33UXcqpFTZEvu
mgcz/kqPNPWuz1Wy0yYEomhtvPAGRat9aACanDvWyC9Wc3bDkn2693U6MvOIcvcI01LGG62I1btb
U+Zbh30cVivqLRIym6ONwEu0CnkzSBUg1onmhDd2zJZrVfeyUQcyKcBixz0jadaalqnXsRlpzFnx
Kc/SylgXBpwnzUop4g4q51nr0ouHg2NVHsQ62b1XSJLwOukFgdDF2LyTVWg82BGKu2GUxhvsA+wW
vHrNNbPF/F6Zad2uHRMKFpgA0b+h+JsFzwzVklbX3BaHL7nc6WNmtCtkX+T6mTmklk5nNnOd4Q3q
U3PdheXCpjHry25Q9ZeJVKpro/OiU+g0ya7zMUjj8URJL+NFMejxfpda1D02KHb061YDRz2woVxi
2RBFv7Oidi/YE4dbKLctkxiBONRNO6unIWx5z7P0usuwqKPdkOfD3nYKHg2fzXMLQ3y/Em6UXBHH
UG+xF8n7toZIulhPu6jiH8m6roNwqK2vMAoJrq2RJNc2UmvTmpAPDZazM7hfKzqaNtzPlvcQz4K6
MYp2umIRAiLGTsMHM49sMsKqW7h6F+RBYanX9YS9TNsGI46Jy4b6D7G78MyLuuWwmXPSRyTHyOmZ
N6yZ9rqeaBcTtIxTqUR464REXcBc7SMm3WImGYpmY4Nw7iCS7jgoRRwE7+YFGRvtOfmEJbb7Uq1Y
6rME9Gn/UUJ98QVq9swtp5uM/LpXAtiPTaIbTGmY72ZLNpvSAaw8dfbZNKX2I+ttgLP6VH31x6XP
VHXbmMryoQkrGHRYyFnhpZDvvGmMbvQyHrfuVO+dKm8CfySdaJXApiDX/IX6X/ElK5BX8c3hJpma
HTHRs8NZu0qBT0qzTB4yTYejFmo4AwsbGznS6rMiJHDRJhfomr9wKcqH2l3faA5TnR/d9JKD9CJ0
r3oUuCsK04oM+dB+QVXvPOCryAmscB+mVC92lEvBreLPphK3SJmqZIwvEo/CTWWYhxDh3NdYD0dY
g5q+6zCdB17SW8E48DLKOu5WY0apMFLKOWNxYT+mtiCFeqq2vE5MwFXK7jRy0EwRbOu/D1lvPk61
bVz6hT+jWijsO8CB6XpiDbsVzF1cmswfDOG612rgKYlBTs3WZV24arsWUyEBim8zrSaTtJYuuQTI
C5gKemyC1K8kkrOuicu0i1SCciJWnAbCyp9RsvWuw4LejtIXgmfAL4zlviN3MF0JW0NOR7LlrJuP
HZ6PLa8iycgz8Ae6eizI3P6ysEV4j+qZZYYNc58pELaM1yU3nt7OQVZY3plUSOlCQjhikWerzGrF
qahFVa3j0TdoWuTzQalquHCExmenIHaLFw5WZx1NKV4PKwYHk2LIWbVtybY011JeI3powwUx3elT
YdrOThgU4CmtVXyx5pqSRp9o05UfWs25opi9wDhg6q76lhxM0kr0G+GicUzdaR8O3XrwZHZBjkp1
JktsQ9KucpqjC7x3lN05dV/gVDLdG5PmP/n0TNnnvLRVubhixLxuangHWPZigB5DZzzhQ2gPlel+
NWbnLWyr5pkVa/4M9rNi0iIKzM2x7FhDH206ty+ulcOKJVetQdMbINQ6mvBQsRya9lgfhuSoWRDs
ggEilrt3gerxjbGd6qSN0WJCUW51onwDksD00qiiDUD0AmNUpM9FkZbXZuMV14SqZYAGFRNoCpT4
NZem/rWUafxKAPwMFUTjBxtUAEfRptUtjndvfGpZ8fDcEjY5aLjh2g2aYx3yGgD17E/1F76W1M7m
3ED+DrHAOlRhYt6xPmZnmhWxfYyySb4WGXZY2UuKCFL1xXsG0D9eSeJAnnWZGl+z7+JxkmqmK9lM
4TMZimzC7TAhdaWeQ/mqiVqDqjUPPiLHTJS3eTMxMch4GqutG3VDtbX9kYpGP8UMj9jsF6ZIieEq
dnosN35Uhc/CEPwZv57yFli6n4nALnWGUWmpLgsGyVliIkAuFZSotFw2MRMHTRO7lGfJLDr2jXo5
GPF6rMck2rJ45ZdnjWTAgz1Sfgxi21fajrRxlgAdHVIczlPhn6exbpeB0xIEu85Dh6ekzXzq1vnU
h2BpB9LIo56AehgQong3+56j9o2FjXi0Lf/575spBi3qVxbtSRAgUkeZ5hozmYTsJ6qd5YtobTUY
F9fUgrj1GNvKWwKBzHKXJynlHpQFCRvMbMr2tUEV6GQ2YgJRLWZxptquuhXQ+moeIf1W6JMN15e5
gnpIW+tZeiZRMQy7QiH8uICVMrwPDrVRVLnYOy8czYjvMjWY5Olixyqw5V5nLqzNdV17+h3OAqn2
E2X48GT3XPTeHHTOkVU5Zw2tkYfnqKnU6P9VS3KInvDuUvsnToO6DHdxIAu9Y5Iw5WvC7iVZcbJL
oPAg3xKcfvnO71scQL2PdhRfTmJO61zn/VmNPM55X1L/O45YqoHaVh0rOhHbdXrQnZYiSktvBfRM
kyzxTKXNhpuPMN8vkLd6mGFT6heD54z5+xQPlo4tnSVkTsIrKHa0gfdGqpsbuIf6kZ50ux+LHrhR
5E3gMbLkYZ7j8X6Edft3Wf1/GtTPNKgk3NBW+Xdp+Jekud1b1UY/QxuMv//M/9egLlJ+H5GRuZCu
Lfpd/2hQxV9kIlOaIA3+u16Rf/WP3YDa7z/2Av0vBA82WtMlcQetxX8kOdU/NEjY8kCI48d0Ssj/
j70z241cybLsDzUTNM5sNOrB6fMkyTXrhVBICs6DcTKSX9+LUbcbN7OHQr0XkJlAAhGSQu5OO7bP
3mujXjuLyPy3LbhvVCThKi/fm170rrJ4XHUtzyGWhG+l5jw29DiWi+7jFeJtIlS37d1pCw7m2C0a
EVO9cTDpv6Z7DwWpJCV88BdVqZn0eu0uSlM3+M3vCbb/ulp0qGpRpLRFm2KlrN+0P3rVolxRCcHc
6iXJNtTKcUOf2o3wgnev5gRHfFecSpUovlq/XBml3LSaQenpopYhagVyKO6m1rDxDaCopUhrzaKx
2W1orykQcAO6zfonI/GzIFpUuXjR5yyEOrUodm0XvTpWkayMRc1zF12vWxS+dNH69EX1E06L2LIo
gYzyGwtpsEci7BetcFpUwwL5sCKIiCNqUESs0RaTRWXMFr3RXJRHqvYYERY1sll0SbUolMpCJSEO
8N0t6qW16JjJomgy1HwaAxonMt2Rk4LIWoJQCek02c1dGcEBpvd6UUkL5NIO2RSV5S5cdNRek+O+
NtHkRrcSN3/RW7tFecWXsy189UAeobhluF7OSe41tG+w0c642OWXpjYjtTE8irNkKbO3nhvjA4t6
YGit1gWmWTIG19HQPEoT4CjsGPtkZRNnmlbYzZ4ebclTp06uTZWrN/jfyAC247+MhZkBnax6hJsK
1Sse6CxsIRsfoCF4D66io6LMTQaJ3CDL1ple/e4mKSdU6g75S5mVgOVylH7dyEk4ln9OfJEjkEd6
3ZwRi7w1cS3BL883esF9E/2gNeqSAEkYkn6p9PJIaJ4pVXqlC4GchDMx1gpMgo6yd5pYeGwN5aYf
rsF8sR7DqNywMwpf/mSmPTMsNmORVI9Up4sr9QI0Ai0nAONu+lHXIScCxZEcWSBExbZIqU3vEBrv
J3sArUaSkxbEyBrJJLa8fqpo9gS92a7b2D/XjfTgROhmTj3KpP9qetc8aOSz0yBqO36rTcWfiYfx
nl8gbXuAa2fIw1zt0Yow+XV8STwTU7/Wy2i6NyLemnYPVm9vtwP/eDlF080FmEhRW6Vzi3J6JszK
drLAnHgdai/nC5JRieUmb5KSnGcxrceuqN9jPn+7xGGxhgWSG284Jq1DNLjLX2pRJlcCbRyIZPJ2
ojfrH3vkPhn2VX335ydLced6W7CmfPncMNwHwPVIBHZDVZUZxt6DNS7SmNYVv/NlUCvtsn9qU0sF
lUNILkiWf/ifiyo73O7ZHQv+YB6mxsEeeIisselOG91vsQsqK/34804jh8R3m7G79SsxcV9JRtDK
nuVXd6qG3LJiOEPjRGB5YVwzXun94wjuCst9oFHYOlRZON4EM926abiVGFHvWvt6WAqheqs8grjj
VTNAlW0BgnffnRsnNIBXzh3loNOJZjnjFsKQvympFZuYdyT4bd8OP3wDnUzZRYy8FI58ocHjO7oT
Kfc8irXHasb1ODtMvdQi+3RfdD48fV4tcO/VYxJNBJHbLCy7QODCDKqU39zkWvZZyJaaMNh/8YC4
zpfvFYttNx9518/8Dzugdw/JLzBklQS0mFzbMr4OhMV6rX0aJLP6YFcfJbndqKCxz/cuRtdzr4/u
44XjnXfxvkib37byT77JjaRjIi4N9za2JreHeEdB0kvUtM7a1kfv7CDwIx7TkACBzKinihLMsrp1
nGP9ylh81SIRzo3p57kVqbhCpTDWmfCitePWZiBc3I9gaq/JCPl8pPUrrI5m6S4lf9p4J0aDKGcV
sa1RnhPvnCqDQugP1ga2D6IKe+X9MJB36rxMxmuNaG0Jg57c8o8sabukiqg+pXPfbkqjEAdstl+N
6PalZz9wTFIKOfQmc2kUvmuR8dZq3tfUYzWfSxgG4PppgJxKjMCFOa25OHONJCs8BLXjVI+9aVlQ
+9P5uxjgns/s3xbfAaDj8bFM+5piyWyHDwzosj3zAieO2I6SxqNUTRmZDvHsTAztDK2HbJyKAzlp
c694CK91r6ehrMxC0mpUUUe0nmhV9S71no1hWelnqD/useGNz/bC0df2EL7ropABpMJVL6bf5lTf
6sRzfxIDDYzMs/7hItqtRZY9dRgaP6n9Njd81ol7m5Lsel+ygEDoPoJrsORqmGeeB+aQ76N0Nhle
IUvRWbQmw/Uoi/Y7nrpwo5fedGWZqghxRKxiaOExgEiXc9Nv5sEoz5VwrrQ7ZA+8rZqN7oTi3qTS
fgMYoKyYdZcOlzKr11arDSAwjfqntYESgoY8TPSKkU2vP3sCjmvptf46FcObHkKd1CtOe5+7BEbQ
/otoxruMzZ0+yfBZiRpvvZkNKxt9M6gsNsuNZT+HuJ8Dh48hN6syeoO30AZla6477Apn5XEhZkjw
vi3XHm4ud6znjOQXMwRJUDaKznRUXahQJA2qG3GypM+pS/eN1VrFT0tG7we9LD/6TeEuGNeQ9ayG
JOFYakvr6VFFBUn6udOvbphWD7AysBnFksnKXJwhdeNd66FWH6U+5R9Qm82r05EVsZmwVo1D40LO
p4gneZegHselTY0G+zZ/5YxpdB5YlYhja4RiXMXtDCvXl/3WiyQgfLTLl84ZtTtHNHDoTQRTXsRK
D8Im0jZDlvZnvFYW75gS6l8l7Rou06w4Bse+ulbk3I8We/5NCFkAeIYMX3y8mjf0pSTdzK0s6Ubx
S+3aRZ59YFLIdkKv5CYZwZ4QIKysTdyMv0tIn3eiiLpn1SRqD5pHvjqyYy3Ls3DNtZC7raugKVo1
dG93PmQFUxgqsnbUKx5gtTDkvsKnFtRNl7LrmUL2XsLjx8qxQVj5L7elFaNtQnWXOZp+acKygSVY
NTtpYO/qVRYGzAyXka08BtZdZETcg735PW2aql6n5cACW8mG1CYdFknc5tvC0rugajJrN1fzZUxi
sH+stFa0Byz8iHa4nzNmvGyoWk4u6rgmxbZfpq1iX5lp72bnX+ELtz/KTRhAnKnb+rUTbfsclL9m
SuLu4FnWFJzwEcdUv+wwbpyg1V3pjqwMfLj+ra5sCjLG3ajGaN2a8+PkmO51TAxwuZ6X7nBI7hyu
mEEuAMMPVfQjx2lndhx5g6zyzZCk/WbUx/G4YOKDPm3DA5jXcxLJmxXa9hqKWHqYZmc8hSnuVVYb
WpyJDbLuzc94uoqT2wMUXXI+cS7qXUa1AYUjTipJbPatomWjVVSq0N6mRRwJkdS57fp6NCEUqHwa
DyPz73y2GVVgS0VFZm+mNh3Wo1cbyHx9Nqb5inO7r9aFk+B+aqNhacvMCNVaK8cMK2O/lJ9wl37Q
KJnYFqW/SD69egwBP23ENLfXKLUrIs+2dUFYeJP0z27m2rklfkXD5twR7GVruc59O72Tbm3/aunK
C1KjnH+JVnQXVbgaTQTDTxNNLONsY7h4w0AProdQZ1EKsVzd23uEHuOM4CJvEaPKxgiRXCfN/SDq
RmUnnM9P1dH8l7BrA4ZM8XyhJc4qSql6zmRLu8uQjKALvJijss7Jc1jJTvf8J1/rliZs6zSbDNrI
At+uQaLYkkVzdUQW5JX1FQPVRZNP/OMU0SW0ScUy9EdIKL90xMJvN7PTs1JlyxzfWnvTSVjup/6j
TqhGX7ALM/XLQ5cd5jmEITnP1nS22L4/QF+YX3NQRJc2Lr64gEbQdQzZI2J0i0ZThhV1bfGXLApO
fU0W3+4Awg8CUNeBY0mGbSP05p3xxdkYbB5u8N3mgBnoZiapfQdzN2pXgpzvUbd8uXanmU9aX6oX
p6ePQNbgZeeczkVQnh21C6WkP2T2zPgXhhAdFEqajFuoGBwFur+AsrkaVswBue99e5HOg2OIbHFj
1+C9AtKu32Htl7/mmCUs8rxpaTzy3YVao6vyqVzW+fay2A+XFX/LgxH6znxIlvV/vRgBqsUSkCzm
ALHYBJw/jgF7KW9s0lRVyJwVb6GIoST94y4oF6MBot1iOiAv/seDwPS8WBLGfzcomItZAZVo+B0v
BgZ3sTI0i6lhxN2QLTaHdjE8oKqfswaCfx1hhnAKfbiPFoOEuVgl4DIx3S72CXsxUjSLpSJdzBX8
YM9c/ChW8en40VIsGPkfN8YfKeO/VJ//SPUBDIEf7v+t+hy+KT/7p9zxv/+NvzQfIYgQk+wl2wtm
wkFp/N+aD1CXfximKWzigI73t9Sx5ZM61rnIAXxlMecslWR/KUCW+IfvY/djEWbbCxvyPwWYANCA
xPM3QzQRJHLN/FgEOQg9AiH6ZwkoE6HsbTd0ruiS2iGi01GeSnZcuCegLbF8XIhDmcllU/ed/HGm
W8L/RUr0J8bz/mi5mWkHojKfABKOr5mrJSfcsFRGAW1hYVKXjlew5Wn9aq0x83U31kMRFIJIKfms
lzLUVgCt6AY7ZX7S7pjg0/TqEnvmyiRzb8sKujwU4YQBMO1lUEwiWpcFlSPEduwtTj3o4anfP9Ba
09HZpavwnDMuntseHtjkDPJo+I36Bi31YdHn9m35rQ4fqnJ3ep3UH02R6QGzjcPSuf00m1Tw70X7
Bc1gNPFpnuJxr9eVteWF0q5lqoWssd1hG+ueaMKggUUxNJhBelEMWxtAATcd2OR3WhwbrzA6l/B2
vSZNBss+ifXbRHTo1vWyXONIfs3txH8e7XG6G0tgDrXhv46jR/usPgWhORQPVqrJvdU3xrUpiubQ
I0YEepok52Ko1MF24uTia/mn30muWDheNzauhpMsAGnnlTZQEuqGhym0zW1WihxsUdJs5tQTP0vm
VgZe21R730h+egKAG7ZS45stPAXrP0kjzgsPlFuRex+G0RO9oIGe3031Svv6q9T41qWs8bfGasC5
D8eawa/akH8CEVm7BdQzVXKtAE1tC3DFfvHoziOBAvZw9WF5Rz7LoXW27DPZxqBAZXuUDJmsYpcW
m5yahXWpcf7udHbYEzZRampWTiaim5WJ7J5St/mOnio9iGeSzrFpAGQDcG7zXcwKicy1dlaaY38E
gJg8KqfNzzZmynPM8HQhlEeWKw7VvWpksy3bdvzqPIuiMCgAXdBnWv3bx+wIzVpZYle4qTozoiX7
0S7bMxVOSHqjo6LvGPtAkNfslYkql9GKtj73JFAbqlXSuTpwrklfOY0/56umNPQykM7gryIPKwdg
CRJTbFoMHEqZ5Kygn2FtRPGwhT2Fq0krNPj+heGfhqLgOt/V9Mhyoa2apWnsDLtNIX85NbUzU/sc
cS4WqwGa6u8K7W7jeXTruAiK58bWvp3ZJhAUxynUyDBiGd1oAEDHGQO+iTdp66a6/4ogla2Gxj3V
IaInTMAYgcLWfw1wwLcGd/evTIbzcR6LIQ6cgS7thaOx4hqt3oCCmvcapWYkJbxw20PVjYIyU9Op
UprVBR4689GDK1jT7qvFmwmb7j1WwmozS05mxyG5BEET9yHrt1uOXWFHM1b/gtupwk9Z4p9Ow0zj
khwlJ61mbW4XvlcA5+WfBAeUKKsByZTElsKU1AzThrKOlPEqnDaJ8ubnYZRULigptrGtsy2ju4K1
tRVeYo/uP8eRaxF6zVMCcO3mm/2+Kc35TjExBNXoHu2ejzXKsjEekrBguFdOdY/dWsOCKVpKSGpv
eszavL4U7WA8GQaoL4wKcq3R5Isu06iDNyVxeKBnygX5IuG3cGUwx1q/MHdyha7UQ2TJ5jyldRrw
8NSv2AmWuqmSpqwiMXkoSH8dmUo/zFJ8o7U719qS5QH7t3Eo2t5ZJaKlGbGsjWx5kXcNOeF1mNRP
mltPOI4Ns3vkkjX9FHpNc4nmTnsqg6wHyskRvxuBisQNJA5EYmc7/HP1Olm6/3Rj7k5J3I/PZa5b
W1mXUeB4g3PR2Zoh7PIg8knqrUMsK+9mpcf7CZdyoEGKROzuJg29xHbeOQRnPFi+9iNSqa1GRcUX
ue7+dxpqFeS6pLq10hGYV4oVQ5T+Gc1FtJEiz2G/DAP59VZrghqf+LsxR925KfJbiyp6jH2nDMym
qU+YWLr7ueQWoEZvvtdF4t+1cZPJVdeH88aKnGZXWNwkmVC9NZzVYd27sfUTLcqOcsevfsEnZTwz
81WYqThoMAScYw0dpKpt9Vpjhw4sUc838u0+8mTlvBOh4bNhOjVmVw8bVpKNlzLuNR5YER4WO7E+
spwmcs8FUS/CstzNeiU+Kfyy0FnnZ64PYWCoydjbg1MXGKpDTGKJGPGmzbS3+Plt1sWB6UFf+Y0p
ln6qiRe4NGyfJr3hQdVZ9ApKiSRNX7SrySnj+zRvp3KlyUi96JEjj74p3WNEX43HEzT09zw3sYh0
+rkFCHqb5/6+jxLcOTlOUfx8WWDz3ntKJ6NYLKkrPhLJjv4OzGJzFB+osL9lqMfclZuKBgEzjAJM
4t4+GR2axDxAmJhAi0D3wjNr3WxX4Vw7LNIokhCmIlVjcOIDFW/7Alda1NEwY3BBxGMbFueI7juO
olB9xole7zRQcad5aN0v4eb5r6attavdNg+tWdiPmNqf9ckiZO5T+6yoHTw0nTbvvN7tN9J2h2d4
d/0RL89nOqfdIU5JAMkMdNHARXTfzxS40t4atceEexyLnci6wYmu7ufFQort1h4IUD5goDLesbup
M3aOgdZ3EQ6vIkm0fT4P9rmok/RoJPYWvrkMCHqhPlgvo6aslY5LfJOUZrhyKS148r2o3vV4E+8w
qIhgbGvswjL8oTWbR2AUxzv0Le5cKA/7lhj/ObYsdaohdr8NfssKvR2qdT3jVrIce/5NsOApLih3
NbLUfcxCfoROZOxq8FRStWheBp6qmzoWH2HLtYF6CeymdXXOSRXh1BrPUyis51xmLEhwZW7gfg07
uAL+Nhmz8KPpp5HMcdJ8cEvhCuv3PuqCMRxclfbb3Gk/lOC54uuFoD9uYfNxa8z7+FPrbbYWYMNW
rpfOR98ng5DRejt2J5jrFtpSVQxXKyfnRtYTF47u5s8p1fOPDFXZqZQeR70tuBAlKvPSO9pTxQ4I
QH3FpbYtHLPeeaPeXHCQErgYbW0Xp1ax1WMjOrvY+zeNkfb7iFsjSh1G6XsErfEQWzmyq9dD4UtT
m+2b+qBtJw3w9tr1juv9fFezBQoyuxHHam7Kre2p8bP3QhptYcgypGStY68y6IjlymH/sbarefwq
Kcb5cEjY6oy5n0Xkh2t+kN8Uscltik4BlbrUGgjPuhcUaUbDytxAYQPRXaQrYWXlpR4N9jEZ7R1q
KGQc4DX7xnln4BCZFUeagzmAvlzWN1l6x9wbdImebxW2iq0e1pygKoQmyXMAnZNpM/Y8fR+amv7b
IxS36ihpAlXLWqNyumhDCqZZMXoAPs6zBxtvuonCNCH9hO2y+jPwJvBSf5A8jfb0Eocbt+yhgbKG
yFip9W3AzqJdSwpvLaL3ofsmY31pS+rdJcegP7g1B9KKTUSKNb0TX2Pt5lDaRh4Ig5Gz/cmMbVhS
yioevTHsU0AUgxdXXwDqBrafRUmj/ZM7xllmHUPbS7JTN3p+9aSmgd8aVp5R06aVXzIpr9IGh77J
6lC4Q1BiuFhjic8ARIJBX2tdmHbEjKfxp8Zq/a18fkJmBPuNv1N9wKIPt5Mx1AeExBFg10AWHQNq
cuwHT15kzZ+uWqd6N/nkmdnUbPmO5JN8BIweiWiXQMioVlE9lt9NqItLlYzeAfD9zCeYy9zV7Z2n
GVP2SrL1+rbyuqVe2J3rE4wMqkfpZbw1S6FQ6sDL04q6eNAVADjcrxMibKz6vZV33vI0mNZMfca6
gn/HkrotMCAn2d5pcmuDk8s46WWLl0xvGAFwFG5YCI1r25loe3I1vp+e1RWAkMF6pbSK4qk2qRGo
W6EZK6o5garym7spcldBknfTu7LDuygFYrLSc398ZIkWrYc0SsKgoyHoQquuEaQdrWKNmS99DQAU
e9xDtXfncQqzBGe3gc0Mb++qrcviOBZp+hR5OS0PjJ7cmdrhOpVz9FjYc7v1ll82xL50p/kdty/b
KOBwhINqsFCNw8aBan2Y0lY+hmGhd6CM+aM9i7VD1jblrYt8YidSyJcmbsSbwL/7VlbRS1i4+tmi
awoaeUmtkWnUWLBLH0WoH/ST6xf1I172tlyHYV26F6xb1kMZy093blju1PMYEcWNdRjUZFySIJkj
CxctDipaQaf8NdVZY3mpCnee4cMkn3ph7LgKdc8IOOp7IAkS1HgaMS9FNZ20UblNG8Sj9diUM2p+
Z6PpS9zAnSQCvYboon7NTH1M/BqdSU01TvfSXfChpZ8ntybCPauDJ2Qlk9Jd1Xqa2BgugTo26ckh
nuf0TJo4ORQm5WS4+7jAjg5vJl37Reno/EyjT2ivHOHwj2MpVG10O6MBmkeFwTtfUZabuvOdNlVs
GcAb4Ccd8hsoeUCQM++rZmbVIqQOaMDIkOKZfOET+tW+TEOBGZbUL/fPZZAVdnO2TYZrvNCLx23G
rzBJBTC+JZ8o36pOecWdoDnXJIricBmTglOAoAC01KCPHeRujJ/O/K2xq1H3wmc75NA+zxcctOm1
K8d6fJqVxuJ3pXVceLv7Xm9Nl9a53jXcmgKsZlQnfiWNRzAmkqACzVZU7Gn+W2ENbby0vF+h3e9C
zZVPeV6ML3+Tf/4veVCxpNb/rql4S/sKnSxIw5Al7H/NWtdyVGluCnWF7GSvNd+AR2nQvTEWQPVZ
pUcfRmHuhtQ4mpm91axma8di47nhpe7nTVvRizhoO39OiWUku///D/cvuVH9z8/mAPJaOn7ogFly
4n+z/BRikKUeGupa1w09p8yK4T4Zrv/5b4KjiNA1eq7u/usvAETiyKV3UNfEgJvEfx0t35Zutf3z
bf5LkvwPJElDkC3/2yvyfxjRLpQ6Lv+p6+TvwuRff+9/mdG8fwh6gCyBkmhiP3X4kn+Z0XzxD/BX
2Dn/Dr39Jxca3aIAhXj7APhyqcj4t//xNf736Kf66+PR/sv//3t8mlKgf/68UKLxh2QCU5feUKqL
/iVenLAbo3a6zQ4FzboXaE/zVjNaTL1zQR2i3cX6HoWLw8EACM/QROGXxQNj2Sxb1fQ8h4vnpwLM
zrmZcSxiyKHJOchCY7yn7Jg02KSxFKizZma1lCb9fAoTd+o3ZVsbGxOV/8J4qe/5KZdSBLjU2XWI
y+HH5Rjs4dLAhwUhD4UxBTJ4A2hDqUcajjswZ1iRXX5e2K3Tzh2s8FjZI3Ybp6QNjx+TwE2oStI9
Pi2lnk5wt+wpYZhInYqVg+Ra1vRsEa9pHkU499rRG2M2TZMGqPF7iMzI2TK3aMaLPoRRsin6CKI6
xG7Nfo91f+J25iu/iwkpmplnUsoha3UvDbePuXJ4KrrOPpGqbZUhnN4odXC2nPiFtFZJVOje1mjR
Idecc6Z9ENbyJyMB/f9tbLK63DlSZ+7XMuZo6MPcC0PRutGa1OlseiDYHIHhaFU4FD46ZMCiX8U8
RXcDBUWbSp9zthpoC/RxR9J7m/ux08ASqnGDtcHd9c7M1l1hlNaH5stO5XDltgDWO9Mjc587pniY
E2rhVBgOGMEfoCPnu4Iqv4toPZr1aDdtBi8NhtyRBLzUVlqyvpdxZvCGqbktd31SBXAVwocBg+9z
xjXqDcpYtnJpGQhMEmTM0Zn9g98wvXkt2zfpjwDQfc3fxgTPDx0NcO+p3WaMYDH7L7cpD0QesUaE
+d4QIr/FeZo9sHhn/+1qNM+USu40oZxjW5WH0Z+eXMoFgBv4fvuLEvLwVmSxi53CTA5Z5BQbXeFs
dPW83Sx0HpTMJH+uBtKWElPzLgIz/uXQ6YhQFTbpPeY0+RkNwubmWE/61aeZBbJyKjRWQM6S0dSX
+FFbTzsl5fxiGvlTqnF1xZhTRwQssq/EcMSLg1i1trg8bQGvWQcyu5QHSs6mxlQ/3AK8z3lk++vX
FSaOIY66z2Zu6RFPAO7EHLpZrU5ks21CXGzIgaaYxcqJwmrfUHl5qHzhXIjbiPcRH/wVV4+CXaG6
AwCS/EBBkh8QdW+fWkCAdybmgH1mFuZJEZe+5l6+dGDW9kPNrfXaD3X6JokCvvOKsiode/PUV3O+
x+hN5m628i+CJnTAYmNwj0ljztz0wO0XHXGGIuEesmLR6t6mtCvATbN/2GrmmFy8qTEfiA44rBD5
SOzzsWENsbhPj6UTmXe917fnAUj060g5zMC8pHTaTYfk0sWZfOoz1s5JgvCKa7HcaGPiv5MeSF+a
welOnU3h6mbs3fQIHHA2tqKIi3tb98MDQ6WCfAEjQmdxtwV2Z/+2h0buLNeZXsfUIMXqawecMMWh
s8NLrleMp32sr5RP2EWU0cHw69NkL+sBH/41tSjfbFHhZ5MT3us4ElcldxJ2IxjjsPO5WyOmk34e
HfkLY1Z/0qVKtrk1gRIoLfWQVra8smSf9pQamg/hpKa3nu3nlx2K4YFfSHg3VnX/SgGDCGA9FWs+
J926Qo3eq9xKd7WV0ttQ9FX2XCeUevCy82nRFOUqblZ/myScd8SXR+qdQy4maA7cGYumu3fFUBog
mydsngaSiofh5/fM2kcDNRQS7NaJsPkGwc8xGy5xWNzXA1YKozKiNwNpm5S7T92COWEY0qdEv+Aa
0C9+l/lXDcn8YRoHVCXY1P65qgQe/Xy8y9ln5/RJ8V7pcWSuZ2tB7IaqQ9NlgD2SiMKG4sFZ4JdR
XnqJucg1edSUeXnSqII+GtISIKYK2wj0TgsDBEtMCqni9qhoS8KAR/PPvp1a+StzXCwXZH04S3wc
KpXxkfbM53lrQwywkuRJNGl7iyipuRrdBCa9lywJkKXkc1v2/nXkan4hdqt9kjJF+xNC3fKkwjHC
p8c9l0pN3xN5yCnIImnvy9JWRy0qhh3gsuE6dI15NCiu2HqJlC/KtmknsaeQIuRhhjw6xg+cbPW7
4/fVL68r3d9TArxj5SyVW74ffSssGQhis78iZUwK2etP08gwS0i0C7Rq8XH4WqsdaOymnkpv8+Gz
LjyRk8ZUJjyQWUuPeWzJl7Avu01FXevBswvukLZDJW9pCbmlMlS+elHpOBuLmuVfZhR5u5IEzqVH
ij8NHvIyCIDmEPveHl+5QSTK4Hwj+tDl187S/bvUK9pLJqZu03ttdZSV1l3YRTnr1Mro+83JYWpD
2b96lu1gSfSHhQuhIRy0EPQf6qj1zrPmTz+62ef9yu8Tjmuf3/EpV532FMfo1jKpePRkkHVRA4iH
LQ/t2sE7gTICuLS6c7PSvCZ6WPJYwtGbefkE+wLlYud2IKt5T6jEDAxfY3uJhSGgCtz7zMg8bfXE
/LT6trpoUWk/etHikdBH86wIYfIYnIz7Sc56wE72sryAR8mdAgc4idepTNY+S4RL73XpIQKOvmpi
dMsqMsxn1+uGzegycYMOXLxxacmlyEEXcDgc8yzBYlWZNYYfvX1wcb5+QefH4Ci6el73avAfiW7B
/petgaZGlNwO09gKCq227rNQktozhtF/yKMSI3vMIat08+yFDaI/0VX9ItFCOsuhhKozPPQmTf7E
PS0gQI4U2nMnCZFpBOJaVGoou1N7j6RZ32dTLfdpbBj70bRLmtWpX1KKVuQdsD73lVnAeBpNnyQc
XBX3t1do/XtRsQSmY/oNKdTdaKn/YBpNm/Lv0+HRMae0ezgMRC7TLo2Pqm60g0OQh44nCMaIspqc
v5IaFWbhd6ijQXTTrjjeJtrAeGtaLX5uumZoGsm2IuGw7p3MSrc0jUMINOXM/DHyEL5SzCTXrWzo
BGqKuwHTEpXBs27tOO9gYVh9RlUYAW0tEe7eqHLvzhWAY+F0Je8MaE4baCmZMTmF+75OQyS2zMcQ
KkjkHew8EgHv7PxeVTWLt8YaUzqa9IrxlTYsCoMzdXOahka22VQHR5/KO+KTis+J6TS8OXz3m8E3
3lhWZuzwi87gaYxlz82kinHP0NXjoOfRs04D8jOpIm9rRe1sUc8uEaqzzj/NmcO0EtnhQWfVjfyk
p4i7WcUJtvKG8JD0A1HLMTLTY9qhj1EDJZKeEROBoJBG1P6YReq2kGKybhJevcJqeg4HNPax85oj
9n5JI2hrXiyrma6+bMTaz5Io6CI5HuNSzZuIwf9tdrxTajlPkZOoNQu5a5mwWs5N61hkrvhIXKTl
ZspBEIUO4Vq3cFD6WI5hz8IyxMJpLTE+b2pz/mzi6Vfiag9ejXsPnrqzzmfgdi3p4oCUltrppgaL
lUAYIr1xSnKBtJ1Gz7ws9E8R+Sae7v+JrYQ0Myd3g5WYl9a23sViyV5o4LBQ6FvOMihodZHziykU
NWjFVK+AmsJedrGUY/40F4jQFrlyOnrJcPc/2TuT7baRdOu+yn0BeAXaAKbsRFIUJVG2ZHmCJUs2
ukAb6J/+31BmVtquezP/nOekyqtUEiUSCHzNOfvEGB8fSTxgKoezj5EphIYdPCaSJIxxRu+J2mwu
p3ZVLlQIbMwrJJj282RY41Wa4KNkKXoVhK68ZfoDa9wjF73g8nsxtGRe5IYf81Z7+8oIp6NraXET
ownY9Gy50Vs1POZ0nBySSvq7SWMEZWTpridkdtiF2+iMt5cne5ZOt1AL1Cb1WW7MbU6fgCJz7VXy
78hTvwxSaAxJWbEBQjgLQY3+8OdhRRw6k0o6Pzmk+UL7IPgOiNLsc0qjGQRdgoDktaKWKnhkkzfy
Q8v8v4xxfpmUvL84MhuoMKDjwKr/8uJzUjTeNFfJwRzL5nVOm+JUJSq+9YHJXP76pZahyw8Do+Wl
bAj1Ns4w5kb/NS8hai71xjjnpSqrxoVh+gzQCkAt3/76dX7F872/kCMJvMGXhi3hVwBbVmJebzIZ
LQjTaRfjDjh4CylFFUl7V8MCD059EIuEDz1/qSQKWU6VKL7Fq7001yFpUtu//pX++yOWFojL94hW
elr5S+/fidaPW7qMA9ku843IG5SrKV78laMCTKgiipvXsev5nBHc/Jbl+e/86G/mRyZyCD6Hv5C0
KZUUEKl+HB79/k1/DI/kB2wRFqEMLu4m1Gv8vD+HR+5ChF3gwAHo5CWG9s/8abyGARAVspb4JRY1
2u+6Ntv7sOC3gQIGHpBK8pb+0UzpnYr84y0F4FPiPEZFh1jfZlr189GReAnyH1PHx7HGnbUaKkKT
XUwS11UtkQoRn+zA/kIcW2U1HfYCO0Rb1fsumnyNAGHfmDmUX79U3nGepRNuVV/Ow6oVYrzH8ZE7
V2bKXOk+C9LmqcYQ767BcETpegoVwLSe0Qqb1tyvV4rWy1p1uZgx98F7PAUpiZorPTTzYTbn1lkV
aRls2UbbzbYH9MR4YiihZumwQgHsG/VXyh75+m70YSoBamEWNilElWr1evJdy92YHOHWKbDaeKOD
3LsZHIxbed8RmmMZO6mhuq5YBAqbxZCZPFRpOt2PsWjPTWTll8W1VmzlWBqQLfwxcukjRYRaIK0u
yq3weEXE5bHRmfYRjPmjVTXJNWP7K0ToDXybMilJ7MTbZekYm387WJm5GSkgdk4rrScVIOlO7EY9
mBZAviB2vkSQVW7dcgo2yGXtu85Km0NfTs4mNq272Jv1BhgVJd2EeHqsKH5sCtqzXQwXV7ATdZXi
eVCNMn4FNFLRQYOdQwGVXZt5DlnEG+sLHbzkbY+T6Ia1pXMe4oLUKXZY3UkM29oqy3NI7fc97b2A
/FcHZ6sLUDtqpL5YXkATjOrZDOFtEG5K6BIB2StoC08BztFVg8KNXEX32A88piVzoYe00fbFHoPx
2q7kcJdoAWcpi7+m5Fi8uKU3bFg6XCNtmjYuGIiVBziMTVBl3PflmD+oJstRTJGObdkZQay8I3T5
2X2j0vZsjFm3JsVTf0ItHGI4scbzBAxtU8E53Jouv6kB02SzTAk/zr7ExK/8mglqWpQoNQipxHdT
Vea1HdfiOInuTfH/v406R93LvoBdgC82uEhwb/c+jnEkVGGKfBPo39kxkMSlFRuJDLLK1Wx0xUVY
XNHS69qTlTnO9aSsVdUwUWL1q29Kklae0ZGBDzXaNj46KdFO4L1UjVikdzZ1lg1XLH4J3K27a4+5
6lHE3k3f6xqag1fAkyqprP10ZG9XqD5jxwg4aBQQwLoQM6o3t48G/Q0+l4uPb3IXymunh2GAFQU3
TZfexXZza2BVNKcm2ATKubC7UtvCr151JeUyZ36cFgg1gvovuWzUDt9+OxH/ZF27Do0M1rFrNb0Z
ETaNksYIzpV4croAQxkTxX019MbN4Ad09l0VbVLhPHMY6lurysedgaqS/J7IJfRPO48OpCQQgFIj
fGugL2Dy8FLjKFn5rcBVPEPbqbedzJsrhZmVxelxbpNTm7fxqm4xGOO1LEJW0JjCV5gKcvIcUrIS
hyrZZUM6rh1WaRdC3BQDGzc6gKSGScdW/0AYwHifj2q+KloaP0BBpChmo3fjND2kEnqFZnLCbIOA
bbgfnPYRw5ixN+qJzplwRkJa6XidQeBhM3gYb2oTXcXdFA52foKVcM4b/2tJh7n1vDn4mLJV3JEJ
k0HSSsK7yfaTW/wSL4VTofapabHmxHzxqt4lzKUR7Rfd8CdDV6s2TaWs60gVSDgsl0taRIwRckex
H4zV3cSxS+Aa5x0JUDBbZDF9mbsAWm7I+dx3XIPJNE5fgmmk0csTUT/UDcY7wWQq8ov8tsRgCk0y
YK95Rw+D969ip37FdpZloXJJ5tRzWh4Y8EG3SoqWBI2qCC5tKr8zAh3WkQWrYoh9JgQg+rHxMNXy
V5TWeRmunSTvRoQXnYtYtEo8Y2fO0O18q813U8wwg8MdOdzYPcZq0qazn3omyHkh4o5ni1G/ZgZA
IqJPUxCpjP4t9suNX+LMLkd/n3UIaE6j03j3Iw/sB7sJuUWygUsPpVPvftZm0hzjOZ/0ivwR92vL
1Z+sTdIQ0PEZoXSgrlXyUgPdZMmMR+NYUhgeaTRJjAvSItqHdXuYYLPexqpTD/DRbLlqeiihZHhz
4QbzED+D0dXb3nLyvZlE8YvP1jhYgTIE0R5NrXOK7IbUb+lUrAHmgaSXvkIpMdh9z/B0nPGXcLR/
LzKH1S4c8OGm7bW+m0arFkDBJsZnMyYpunTgbeMKwnn3JADnvNSNSJ55JmOhBm1xg/Upv6VtDL6L
Me6AR6rQvhiwQZ4M0kXPuZAH6MbInHPbe3OLwCU9PbbrjoFBj00GDujBLftDzmm71tQP02ZSzSJP
D3kXEXrF/mPXT+4JaZN6M1KRYt7pLHC6XpUM92HteI88R4JthW6WJnBiB44zsArZhJgUsA2JoK8Z
W3GHwyjCI0cs4MIzx8CST7FxR42vyd+w8+YZ1GR2tlUVRVzFrSMZD+Uz7IQ6e3PaOrtgQ3lQmuBk
dAdFeEDwnGPZjLlZ6cPq27m24ZsQ2upPK6YZGNQnK2BEreLh2R0mpvh+XH/xHXhIBUMRNhBREJHL
Uk/GsTHT/g46LSogWzfGqyMm0ofgGsGXh1y27ySYPwY0Q/UliMbCX0+s1w6V2dogCJK0Rnoj8/Sp
9hPHWfml3V5SB/U2vZld41es1IF7DhJKZ4lqoo0Y6xW/ebC1ZSOew6ANnW2RiGzcmL1BGLtykksY
VOIKITQLFCSvuNZ9RssczwgGXbNHoZxZ8jQNbX0049bbeJUjNlPfafyQXHBSVfOaMAZnWwsskaAE
SXSMoTQy/q3uzU63G83+8URGIKMLielnM8q0OmjpEHucq6J5zpq0RWwWddpcg0gvP2cTAIFtC1Gn
BttXz9/g/do3oUC9bFveVyeKg08yLvIXlo7lzo4xCG844kOy2okOZG4VZJyICPvFIZFC3gSzI7/0
bqNwPVZ4tK3IndnX2JP9VQ74DNrQtB9Z4+Hh9nN7GZI3SOeL0ir30Fz4ZzZ3mb+HRDVdfGZw/Xq0
YvOlD3pYW4z8v6DuaO/dABfmOh0t8dzNFJDbSAwd15LQ3Qr0gfkW1OiSt2HuRewZyzT8jHGp+IQj
1dM7u4jH6053E7oEwwA81hD1nMNKPaRRdieI8mUVI8/R1IPyyIlb9I0thlnEyVMb3DttIM4dvjE2
GDkydhf0xK2nqA19M5JXNU60auU2vfOV7B8L0n1ZRY8MxySy7nxAnGgatjmtTZ0IZvVRdNatNW8H
0NoHK1XY4x233cyVrXadEN3JREHudU3+LU6tDhJ158lvXop0kXz4gnwJr20+RbhavnpOGe76UoB8
5dOcF+uo093E1khGJGUWXufQRRKUNFHqMLFx0rcKe2FBfC//URmx4mixh5sS2fGTCkf1EYFVfCUS
16A/CLtTgyaYPQOBV9dZkwfrSFAj5kN09EEi6l3R1N3eT4IairUVZZ+1z0xvhe+AlUecuHinq8ry
tqjq5+vMMKvj4Dnmib9QnSx2BK/hnLTQP9p2n1d1v4sCuzjUKrI3VjY/VROWiLVpmc1LhMD3zq5r
xNUiaQ7vrd+/XfLfdck2lL+/6pL3RAsnPwkszN++5Q/nl+t88AUSIPlfAgvTEx+gwi3qC3YP/F/+
7JEtC08YIz16V1jySy/8nx7Z9D8EIsBjb9lC4tAJzH/SI6PS+HHq5OD48t1lImR5sPgdx18GYD9I
gYQXqDl1I+tB60UcV825ZuFr0suvZwU6rHKAycaJal4rmVmsQzLjgqt8YqptTNVaJSgGlR7ZPItQ
DVgdzHUbGJiQxr561kLwc/AhMjcy+jK5S5uxwphQuWDaYsi2nYN1650uaxlivMOcO2zeebUlsb0X
MLHzPoiYKMam0X0rZmPmxnEG55Z9a4xfSqE8iHU7vARRNb1ITsYEMz1v2zqOesZHDTPvHeiT+ugi
/viK3Dx9aaNhwqTCWAlS3fQ8NXOzDqook9BQ5vZb30QmWyLFThz91H0Ue2A/jSRZldDqPlGazH83
YrSX6dafU4r3j4AhHHkIeP3IJFlGJT9+BPnsYPEKtfcwN3ZwcO3O3VbWiOAuKEcDpZ5VLw8mKw/u
WKFZbP0s/rTK80u0mpngXIzTaSulC2pz7vqbOXTjs8V+/Q0jgvFU1K6+xBNEGjdJ05vObZlxM25T
j7BU/CtGa8Qeabu89f3mU6tsMpcqPEXRgIMltq5kHLylNbvjH26S/2Wu+j56+emPZvawXMCUiQKV
0a+hLxW5EFEoquIBHXj4bC6ffsSW9rNpOeOdIUVz6FK7oUkb2q3DU5YwDKOddxob8c3YjeJrlZm8
DYE7jLcRibvHobTdh3DiXzVBb9+sqjSvI8MabuPOM082W4Q71w8fofBY5HPCyMmKoV97mRL7pBhI
ADEamlt8ZhtkQ+12FjnXtN2K/lrM9lvhdaehscw9LhJ3P/nNgo8jMyYZp2w7uoNFZx3EEPmeVRWk
R8cph9ckZiWnqJleK4y6B0mhuW/aRZAQYzGp+m7XJsN44abMzrI3uJk0wWGZ/SaonUDTho2nN1mK
99pHVb9OwE10myQBN17KNLgScwOghsk4SVrAUceCT2nVFkl6k1PwniZfWU8TORTffMW6HYhkA7uH
IqjeAy40d0Ws9T4Yq+Rata24CdFe3PmF2d+4WNRbStRO5ds6ntP9RK5CsJ6dyLoYSTve6tbkDbUW
2tHsz/vBXe5NI5vvc4C8T07M5jsACnlikROsF0HC3wkLfz6zGOchpyU7HNOsHfBZvuel/3BmYbcE
sd1L4xK3Yr6HxVuguNHgk8bB3zSyC9YEKnHtNOX8ChidyIIWQczaGab4De/DeK4YuxzrVtRPsnaq
jYoVtadffR4h9bMf8vJPec1PyfrGhb3fk6Kt+OxPZcjeU7Rww7UbjVuwJNYFDwI6NMmIAfkvlgri
e5I1x9XExs+1lgO1RDLvVq25dVvD2iag1PiZYz+em6yc798vW8rLACmtN900SNxOZkWiNAtC8dk3
cv0UkJjyVBhzfYYexcwoB+QeY9Mqkq+FyK7wAho5JWuA3MvuOmIO6PzlNvNjxNiihpH017fueyjR
n7fu8vajCUTV6nssZthU/DJVxT6nITw0AKSbigD5ljiZ1dTUxkM6B/wFZmqBV6m1gXkoocZxxyqo
bpA8x2jlRMLjxeYexCOr6vDoZ331kvUeHs2AdSVx2Uz4n+EV8ccssK9DnXTG7p//Ac7yeDWRwDL+
c5ekkx+un2JGNU6zJi+KIdJ2TM3xXNOG7WovhC+qC86ZsB44LyyPI6aIXWPr+ej3RCjca6RdISjt
xuZgnsoXe5TmyRtA1sYWaOcdfuXwI0McoJFxEYEi+evf/f15/Mubz+5Gwle1JMrLX3930GEJOuzB
vTBtYAU2MB/+ztUc+vuG7dijOSfzTTpqlC6M9K5aOLYw7YrCO/hV0h9J90hoTKzmoNwBPKysjY+t
l4P/ZfaD5qXuitvZ18lJWvz9A84zOKL0mN97HhN8RInzVYdDdxDz7OOSq0GSdwQfFKgeJTvOFO73
aKFPb7sufKI7SfeGDzRaI2/fhr70dkrb0Y4edXwmUGC+aoZlc4yscDsXkj6ztazxmxlpzisrdwh0
Z/Fqbme7CnZ2mX01Aafp2C6YIWZVdVAOqKNCcqtTE4x377deGBgRVgwjxjWQ8T92gJNwqzbWhTEf
jLQ8tfs1vKD4TVR63qUiDp+58vpvjsqXE2R5a2jijmRszzeOWKClTs7Jh7QJqrSVZx9FhfcQJoeX
fKYJfrVLgLqMWsZDNlh63TQQoRiVWSfIsAywIXGdUxC8xd9cCBSJP5UN3IZszKgZsLiDAKAc/KVs
4KzOO531NQpEs5VrhH8xw8/lbFbDCAuHdmUt4wVNBx0/2lGKVS8emRfw/ziTtlGuD7FRSyYoqYKo
DZuJgAeRZOsetPFiLyl2jCGW29WU4ivyN/WJ47/9akF5+daxaDc2gefmkvQHHwsfWld1w1zL3eK6
mLgOnGXSrmwVqp0yQ5izwZzTCIHM2LBRlQcyDT4BWsMjIXG3YBa1kqug9ox7DKgTmRIdA2okwRyR
Ge0cAONyP5ozYY3ctXupkqXkXD5X7B3tkwYr6xoZ2pvRSuZtYE9PZlUVGyjyGGDEFOdofrkhgsjh
Yk0t7eBf9eWrLRmmNn2fHUs4qvs5UJMBa2aur2Z4QeUN5icHAnCXxY88B5JH1D8k4c0VThlY3MxA
NGw58HZZ7UX7mLoFbKvNaQAYGLeRgX6a4dSwFDhQoY/CH3lU6dzbNESWRJixu3YLeC8X/LkZR54q
F4QySyH+HbYdt8EU0/+ufU87ziJPKD5GUasxUjo8dWYztb/GdkisZmR6VXbNpH0pf4LpPmqT0tjO
QHi+5oo+e93WOREwnOxibRSzicVyyI4TFwLctwECouFM6JJc07Y/m+XMCoT9wHyPkQ4hninT8dJQ
W+5bA6TlSut5/m55mX/wu9nA7pdn3sqH6IVbqJmHrdP3AVwBL8EhTmjjCoc4V2FSU2WuRnL02sDF
xe1WodjA8VbfpRwubNtUsnYpW0OY5bKAGZXlZynz+M7Cz42lkizJlQ6m+f79RP23s/2bzjYwbTAf
//f6l/iCtkle2/8pv//PuuQz/Poz1Pa37/+9y5UsbkF/BL6DgMFibEob+fsmWMoPpin9gP7WJk2B
KLb/bIJtWtkAuzcaavoABK586Y9NsE/XTHHHFz3CfS2+9Iub4K/cBf8tecCKA3/FdJcnJgaDXwAn
E2nrJgWu2GcjrLnou4qM23EKD2AUNxT/ezYGRy3CLVf7Z1I0Vqmt/0ZIEvxStHJUC17a4wbib8YO
tnz9h6ID3qZX+YCKkNmi2w6dz1MAoaTPtqw8osyqKCzrbkMnSpaGwgRURemVtBzilaxnhxHfjAus
MqIbHkmrpPSZ3ONQk+YZaxO7QLdf4WPdGMQFrET16oxYpcp41RUY2LIvqcYYxT8nxrVOMn3Sc3mV
YBTXxnZygz1RJAynIjARtSA3azXDRO3YM2nb3gh2jpNdPE5+xkDMtMFo+6ucRTIVFpnhcOqTdGb0
x1Tbp9pJmPm7LkNbu7VRtGfgPbt7FRewxyBjWNj77r3g2bSNrY7ky6z5DfLUXJSJa7xK67wOgInE
265Um54JfdNll9EIP6b10ICUzLd9W33pAktcJaq7i7S8Tk0gTxGh42kGVwN2rzfzawwtOla7KF7z
0RFXWcqMfBLDa7HMJj2E3YUesIGKCnGU5sVmuK32bZSTPfPv4VK0STv9zeGCTgQs9V+cLofiLXkp
Xn7Rlizf84e2xPkgKWt4/jLoQvn154Hi+x9gobG4tG2OFTQifOkPaYn5QbqcNIJpB942JGN/Hijy
A6kPpBeySv5NkfJPDhRcbD9XX45vcmbx0wISRT3fsn65nTtEDskcj8aSwTEiA1XqxU1pS4l8ENzM
MZpDMr70RPPZUQEg0KaB9OImv5m90BnXJkfSlliD/k3CDbqdgcJ+CURKxEcUZKRl8F35ZixDRr/F
XHzJXSYIwjOt2yYZPPjWCBtuABrR3GZpjudeB8oD1es/SHjylwa11K3oX/KyYWKGHuOxhbr5XGZJ
b6znXlF6Z6IaX4AV5eMq0QYFm2FH0KfHAMMndy8GrG3l1dnXmOE3lUqTY7qaCByCCTdhXRlrBP2h
CrqbhaaNHhIaJ2b4xvLJsi99iRIDnS4iaD+1r+pgCWgaSbY92ans/S17ngRodIHFZ412tXytmD4+
l7Tz505PYt3ZSl9HgR5eATAUz/QmqDDZAU7X0ADq+6lKoxemUwhKUqtc0ayDGc6rNbmPAtyaP5xn
Mk7usKCWULL9saaOygd5pcYkO/t2Pt47CiNINbWbSZcH6g8SampOOnTiDF4czDNWIu/MWqPATe38
ddTKZIuZ+3eea2IWb9P2AUeI5iGq9ZbBgr0P58pEr2cAUnDbSG7Sae6uEWcm4WHWZn3sZ0VegYhc
CqjEreXJF7mFZtGY1KOdV91D52QsIDuTDDeiJs3PCTnTn1sDakE1uITcYEo6DTOoRGY8HmHTk7Me
xnA+zZHZPalFOb1eMgpPQ9jU1/j/++8BzCESMafWyDZaAX7onUJtK1g7KU+9AIIBT+7+BhVIsxzB
KETrd5YgkS7uVZTk+G0tosm+pNS8aslkQHef1XZ0V/hBYe5pW5NLXGX2kxXlCWYal1dj5oeLDaLj
rqtj59q0UnbrcVfGexQkiNsnIJtW29f7YTL7S4T0FMF4Oj4bRdQcbZEH34ZmkM3OE9BRVqY9+MkW
J1NwQS81D0xyotL4nEa2dxc7CUKD3gcWvwr0nL06VWkHaH2gxkZizjcBo07YVdTMfI4ZOFgd38kx
1TfanOKjpFELtmY5AI4KC4fJ9RTlyFlTYtztWiwhbCUi+Zqvm2Xk3NQouMstHuTqnOJiTTTraO7y
z2Nhpg55MBGPfd6eEf82sN8+EfxXWZhR267GoJ9SD1JNMAp1KhCPFQzYIKpjdBrQ1YY9CT+Xaejt
6RiT+ryvB+/O9FM2vY6c11jF0G0xTHsYaU37rR479RyGEDVMFbJ0lB1As3VWWSWQIO0+dJ0LtHFK
zHbdOlMNJTYRZwdVyqmFFnblkMmz0qUGd5wRLhqE1CD4QLgUuV8uoR4RjSUw2D6N7yoP9D0ivZMJ
vONg41RoYB6cWTOHUGh/CvdsmbWxH7rm0WHzfG9k/pJLughLbBQmPc6Om3IRneSL/EQtQhTE49M9
4h6LCS8yFdT7EVwkre6Hxm4u6nc5CyEAdqC2koXEhrpyRe5QsjLr+Jyn3B+LMEagkOnTI+0fP8k2
6qtuEdEEqGm8RVbjoq9JU7RfZMetGLprfswiwlnkODGgPlJokeiYi1hHLrKdBP1OsAh5UNDDOFnE
PelshiBEOK0nlD/FIgEKFzFQNr01ur9uZ97DsBXX6btuyAwysRM6/jS+i4pQF/lyQmaE3giELvnW
iXURixQpZPYeoU3yhjS9a1Er4cqH6TBdy0XGlIvyoU+w0+WjbLFVTPCAhqzfWO8iKIhM/l7GsECB
/GAV+k0uFXs3NeCnY2Pr63bRVE2B319Zi87K1LiJKNYkKosgi4+45JyEP6+anyEf6JtgHJydN7Dz
4DK69hY1l4gaayXeFV6ESV4ZbmEsM0WuJsgA5+ldFKZL5tg+C937epqCC3wAKAXwg9R9tmjKvKB5
k2Usjij4zes5D+qtofH8rysyX5ZjFjz6yufy+8ikP9pgTC439aJimxc9W+RF0xnXDzbc3mw+zRn1
neGC+LGC5N5tMNFAdcYEgVgMARKKOThQ+UOvwvDeXfR0wPIAyuJc3Nh8TAEr+0226O/UGL7EiyLP
WrR51qLSSxa9nrco94h+ydetjW9zUfWNHZdOaognd1H8uYv2L07HcM3EA/B1Jl8HNvIXnwafBPVx
2rE7CkiPkeq7p8PiTBOsF43h0DoMQZpFecgZY5zSNkGOWMd5fcHwoDb1ola0JbpFd1EwBqOOX513
WWNQar2WWXfhIlTnoBTqjigtPLiLIjJZtJGmKe4k1OnNohI85IuCUvl2sDG6RVU5mF/cvmGtbBrZ
Q75oL91FhdmWDqard2kmx+Ei0+yFtzYd0lqnZJFx0sNcmYuy00AReXT1MIFHT8aD1/KIHLPZOxiK
MOrfuqN/m/C/rZMDn8ry/+7CD+XwS5H8/g2/F8mB+GC6UlJt/1QhBx7OfVy8ZAiSdGS9b7D/qJDt
D0vQC7hilNlLgfxnhewQK+MtNbdg8kUzzt77H7Tcjs2K+oe1JmZWm+B126N6DwQybPuXKfuUt21f
yITIwDofr41Uk+6ZWfRztpu95UU/HyAHI3uCXoMEKntXQ73rot4lUqHUxh2yEYRTqGX6O8duw8ds
5va+rheNVdyCpzyU7yKosOD8X5PHhSLLDNFjjko+Tm473HckmgBSmXJFdidWlbe+R9vV153/GI8l
S7b5XfzVvgvBikUTxrruEC8qsX7Ri6Xv0jHvXUZWLIoy/BTqW4HILCLf7JwGY//UJrVzQSeHGK3r
q/B7uyjUIqO/yeBgIfBhI/c8L0o2h6XV0xjVpDlNOv5OxAdyNwIb4RY0o7yroEJS8k+25k6PxptZ
NuYA780hPTI3jPuySAFsyT6Pzr1hhQfvXWoXIWJD2V7azontdpauBQcGMq8BBtfMMAEXfai3ZALE
z+ZkE4Zg+7l/paWLxA+NuHqYTAJoqRiQxeHG3ieDiq7gsPtYg5z+SpRjhdsoz72HPI5IeJyJxpWr
ibEkrn3T6pBlghWFx+qUwduEdbFCjN5IkJyqR9cb4Amywqw+dmGWbgECkbKK6Brkej0G18sU9F2Q
zyg3qPyzQ73Og7+X3aWXeb2PmEnuCVjUdCGh366DhGHm2pm96qHGnXlk7oT8zhp5cwKFe9GoCnVr
wqMSpJLN6S0btRJEuCv7z6rDyO51TuujWS8h0cTzNC6BZzKg7PTClrDDId0qIrRuYfehJxoTdG62
VwFaG0ZYnqyu2mOb5nYMs2GM7vy2+k6I8dTtRTvXycYgj+Q7aXjKWREapIZV4szta9FQduzZzyhc
sGN6YJlYb9mTpUvKsIdh1gxoKoYGRRUirl1g2I2k5cATZpYBjdeYmMPtjCM3fawF4ST9/Wz42FER
4jPtvcJDnVyGScZ3MEInU73x6TKgXxP1nPDeMoQH1HViXQUl4iw8mYfnSMOQzM0S5o/T9pCeBpZD
k2l9inxeA7L/JlXzg6PHCEgDI7U1K4W+2IeFuQRPIG9DSO6t+8CSR3Sf2Y7Uupzb227WC28DJcWw
kgUKJwxI5VaLKl/XrRnu0jibVoZsWYGyqlw1kZ3jQzWvrTYAmyVMiRfRuYCS2atBuKe5ckJm0A2C
WFFMe7T8vO8d6ZLwTR08zIXfcAU6RS3OBhYCb6N1Z6/RxgKuS+f2aIGJ2CY4Jg6o8YdTRzrpZgCK
e1W7qIVBqs71tafr7ggmLr8wIHQKJmaee4VTFkBxoO/nmBszK9Pvs29/Qn+y8pSfvflN6WxSz4sZ
/6f6o9FZ6sy+Ra51wQwtGV3zoXHAV6Dhoz4LNKpjGAPQ3oGykvUR+Ws0tBDJuuwOct1j4DRqHZG1
u8KOu0/b6ALEISb6xUzXIZkK6zQRvbui/2TBN3vwFjNvebfL4SPz1ngjkKIfZOnMW0t5PRyq1Lp4
1SKLVHO2pWlwDwBWcyKioQesMLN2Ny516rYeU9B/wLeebOU4LLLcdBNn1PQjedRH2bXyIzOW7roa
PDVySGnOFMoUhLKJGxqvguA/hhxZNN8KAqRRTEfp3dxzNmYwwPYlkpZ9ZwSA6E0jGLeRjsZdaM2M
6QqRr0mGjtbQy+pzjh3+Sjb5opyzXhAjYeyNIMmPIWmxSBXaLShVUmhs3pR70hUZmcy4AeAkKt5t
y065USnCgtckmXiI+HaPNDsZ23HN4qs4JYjPb1Ptw+ISLHH7IptpRCyxFT67odSR3a7Rfv6ZbsS/
i1tEROuIj/9ziqPYcjsok9lY3Jp9l6ASjsRHkMHqu56c9lmakfMgsavd13UcYdarxU5VyAr7ufUP
eAEghigmG1vi2xSHbpx0D4ljl0c/1vaLrbmkbbseTsifixvfrDQUeNe81drNSLJlnqHzYXqIzHyZ
thpmQgpxQGVOs3YCHhDuReyCPUl1BhDO58hU0a0ZEA6asO9D3dRJnzwKXyLNtqMNsTOMSsI2no9C
VfEuZ2QElUmFn2LggjGCAld/ofxLCCsy+uRk9ZneayusiQcwx69522VrdrDzR7u30ZqGqWwIJ0ja
aCVr/QnCqHWa0TOe0JuS/6A8kXK91fHF9TrzAbWGRThZWhHVVmOvIP4ifqrqShP/4iH50iVDMw6m
es8TfXwBrqE+2rGD6AvdDpyYwQZOZzkzUWBdeyQj8b7tyI2gP7fNtv0sam8pbidamEx8nsiVK/bA
epvkCfnFkpfUll7HkygTQCTnMgZLWAAm3XYmtN/JZsi8rcQ4v/lt723DbKINZsMuVzF2xZ5gDsAl
UTx1V4PIPw4je9UkGyKy6Rjr8FGqDRgSdW8vkyS3gCkRGdWmJtbx3znyt/+fObLF2vsv58g3SVF8
A4b2U5H8+3f9MUkOPjjYqaWLztE2vfcF1B8uxQW9v8yQfQ+40W/0qz8K5eCDTVXtSi4T+93B+J9R
smNjewxsPI+28N1gmU3/g0J5UW78WilTp1Ai47jnF2SR/8t2ysbon7ckwV4DKSzjGj0vfqHNSBDP
PmnNsdpmVL8lUvH/R92ZLMeNtFn2VfoFUAYHHJNZWy8CMQcjOFMUNzCSojDPjsmfvk4o86/KzN86
u6q7atGbTJOJYpAx+HC/e88dqd2eMUnbG7dR9tfMObdflYSUVw2fiTMTLYrOwIln+ht1oVK+CHqC
Cff04iP2rfi5BEkTprHrfBulVEAarqzkKTCibVpz5gQ4aXjneOIvw9GdA8i77Np41rLqxAgYtWp2
7otO2R/GJKPlZFKV65NJshRCTCCrZzuPBu+m11dixVC4E157Sefsj0wvGNCsnm3wWj4bQJYAV04W
DnvB2u5MO0w8e/gOu3PCwzBQXn3O7RQzCXBEr7n2wDqPcVSUQPxoE0OYLqL0mYEe4Z5kqnTYpeT3
DqQv+x8eRoFHkNJAxD2V7Kw5+1G0AfxvL6X+zCRkvRrpHNtlVvq0wFy/c3F7oLgFi31evCwq12q2
072qbKoEOqaJGyWMdwAP8L1NbOrXVkkk9CqwN21gXbNgtNWvdeK1zkZLo38QZuGcx1+sHjV44jDA
QqjRioLoRZe+9whSNHrq1GL5hy5S9pWM3TjFqeglXnsPceV1JA2wISLmhQBkPJ6DZly1w1wd3aAu
TnCteC6HEqilhdYAgmFZppMaFEcLI26SjYc68ACIS2Kjj2IcM7lwcb53Cw3magL3Pelq7fkLGAkZ
tfSpLVHECLC0Xhttozbp3tBPQeFxjsUre20MM0xOr2lHES1nRI8xC8NEyal7MylQqv3OGrLFxE0S
O9Dny4xGA/EOPaK7NviimzsOFPASx4XVNhJlPpo400XVBj6DOKQj8b0k+hUIvSqS9ZRdKwKvhBsu
SokbKOQT1furQsPwX/WONW0KHY1hR28Qcrv3lM/OGhrPIR66s7P49N6hoHspPPFWt+EAx5xpaHQE
0bKt3Lx/JthwP+NpWXU8zDbW4M3LcfkuzAmvsJdG3D+WR7PI+kPbMYrUbpvdtKVhHhqH066KWusY
GAi4eS+YcBoJhjwAyUeKhWGO44Q5GcWiD2bLR9NyC+s5WKy3SkGLaLnOrrJEGaFU2bitK0+xodl2
dujT6aOraQ0DVBefWtcb1lqX9ISC8arp2+tlM2wlZIc8N9p1WhpVGLcGnCSs0wmgkOSLRsNXb6Z9
NIg4mLmtCdGCkD9lbtKf1sGwxDfUvlcgTpZmR4/5I03qkGaoziKk7BBho/Xijp8+O2VYpbsV0Pfm
wCx7+GqKZln7CeMSjw/bviWEmXsNtUaxVvu6bQ/V5Dy2dvGQ++kNgukuAMMA0Ek/pYCfarMPjpiJ
H/ogPVSUua19c9nEGc9+7CahP8rnvm13/jKfM8vgpOkM85YsoNqMkQY4HMkX3DhccFG216Isvgpp
4g2rJvA+RcKZyuD41AoRBuRXVq1yWART/4zazSyl5ILHKBFtkzjrvcltfFPiQww9qJS8t5peVLwe
7s7qS+ArSYA7qSs+AV2lq9Yyg6PLcnkcOsjdTLiyC6VY2Z76jWTNp+JqDW/vOYFRkcIvpevqMhNZ
eqdAiZHWEBEr9LPeOJHtkA+p1brHuqH8jxes2zY4Ir97bfJqGv1I/HT+mahS7DG6DyFWOQhMsB9C
x4iC40Asb9OzrN8jTNA3r93gAOj7IXK7e0Cz5pZlwj/VmUHBbU/k5RvryrC2yJOOq8ZW2YVszMgF
LFc7CL/Olkq24eLETkJIeQ7O3Ww+6M5Qa5mV3/sYxAg9KrfLXEL+4YA9Zw1h3Kp/6F3MefSZ0NFh
ZtvMzhEsoSG9M4O55HbC7kAWbc5FsEsz9VRUubu1qMp8nPLp3Bi0qc1CZc8Qf56dmNQmMaz3Xgev
bmwdrAEsUyOGZlsWXDUSa0KfxJroZjsKOiKexVYyZIjbHcSdz8pZnI0Di45Lt/XURDTR03dRg3pD
bzg57WReEmE/DHgrij55cXMLvaHQG7OWpIz6ZuMawRvNn9QuSOo1rmtpY/h3fm/vQNPODzMvHdVL
Y9yGLKP+Wx7F4rWAbgzo2OOjZkB2sZiZecu4Gdv86BHy3Dpja506F9dDOzYpjXxBnYT5UvgMHAd9
SGq1V012HNMo36kCsAaEN/JGo7FlMytCHQXeyp8gkUF0GeSnNHi96D8w/At4Jnmf4IQEGt2152KA
h8ScqN5gtUw+GirNQ8rXbpAqrgbv4lnIcU9PFw3pVDbaGdlkq1OP49Jf2tQrP8e52gf+8pp5OY1w
/D7unNd5SDglPY2LfRAdGHdslL6FaOJo+GMSbjgR/mY96EScnNRhtmDYC+Pp2P4Ox4BeKlPQ7Wt0
OM03fs7KNJZ2dYf+xQ2o7uDuKvY1spPVfqm5ZAqBjABMfLix4ioKU8tq9sFgpitg5c+JMV23ZzLs
9TXo7BNCNj3rhTlxdWvGzTiv5VJIpuOLzoYHIsn+IehzfZxH+1nOZvMBvN4gzlpWQ751vAntzy7E
hBYBInTcs89aOEiCz9IY70TipczHJvXQO9UdPbAoiLlxT0pzuM3n9FvPNGo7zC5EMe1+o0qteGJ6
fLQMoTaCX+86kGnfWF7l/orAp1yA4r3JiToEB3zeWU03qlu4hPn8Jg/LHDkj7cfvAYSvTWVik4nH
KX+hsQiNb+z9n+7gxOvh2rroJHbxzgh9efQmw13lA5UauQPWxy+9F89DyDAi1wwtL8meqrgyEfvM
fkd/aUm0foYuLa8fIl4wprGznW+JabIgB/x4cYeFpiTf1uUfi2l4D0FQjd8YklCjOySXwswdQpVs
2WQjBb0qaSeTUBOXWzVmV5yw/dX7bID5rvsqPgur2Ks8ypnNeM1mGIL6wS8t4HSWnwz3Rmv7e+25
7TdDB/savN3T2IPuF0EKSjvQeXpTKfWjzf1PVmc4ZXgt1kMXDc9pJk5uZQe7JujAJMCB2USNywaR
Bi7DDvy7iXOt0QF8Z10qpqNIgE57k4keI6bql5tSwhjDWUpNU9J+FnF5TXQWqbhrmpELKWTHeWNj
MYBtoaak2FFc0W+BeeRsXr1RfW9p+jzF7uJsC86CL+bU2UtYY2+C0CcXGyXUFh9V4RACpZRm1WoA
5IQ6CIWLggPDwHNuXbuGteNzPC5H9JSraWsw15Vt3VK2yPgxnKpuQJQOinXJyYMShBTvVlhGopyS
E/hwbwuTM35EEFQdLLUiCNHMX5joH1xr+lFHrrtrG0+vS9XQlQ5U/RCRFV3p2QExhemJV+3oZEhN
QToScajpypvl8DYqingsfeWgN+RXnAK/JYFy9r+83icSStwSNWrVgPGjo9qS5PSz8QiEexN19iVL
Mvs5hZu2Kwgg0QhT1ic6bcsw94LHRdMVNLbdA2XVcmeKD6pUODBlUb3JyuhZxJDOiyvn3JD22k2a
hkxuBzuMiDWQJdAjbbHXuJrDssNbgolHhDVo3DCV49ovZkbFHRBaHIj0w7ZMH3WevMG9vXE54G9N
n6e4DJrnuaaBykNOply7PE1uSlev8EvGixwNAbDJYhV7DXtiUR9qFMdgguIC8fOzqIbnulmcW8Ml
VFJyT7GUs2zniUrirlHM4hcCFo3TnfHyUnaoAfIWU0fovihxMit6dywmceG8GHKVCWZp1CWHWYIt
GRtFXd/kpSZX0sxbGILEPeoohckm1mL28GSnvMvnwsWmRveNSwvKsyeKmzYZ5KWTAXVUbfWTwy8p
4KTfiEzTmGGge8xyvJ0x+Gw1Ds7nTmbpupADUQZJBQYBHHpBWt8BJZwVZ6Q5hBJstdvAhPnp+tGH
2TN9DeBB7BJgj8xyqb8MejJ8S+Fx6hFNcAvj/lLRFXGxaOko63YKdd8BeJDmcrGy4GgIH3C8ywjT
u0b9vcCbbrB1/ai5bxTC+E7+5j1uXJTqfoDKyjZsZfl2KvQhIvyx0XSwFgxDfCL6Au77DYXEzb7N
u7s2tU/VnLA8JpQSIxSa26bhejtanb2zFfPtGvKbnWUnvFpsoJl5NHP/2fESohmpfp+94TMa4o+6
ZnpOSP1+UGevjoDraoWSXMVvhoFXf5DFgc5wHca2d8Pc49UHntoFQb3L2RxXVuw3lyjCdmNUpiDT
1NxnE6czo8/o1B00rgQ4geYlj+qJ45lxN7jtiPhWzvraN0MJC81FLA2mgfC2+H5/6HgHv5Gp+rLz
ifdINEF+sK0efChVDyN0mfJ7UWdlvUlTUV7YsqDTzbVdcMCrO29tJV11PylL7UeDCl8zc3Oob0aM
9G51ZhLWuWq+W5NIw3lCOe6cpn2eBmqJxjEZD5yq80NAbH0ng0pum0XHp8kc3G1H9zpZSGxQdXAb
+OBTqtQQP520H046Sd1jY/vd3iqW/DjUYMOcSXZPsoLQihD/zh0+O+cVTokoNm+1jsmG93V8QzrG
DmlFcM7CdAnnUwGys4FarLOR29JIhgAfq0doC4dLhF9zN1a2XMcz1QVli+GMkUu8RtugINDGkiMH
P3SbzN5YYB9uXaFcggDLh18OGEQs792LC54xDrXnakAH7LLlQN6cqoVpvIiy5ljRJ5hM8wCrHSVE
LTa1dVYmiO8NtEnJuZIRJd++D6Zw4LMTuzPHPW79W2nBhVWzRRHYnG0TxvEHzo0HrAIUdVFvt716
Djes5gsvvVNtIGzusoQ5/GL4D0NmyB1XYRQXe86+j9SHcJKWZn5mq766VbktXJY+OFV9BVQkz+Ta
imgeGbA2GCPXDwZt7cmjPQbGcpHu+1yK8FfNRq568wToUUGbtn+2ejgvARGm693C0ulFsLpvrgVv
BG95GeGirzLU0g2FWlNoTCCM3DpVFAz4xmmS2R0hU4uRR3mOXe+l9oN+x/m6DedrQW8/z9tKmLt4
Qu8olMNdxkmW7ZCnfCt/wIqXqi9dN/duregHoT2xY0yjY3uDysA9y7Ir8KFUAk7gqayoQK6x+9BM
ZlZlx4z2SV2QAsobh0MLNdl8UsMBNvXKHBRrpCO6NQfAj9HLYDY6B1+2d7Oqofb2i7XmCnliiX5p
orHaymHecNXinSygSUAZoYJL4IDSYrB2GPKQUTSbrlT2oWsEYGgAtnQjM73AQdyKKuCio6tvraS2
DTb05G/JoT2xdj5YS7zwG41qk7sTNy8fLkzHdVAZJixYSkVQBIBFpdMxYaBMgUX1QdFscJ/FBPQ4
ze4wk1HHARnp2RfyjuYOMBSNsLCpmFvVO95Kdh2zNQ7KxtqlEZt6YC97KqPkyxftpdfWKffdd9J5
RKjelSh39Ej9pOcO8zgIJMDqOgv7EkpPVoWCDrm1bsefjQLaXuACT1qICa0ECNU3RpgzhkVU8dFK
dEa7S1WhBSSAa+iXjd6yOrvrEhZo7KudO4cNGLdbpjXW0eBM3xDjIBlGU1G/Htul44vYyZsxh6Ni
NngV+7nq1gmx5akFtkZ3dGc6UDmYrw8zY/EtKk58ZMuiSUkLj4mjWNrhxqBxaSd7kh5Yy2R3SEkI
3vmsaszretE5JUfjNvFhmGhXPRnSLWGz+j1Zyw7+aRfaIkFqc7kjLCwf1pBuMxmIFsWf58jBuNXF
RDTNG6Yj5Njy2cvVTcTYBMVi9cuk8V/tZ9l91Zd3WuH/5/Ubf3K4YJ1L1P/68x8JOvz+uNeKhz/9
YfNLQ78fvrrl4asfCv7pbw0M16/8j/7l//gPKfF4eizxd06V03vVv/d/MnT/9k/+4VWR/+KQAvEo
VnQkjRECv8jvMrwwrX8xHWmhw+OrvnZO/LujGy38H5EQMiZQAzlOWLaLz4JA3D9+3d8D538bCZGE
S/7iTwkwo/qMBBzbJ2DyF9W9jZQPzXV2T6XFaTek4kJMa1eAzkE17I1GtfS/wr2ZWNHtOrrU1cIw
vHNMAw+fVsyHHgs6Co3y2PcudTMbg5ihjPZ+xGwpHOyRCh+OtLq55Antvt627ABaTRdl5ikq92J5
zOllb1DIxYcfcftmlG3/mcfTPX3gHkQhy/BCmbjetmAeAZmuZS+09PJo+JoEl1ZJSll2ICp4I9cy
U72zRMcJqppF4YRZb3IE9To6QvZF6w/tHZCB/LFro+B7X2gb/xzj7+s+MmYN960uwdq9BK+GDS+F
h1hcvZnJf6Y7YGkmUfilKjd2nfq3eVuBxMY0vTaCenqjU4rZL+6yLURwkARdQlVZNlroqrWdGP5V
yaAuXpfFIeNG8Ob2Tvtq9TbGbfTH4LMO/M9iXi6+2WUAvfJyOfCf6DwOrn2bOqm5D4jRbVRmB+GM
Q5ivsYP2fsiqhFjYsphrNcUjMc2GQqcVJhaGkzJyF1Z9BzXE0OXdAAHohZgdIBlk8B0ox+U+6K3l
yIj66g1PEbOhwBjpnjBk+oP3g3Of5eNI4WZtGbf060E5dFzCp/UsMFir6inRHmYYf4C3DdcnHKmK
wpniK+tMFsf6ZoCLoLS+tezbWsbXXA/GlRLt/DCmQhO5d2DopIMcNsIiHENcleWUYuGtPcG8AKtP
TokEp34zlrKB314YOzqi9IGrvf7EOO4dkl40j9pcostgtPVNbcRDuZPaWG7RnNxR0HM3SkVKDxLx
b//HgSvH5Gw4FqSPMDVh9LQoVgxuumPW9PFUHXHZTkW99lC5s2CLHxCLo6D8ajVO5EOR0RL4YZ//
LWvlOf3sSD/+VH9eHX8tAf++dP7/tKKSlmPN+d97/87vafX1pwX1t3/x+4Lqsh6CmuGYZF1Bq06A
le8fmTtBRMb0ZOBg4Mfs94eEDMhWIvvE9zHl+Tb5939bXxlrmpgJHWA1IjAlSPD/zPrKQ/xxdZXM
gVhe+T4QZoA1uPxwf4y7LQGhHnpf9Z4T6BJsnOXM/P0Pz8bvS/ofO4P++SHYBRzHp4KIH5nAz58f
ghx6AVkm0PsxsjlH+LDl6Vh1eUr/7Tn/v3iU60/xh9wehqJ5dhIexaveeuOtnr+UE/6/PcR1p/rD
QzCrklU98hAkbj3zHohNqz/+/iGgY/xlvyORRS2k9AhT8s5gCv2Xp6svDFIzyDPkpKvus/ZcNJ3U
hFziTTy0ExEbYnWNsIigS3EiHbZzb88bTm1iR5XGtAOS371YibYFRDoA+53y7mE1js46GWd6UTs3
3dbgLde2Qh8RQDoeU9MiyeyVQ8awFfnMy7zs1LujB/ewecMaT+DC7wkMiXE/oJ1g+aHpxAiEu84N
LzkXDdSBvB3qlZt2HO26ITskZuGdkHvc70aJ0YwL85KczdZwT0VcLKFmqLKhGgl/fgyWkUQGMEfI
acPNAF/vmQR7sSabzaTDaz9dssXHKC3pRTDacd17mjXU6m9kbqnnuVrk/cRuvjMGr9jUNMMfZIkb
qRiE3FIdzAGB4/vZN/NyQ3fqDPtgHh9sDxq6zH11w8F62dTatyAqwX08R2TF9jWH7TCuh+Q+ysbp
M1CkIajPoVPTjbCReWPG46X6a6rc6DVpsLKvwTDoZ3fiHEM4QXx13WwU1PNK9dNoJaDgOSvUCxXu
dHXPrpL342jyja5PsCPx1i0OvQuluuajFsddl02kwBtGtsKhSHIswriCaZNayJDEjMfgPjMuWSy/
VI+QNS3qOr+fn6W2vgKMsFT64N6Sg5G+KvpBDuaCL5HmiVbsqkl+afouglUytXqfteZMXXbDi+BE
Wr0MJt+vnPk5Mo7exzJw+pf0WqOFtuedSjhy56acoo3tdGI39NPV8UUTaVzZ4zrosD5MZGt2tWVp
TKP0GYUBpZ0bH8BeBqvKj4E8SWuvScJfx48ul7lM7YAv5/vMycZHaCvDo8K9FGrqJ3ljEF+gwILE
HY2O+RFQFskBWk02I0meWz/g6cRKIaJ12TXW2mLtvKgpyLJDZrklFzD2Y24iKWhgVGvxINFg75c4
NR8zpg/zilyKc8vNMdslcWzuhOyiDy71JJRmy4gu1hRww6UKyhtWUlSwPqNI3i4Jja/cMt2QW7s8
QmFsb1rDEw+i1OPBDRr3LjJsY9c3iX3niTK+maRDz2WLYglFgXgLKNP9kLSuxfSaDOyA8D2HHDij
D0UIZRU0U62APA7Grl4S/6fMcv8nhFsV9gQ0Th2G8o8kMMWGMgtJKAx8E8kNhbzNMY3nI8LutxZ6
xlTR80z241xskrgx94JQ1b5EBbmB3CefTKICm2jx8VDZGNt2Pi1YOzSj6dW3ovGtglF1b5atuR/x
oblAuGfqNamythmmC/9T5HhtW+pzLxC3pvcO2A2SThzcQoCwn4pAUeHV99AH51Y4p8mKlzt7pIEt
bjr/DgZg9b4kznTfLUCNZkbul7lv3RuU1uWM+9U55Q1MH9E6YJgW5T42kGrXSi+a5JUB2MQxwY+h
H1wXr8KCqthpk/oIUlq5t6KrxlmnmH23YzSZPyVj7nKVFHUCcnbMfjja7fdiZBHKgffseGs465kY
KVpb0+9UPZEy6xv6V9hV5GYwZUvRjEtyLqnb5ElbJXY4eqL5nk6UMOUOuAlYXqWP/LTxkwWc4bjk
S3tyMmsJCydi3pi5FZ2hTpkFB+oT6KDGoLuGwxgcnD6ot8qdGRiasbHrkjzFv+vS2Rr6uIS2nBLU
hlBSdzA6k/kRSuuyjfBObrxoiLqNRftrCJ2U52GuNSGlyp/vqqJrP/DyKZaxMb8vcCBSvmwuoWIV
eEvTQG/q0fP25FJozzPpvENEdU5WJardVKcIXhBmm/c+r8WH8qp+oZA3jX7SpVG8LD3poUCYDNqu
X25VrsO4BS1gmWO0Kc1Q73bSGRAqn8Kf0afMYMN7+FeWk0Izgd9l9eshU5r+OID3EoUXMOp1EKjM
jxzB7JuHVr8eHSzS6C0k0X+Bl0DPZpDLIb3Iao6+ZzKpX8a0LHe/8FIMQyNqLoR5zQRhYG1NyFbz
kB/dengHb6AOwG1IyMcD9cN+lJv7bMpRj5ZuvAQK58FvFKGO4dfZzefxLIzrzGgR9bzH4LFYK78R
6FEMt2Bo+GN5zHoBRYSqbDUwnNcaR9LV02DOwE+oN3Yfxdybr6of9X0quT2umivax2l88CbTFVvE
iIeHxa0YHWeQPivRYQT4BfyBUDxNsFp56X2bi2R9JegMhZ38CARfnRcZZv/OdU4RFvRd7NLyy1QP
klMbGf6O0ygjzsbIXyYmebsK7NjjFduyca64L1+pahfnTPhAnul9H4h+ZWQeLCGXYlhbAAapg94G
f4n304Y9/S7KFih3wxucXHR+xB5EM48pcf7S7PGVsYcf6CihKy539QtvpPjOTYz4VmVDAJQaCKkr
e2wHHVWFfme7r4oDKfo+Ze5wcKp4QRCrgp0VGfMddBQmLYY5fo1VZDxjLYtCrSjPW/uG+/vrlKs5
+rmY/LCztKetKRtxcbh+PcWYQ+/InS3HrLC4sTlz+r0aev8+qEd43+bgfLOHRX4bO0N+y5xmubBT
uVsEK2O90BO/pjop2Xvw5M86NroHAKoV03ku1QSs58uvZ105gL3q3vdvrWuWsKroP6PK6OR0tUCY
54ZZDXoKa96I25mA2wmht9pUAbX25aJsor2MOufOBGMfecFyHKyluI2grx5ESeshZEZQadoX+j4w
JJ4J7hsnTbrr4vVVtCkLL8Z6SDgXy1aV35ptVh4gM7uvAf2LOwV0xiHzx2ZIiQEvv271Oe8p6xRt
D/V0Cmy6apY8YQkU4iEx0o8up9CPRWE5WE1U3Xqd1nQ3OyTJFoBsL5DkHVoGNLkLjX9xS3EciF6y
ESjfXnZLxs/YDrZFf9pQOid8a/OdYCTOJLKZb/FXsXUzySAEQTOSvZp16eVrJJCImTsFlhv2pvEQ
dLjrEdv75oxbrRIhnKn6aajnajuw4HAGqrz+JKSlbttYYysb3BFHVaHPywSLlRahq9ILz418eGU8
/Ua0JJTOiVliLyhGlg0z7vloUkOM96xPMTn4Y2uvcEoB4BJV8WIOvJ3KRnOsDlLxYcZyOcuy7ddy
miArBT40tDkFFmjInpFwzwczBWUCtmrS9zS1eEd3ksvGV0tHUoO2csSYsaFzL3DHmQRfzUpXAca+
N3EsAfywi5pyQP7whJUkZgIcJePNoAwiBXzpXWYLgtO1bqN9T3Z5l5q2hoQSuVRGprvrb3TrJYw6
6NdOLgDFoFoNafkIL7fbwOSvNrpJjB0dhzgkbQd321JdbXdW1T5iEKe0Jk+NUxyNd0OzeFha4FBN
mfHlg7HcClm9QhaksQn89Q2/BqVYZs3K6cR9twVBOW3qIrZ2UZSOWMwidSIc2w3EhUxvwwkxOTba
IaWVLHdWQ+1Y3rvlp1cZn712bmdUpa01T+X13NbizyZriV3iaaoTPKI+zhBWKzRzuGKU4tLzF5Xd
Nsj9V6MivYLAhCIOXjFa05lKIs3u1Nr0FWWMTgPUwENIZ2iOJWY1WC7c66Y6zw2kliqJQQXSAumm
BV2stT0OSExZ8hYPowNxRhQQ/AdqzGdsYo8Nfll8CrGJu760klOSuc1dVdFfZsQYadjVcWIZzfDZ
jJ77CCpYzusCC8lhGBd9tNIAPyPOt72RUOO+ptpa3km/03dZ7HaPDamKzVgO3hLOc1euXU2xHm74
az1mkuwKeABbbEtcyc0iPcaZWJi6KniNnS5PtGzbe50XTtCtpzrGb7b1kevzU199cLynzBMX2FkE
BMLDznLq+7HNkBitepjuIr3UB7UkwS4zkn6rfNrOrLIEq5zTPRtjpOdVXM+R8yEpBJzCkeDUrcQU
dl85qt4O6dJ9dzvOVwydE+uy+IH6nheJd6TZvPoWLZ4ZUS472C/mdYd0RcnII/GT/VxVwylJfUmJ
Va++VQp+KfmJ6UiocDxNxpJ/KpmBbUwEL249qOhu9JryR9kTURtdId/7PqstPiKNdxQIZDedIjzu
GlywSR/TUYhrB5VuMZR8tiuv3OSRQ78lAfnkUhvLVz56/qtVe3QCBprikLjQW6cvsjCj2HLFGU+z
FcJrBEBPMHrtLh0rWVZke8o0KC9xPbo5C3bb48KtAqq2rdEtfepn6OHr0/KJYjEQA2jRMav8CuEG
YFGwcCkWzbfOzmw41wVWYMYz0IMw2mK5DNzyqc7L+kbpwjp0XcRRCtzbEsVAdvLGH2jU6Cej3HNd
co2vRVGKsJpIConB9V+UwbSOe6e/4xaDZdhIo+fCNtQNmyJFDAyo3mdh189Zm7evzdDM3q4xnEWs
0qhN891YX1PKkAUsLlOqugfKNFVMrtP5Le9cmChDN2GFs4avePInqPy+uJkp7zrZnGw/q4Y08kL2
c+0a+UXXTIlXvW0UO5V7bTjxUt0AjCSyErSNukjLjy8ZhyEqmfHrbnzfac/4SsHid+Sg+Pz/IG9E
bIw9DTCEZxEkipQ+kq0e7nITkUHGRfIyd73NxoXGLKoyuu8bu/6wjeZNZv30Jpf5UQ/w4raey+DT
qCaxy1rNyt4YNl63gb4ELA8qTBKcLw49vtSJglJ3k8Hc6nGkL4J3/N7wa7lL0PLpSgE0scq7AQmX
XPYeRkH8gasR1DsrIflrI9768ew9cdVhPwGl/hZB1Fs3cfBNznI6mUwMd3wXC0tLqx5lKn94hd/d
jnisPmKs0fTYTD5WaXvJzgHdDbuxI+8YkHHaMVOnaMEIeFLsyPvmjYl8Sse622ZDyge2Yy6N03YM
F4zXWwc2v7IT6447yAsLcn47N9o9ti1OWzUpFxt+Fb3XQa7Dopt8WkMwyTIxh2qPdxUbWMfpdkbt
D7G6VQ+V7mNOuFjsylJRrLyU91FquHceMYS1m7nWRSSj/VPEVRXW2dRsuiGNjxFhzFusy8lN4eTO
o6TprYpD+giM4XtGOWiU5P2uZLndjI3dMJeZzfsoGlxShIjctcrr3TLaxaNixb26PppNEIzmriuG
p3iAMDB7pnu043rZqal7A0Dt7TMM1eHEQZDmB8/Yl3Yw3nCU844TJMhLH7c559+6+jng4sZuo5oP
u82AXfuK7oZVTP30R21mmXkSzRCd/CnK1qglE2+23noacDnjHsEtEFzSguKlsMZqC3Gnqxtn21az
5mqWdMGlWrriqSrpMCydJdglaX91QgTlk2v1JD/UsDKR+UF22t3R1NOn53BrwC1ShhyquCS1IyAv
ilkPZRqIa/J2b1hWduTz7xD3c1/KmLOxjIj8cios1sgdnz004TXYBDqwMvbXZZr2GCDfPa4gMxUk
TmdiPClo66WwNjQGX3zKoJhOsiYl4bbA/cyc9Gwcif1IpuRn4trOHeMy676fg5/tLI0XyiD7Z8vy
umTt9HULv7mbozUR5isMyKl3ZjAPGyttqzVTMSxe5Bz+D/Dgf1ZBacHwHDeQGL99y/uL1urO9OGO
9PTuJ4l+NxqIcWlT855sd9zHy93fy67/JFFDKja9X0Eh8vTuNW3/J2V3dmbOSV6H95U+LbPnP2np
zZsibor1f/6hhEXJme9YOAj/CqQye7dBfhT8YokfP82ZZMvIRnE2FTngv3+of2Jf8VsJyyPZf81B
Ufz2599K5I65UEPb7StcQzd5ofK9i9cmjHjzrtp4/lf2zqQ5biTb0v+l90jDPCx6EyMiOIkUB5Eb
GEWJmAHHDMev7w/MrNdkMJrxlNartl5UlWVVSR4AfLh+7z3fybfoAOWfJskZVNfQNpGHs+ACHgyK
Mxv1ULA7vsRVaaGb/Jtdk7LjTmqeeL4DcsHMLvNY0JQwHNRi1GY/Pl/K5j8JodQ+zcB032SBAse2
cpNdqpPRBM9RfRNSI4OYTdFFl43jifHnWfGO8fv3+CjWTA8SAzWag1kjQ1NEaho2vpuDbSfomiuJ
w93XH/GQRzg/pKHPCjZ1rhU5+seHHDWOi9bTa79tSd06Q0QUETpGcJnp6uRPEnV1j9fVusSiafP1
0MfmD9Q0mnTB3XsgIT8O7VnmqIW6Uc9JErkWBrws8iokgh1Fnf3BQiIwGWGM8fWw8ww5fK0GODmw
FzwuJMaPwxqNZ5dOzLBOBfFWy/s79MaTH9rMWs9h/n493LG1b7DHgLef2xresP/vqjphXakaZXSG
a1rrttKrLZf/EZ8PRz2xy7wJBD89mQeQgRs4vEz18IVO0z/f0p664aV5m5sy6H4hhKZlGXYZkDZb
3drupD5H+Iz47UAq/uvHPTZpQevZdOYYOi2Mh4vGMdppCNXaN5zQvLYgfl2IkC3261GOvVQ+4Vy+
Uil8HprBmuB4OzNn63nbBWgdphSB6Rcog0Sc+H7HHshEHjSrQGF2zkXU93t3Os5W3jT4+sNQZSt9
KJ+wXHj6+nFOjXGwqcUWBXoO6trX9BYwIN1Pbn799RBHJwfzD1Y+U9FyPk0OL3GHWm9rXxC7XoSd
qu91elnAAA7xj0hhh6mKnubKmjIL3pXqDh+5Uzva56VnqJjaGi7rz5sprB/fpWkJCC0l1gOhBmOg
LVt7iV67wo8pqXap8IrV1w/9+b0yHnRIjzhK15zDtYeCTnWlMCo/L0YCFFtew8xyToQSn+eiQQ0d
2TCp3dkE9WAH9UKtBXuVVYh0AVQ1okSIIPpzlLL/yL//7tX679SgXfSIGLXgSK5ZhukcTBOvieNJ
Srf02dpwsVaaMwCKt6JO7r9+bUc+k+bQh6Xxrdi53qCX77YsW+Sp4dVO6U8x4sPsWXFpYE+LZQyp
/+uR9M9nLI/0bqiD7YIclY0HFUN1vUfiHjLrAkLj37C8bl31xXQnAVdswX0G9aoyW3el0rv0iJGN
sm4n/L0Sqr9I90ij5bVBAjw3p3RvuYnYtyhwdvSpThdBxj3QrAoDrATVIu5V7TrToTfunR4w+1B2
ZLBlZ2dL0mzJArXAdOJBDzHtHOac4NT1VBaAZliHhx0cDsXwio532kTtg4fr36XWuzfStuPnfJoF
hllG/TTD9WBMw40DyJGatb2b3dZjhDVLrUI/pHd3ecDFqEU0WZQ50HMXoxcSS3mZVnB2B/KNMV3w
QZ0Y+kz0hl3QQ2hREqVbjmZp+tS2h1XbujrK2TRZkcJzzlOTXoYk9dDusV+vvJDmfidEZcW56vG2
dIV749SoP50Ah5SvZ8CRuaZjQU0HB2cWIf8cJLyba0Heo58GS+NPCYSaXvOMHV999MOkTsCEB8bg
fz3g54DHQAw5e814tL3Axfo4YFWCJR9EXqKAa80d+VbsTYA8ntuGaLeBG7bnEanXWzP2wrOvRz6y
URDNqdhl0Ivz+c5R45emRJ1d+KS55I8eVMVTRb3n1tLs5PfXQx15SBo82I3IdfCvw9CRuij3TdlB
tO5rqiK9RhGPShAgy6SodzYGM+6yocBOd5xO0v7rwY88J3EVyC+aOXnJb8Yh7z6pA6ePtFNR+E2A
IUA1AKsfQ1o9EtT/fzqSOW9SGjoerlcWqLIPk4ccUBOCyMl83XUfpMQ1Sscch1VkGH88TQk3aJii
MYrbh3rYJSqasuzCvkOZpHUAC2wSr0ZyNQyWDTPa/vXnj4VekvgGb2zaOQ6maBhnojAzZFC01Ri+
ImRRUkOkptOAcWhOvMPPC9BUQbRxcGkWBe3D46uiNySyu5wnU8zbyFAeqsn9lYzGbTjYJ2KQeS1/
jE8ZimupzaOx51sHzwUyK5aFQiOGIbK1Qa7UKzHWcTKkGVPR0wiOzuzrN3l8RI9QlN5QFt3h8UIz
KM6qjFhp/T71xHMptVujTqtFF9mYhnX6+dcDfp77Joh5de4o9jg6D49oq+He0SJH9pWu22Oy7Ztm
Cn9MPTHM58BmHoaroYE2hZc5/+/vlljvqmMc81cj/tGVW8UpzB0qYGX99cN83kUYBUWOxs4MdMk9
uE+gXx2BfGmgPwwyWmR6llnSvTqFfZ1ULQV1qNOGLE/sknM7+adZMm8c0DwsmCyHSw3kU+tx7Ut9
zwJHPWRIKJeFSPH78qjSTwVF7AZ5iw4qywT/iXwCAESjOtt2rMJdRh15AwntdpJWdeN1aYpgRBAc
zGFBhUL0jLY4+87TB9sPEVuc+PVHP8yMVKQY6Hrm4YehJSHKqGxg7jlQkk0kJmDKSJ7z6w9zdJbN
beue5iHsP1yzuVlxjIRl5hetgzNz2ftqqt26Tnsqajn2KWCZ0lVp29AGDiYArjVGIaqCjQj8H40s
QbQbbXXcfP00x3Yg2vhJw9F/T7LjYDJPiaqPKDJSmocadN8Ox9Ro4YjSNNnPPjH/PIrmzkibKEeG
ievc4Q3VbWO7p+Eq5e4Y/JrfXR3b13kdPHz9VMcWDxoFG8NH8jf4Kn5comMDD3EqWTxZbLnfUqlR
YgusXxRbyk0dWu7LkIlkR7awOXFUHdvz3nQRJI6OXHpInapQq/rUD0P9qi2U5ynBaym5F+A+WIgn
Rjs24bn2YEBpcrP8lCTLeEbHFk3qi1Ck2xwXj+tBT5TV1y9TOzZHeIm4dJkaso/DC7/X6SPC+Cr1
3W5Q7+NILTeAFulHw8cpozbnDHfIe8tlV7b9VSWLFMWkY2wjLHTXkxQ43oWgx7Qq6NbZ4NKP0XXJ
qdutdvTNO9ywWZkGXpoHn7wOGtUa8pzTZjQpE7TVs9Z6NPAbyD1jx30A/CiWDmS986xAUJ4OPRY+
XvkU0dEBzLIFYp2bO7JI3sLGqBLFK8/x9Ys88h6paROCOg44K+LDj7Myc/gNmBWWPrykX2LS2o0q
aKYMMvpX5PPXYx15Hdpbj7E1J2qJuj+OpWsSz0e3JbQPtF8qCQf4POozHk+F78CeBw5ntycijCOL
TtOo2BHRcGJ9Suv3dYaDOAaSPgypH1EcKkudrh3qGPW0MHRZ3VX1UK3oxuj9P39WmBXenJEiQDzc
KU0UJJCRmtLnrnaJAQn2AXV2TTYebm0aYpsCVuvrEY99SUI20gC6xu330DmTtTK0jYkblqJCKYGi
T1cCtKrrofJyP7e5SH893pEzhwckhpoNLwgW59/zLuTIAyAQccmrHXtMDzOzHla4ClYrg47YfzMU
RkKGC6aNPP/BgSAcM27zgiua5pXFNyurkO46rX0Wd5p2Yvs6NkcNFtSsQ5gz/QdztKclrpjIDPhN
3t12UfnbsqpbNC41FuDVNair9o8vR2xgiC50CwAcEeLBAtRGam16MxX+NNvHqc5wU3f1SpAHODHQ
kY2ZlDpmQwaZZ2Qc8/d8973ENNABFnAFzELrIURw7U7V7YkpYfB3HAT0H8Y4mBOeAmnYNBmDhn5t
gUu12DdWY93oHWZE+AA3vEV1WFhDDeTBTsK7cqgdmoWo1XYuctRB65R1XcRUeoFzATvTNIzEZebH
RlvvoYdG1zrO8/iK4/AXCLXY5g3NWdxu4SL1YbCLLJxHJ3Ucv6EMplcX0Kt2M3lY+KmF1qSbMm/q
rdojduMCNYZXSaYSHZb4+BZpXF9FoxNtEctJfBBp0eyNKL/ogcf4Lp7tcZk2S95wCpGIvOkiolHQ
pzkRcdkwiXXQRRbNwulwXpqwR4Y46TZfv95jc9PUHEdjnhjUKQ7mJt6ZgDJt5iZtws/V2D67KMlN
Q9kYUAECZSj/xbIj5ibYI31PQehgPGTcBa4esvCxgZpzTpfw4XdDW5wIXj+n/Exypbox5zJJ03kH
w5hjGiGT9EAJq+m1wFCRnkH3pUrvKEJf0JACq01/CuvixJXpEEROBm4elywtb5TL9WFA5om8yrFQ
ISdSyulHBE944damco3QRc3W9Mxwx6msPFi3aV+tsoImQcwP2Mgrvd9ZdPlbyaDsDBUjUg1M4zKg
MZQJJ7bUO6lge8lPS+u5qI+0AqbOBFCj1fDi6YGzhFrwXU/NZulOFjDhNjEBO4HlXif8nlWbid9o
PrRvkMmnrRiHaoOii/8+n6wlvtbJ2lHAH1WGdepTHNvTbRSqjkcZjg8yf6p3e0SsNlZepFCd1fYZ
KMWMBcEmSwM/8fVMPrYXvRvnMDDqRQ+w24P95FqZuizINyxzmHpfD3LsQLQNh9sqpE4NDfHHh1Er
vJ4rUCc+RSd8C3FF5TL+UKYRPfWNPCE6OzoY+UruLKiRP4W9ds1mVGSsFSWyc26i07Y3xYYOUHqp
2/jE6zu2Edik/TktkOx9Cn4zKQ07oYsKkkV9rTcOTg2BfACU8Bt7x+s8sk+8Se3YvJhr3lxgaSHA
Xu7jq5wakfF+idOSMYtQeena3p3qYaeTi1+VhhL5pqhagBCecROrQeTLEFFDWMZQ+EI33Xhg1u4c
JEHIM4IQcMnXX/roz2NDJI1E/pby9cefh91Ro6QRYc5Qid+GF95Hev89M+gj+RfjAAFA6ELTxqfg
oOkVGQn68XxuooJsTvtcSGVYlV194iA9FraSnKJpQ53/zTlYh8bgoeCg99Jv0YxEDS2uQ3Fdl9Y+
cbUr1OW3eeadSFQcm8DvhjwMWJMJpFtpqbmvDOM27MrfHmSzMLD3ddmfuHMYx+YvN1KKZISP3IUP
7kXt4GIYNDo524wun9pIvA4wvJYQxtwl6dtwqQglXubsyOsY7sw2VLS5M7Om6Q8m2gMq6OghqNzG
73QUC6ja0BlFbf0dfwK4MwWmVAiW3c3oDO69a7FrYo/S0DClNCNs2Tm1Weqv6qAjZwEROAoVrkV3
SSuOWLeEfLHbD4tcGvEaSyL9u6DpmsNet07MpmNvwZuVuqQ4mLeHBdgsEw2uAoLIT0y7qZ20Raua
D5awzsiZYh8BKOnr6XvsE8/KLBplHJKth69dJFooK4IhP648qOeiq+HtcvtdGUB0gwXYy+z+6xHf
eicOAkI6ZrBl11kuXDMPvnSIixlV0iz37XzyltHQ2d/NSOuXhSGtM9Au2b3QMaBNTDon3+QCbtRm
93mH/zZoRG+rDBhWnHgNR947wcYsgfYQBn668nq2dIG9G5mf4vq7jmppXxQRYaNMyuYhqbXJpy/y
54kXcSSJSVcCWZ9518b1RP+4RYWjNUGhYUU3U0ArqwHxjoZUY9ME9czos2FT2Radk1a29sI6wsap
SVFemP846vwfS8bGkb1y1oXTjqFxzTEPU4UqrRF23sY5uuXEoDQy6xpiI5uu6a0urDPejLNrE7qR
kVgBWs1IImsKPkoLAA79t8EY1I2UgfojMgm8sY1WfxAWF3DCmFIopvB9GD1rS0v+bwgFC7bsfm3a
SbSmV9hc1QBy/ciunPUYdc7KDc/0MjW+p0YxXrFsEaHhJzU9RG7n7TPVeVQ7mZ64mB97fipgaNCd
uUJ/mDgi3ZZkTWvw/Fk6fo9oS8O6FK5jrCnR5uuPfmwoGq/pNUCNzrFxcGpSdKqqfD6WPIAXK1G5
s5pvFOnei7Lw4eux3r7b4Uqbs78Gt1eOwcPrf6HYWTfkMZeD3gqAa1AwRuw1mdo2EGW/KiAun2ml
GnxrR3241HUlvNZbeHMYUYmtKNT676j+/zbq5v85fANteS47zn+hBGbkzj8onZnp8z//x8VzLbPn
4td7gsM/f+gfgoNj/UVf/lwYVrlOkhxgI/8PwQFoPRQ+g9omFSUAaf9FxDG8v6jwMrM9eOZztou7
+X8IOc5fxBJcr0i2mg6nofEnBIfDUwQEmk2aHBtmXFPJzx/M6kJFkJ9HKeCDUAPFHmAeeU49V97l
2ohECkDsHyYuGNDB0pUTi1/+OaMM4hI29mRLH8Rafa0qPdo+e4i37z7Ct79XyntqxOEtlFFoyJ97
Vy22xk+HY0ulrq+saPRli9pp0MfqOi1r9kbHFGtVGbKF1pDiwiVRuWkGZ7z7enhcAjgB3i/gOahk
4dIK5ep848NrcNdJUJ/SAZ6d2dkIXzKaNpkTIYWmUQJDkKjeY87CaYEOItdAgBkBFlYCQOSyocr6
HcNEjNbLwEXLPIAAWoQakiR3GtKN1FP+v6i/8nxpZMrUL0aBOBglcQOZh5Z7+UpmIb0xEjddTciR
IH6igQ6gtO7J4Fc/UBPLbQB/P16IUJNkPCr2tgUJ18lXq1G7pSdPXNYDRSdQBygqDVgRg92IZzfH
QxudRy9fwVFOmx67wvusK+S2ScYCzBbIApR5gJaGUi+w3FRJfwMjf9RClT84jLF3jp0AbDrbDm68
3snbVd8Itdzxqoocg3vQUMuAzdfYYinCY6oOrtbIu/RbWUp35YxldGWhzCAt49FkhooMfY0T19dl
1mOk1M8ijaTFGKWx6QyajDEmEZEPKyOI633a6dV1k7fBnpaccWtXWraraDNaa0bb3ydq3t9DTbe/
83UwKeR+uS50LGk7fIleJGaRy9Ah2oFyLO9oXC0fO3Xiy1Tst7494zWcoUb91xbeua2BGQKuLV8H
9HF3as0fkWrdPNgINM6DMTR3aPa02y6biFLaoTgfy9I7z6H/titwRXiNmjnqHcysJuD/RJfrRgTY
sxa9vi4rDNaEHaF20UIa9fWyfjED/jFMaRDE3Ibco6+MVFILs6uwtWU5u0ort3bcZTs8OeEQOmJY
jVhzRqvGoMF7rdoNsENEqWQurBRduTJuFS1Ib0Ja+Da2G1WXJg1Qy8wL+9+pKtUFXN85d6aqbBpa
+RSPVX9PuWO68Kqev8qI5FbknF3ayBN7gwJgM50Xu1IBXw3VnpZOnsU2E2/ResBle+RE2D5FRf9b
S2O5hddkAoPkSwQ0j2ECBaE+VwwTQylYka8DoNNnJ/Os5Yj2IgHbqMQF0qoguLHVoHqh+DxdFEMk
73QO0m2B/HBFT3e6wbu3/QVQU7uNTfQa0azl0hTebRPyHYFX8arnKZoVY/9b1jz9hM4J0ODElzBt
NCR4xsjXmvaUxyx0gn3WpI+D0nT7KK7xhHNf1c5T+0Ws5PhHNUGuQ3GynoANAMRCtHIf6sxNJFfA
I3VUkSvTzJ7MwOl/45MnLmF+MylHmKVjxIdCUN1ugsoUVyI3zCtA0tZVJwPttogb8QhVvXxCtMZs
dZDH13pQPhkoSc4SeAzfR1finqAkLortYiifsXVoaPMzAG1iGpyu3h7OjVgEGMUqN6MUBahCjLUu
yNI2D4Jr+I0sW81dkIzNlhoGX3vMafOlPaiYZ5S6gw45GOMtKun6haSCOoOQU9xHgE5UP7QYoS/E
AAfdiG5Ul62NsFt/IPmqpfZjXxZD+xLXnfkYo8hKQ783psKkzXJSijWNdgOYy2oIrP0QGp15gyYb
da45yjsNKMASvx9s9zRrpG0QUOCGeWipi5akfLEox5atqSsuu9LTFygDvb2ppN9atcFCTs1uFKu7
NHORb9COWddTTS7JckbjsrbC74EVXOZonFYqOT4/1Kdol+vpXUPhct1l1Bc7U/6MYZGuzb77lUZ6
vsPU+EV2ZrSLJupBhdaJ8zLvMbCw+nFJgqT9paE3XYdxcza2VbCh21hDrZ96K03WcFEckOAhms5L
c0IyrHiil8saGTGo+b2S4kwHIbGYFsILqh19N3QpKyM+E5hML/I4JScJUv81FFPrknsvHKAqplzC
+7qRGDOu9VzxzhLoHRek6AcUayxYJN/aWSzpU+88N9xNpNWXutarO7VQej93EBaL1nDX5aDgBDX7
gfX4H28jlUZFXcnVs8GKPb8Lte9GjhUbyZXmHKSmka113v1LI4bBXlpcS+lcnPiGXDza3kfK62xs
bXgq4AeddxAgl4WudvRwehpZUg+ImRXMfk1B82KUQ7cNrZAzjwPc3aAkBZoLbW6dFHZ1Q3lWQ9Ka
Nhu6tiL8BFJYsp47PrlWT4OnkY5AhWdpUZamj6iUSmdpj7bcQskGZEpF2115lkt3SW8amHsa1II0
3d2YnWU4O/KMurqSbCLAEFKhNwvBurows0acDVMA90JXcTQYaTsxoohV1azDkJ6jgoTLQraatRd2
Pd5Ng5Es65ldQBHKH7KV0SvlXqvt6VlkqkW2LZ9uRSJK5PiN54+T5e3yLpDf4tSYVn3QVfs0F+bS
1jPUXnaKhwS+g+vGNMxrpyHFDKCXroOwRgmtCndTKT01FiBCiwGL5xU2SckPxwaj76oStG0gUWV6
uBFUUExolM2v4TZzlgOH2sUxCPkFnZOrUAm9eyg72jaLmfG2UUY7tx+DtTcE5kVJ5g8S8qDc5O3o
XmrVJPf4QCJxNS0PzgmeWPlvM6wukR84595I3/vSHAZ8XjL6xmjSidIL0UzaTlBtwXshsuszbF6M
xy5xpLlwrIH2XB0I3VkkQ2xNEi1RfwuUhNkK71p7XKmJ2u+mqvKWIlfqbQcC8XHALyEmERQn5ybe
4y+5kdjqhdaYPRU4DddK6xEtoIpiKgXjrJYFXSjKWKQbJ7L6n2Wilcs2G+a4QFTXSO6yFc360MXh
c+DyMs59uyiT8TJhrUc7+ufrc69qSnDhOCtnmHJaMQJlN2hw8SutK6kHsT9FhfipC1dpgIpL4PwK
/uhvIVKCrQa2faQlEqspzj09sNicRfvLjYNBUCvhCr1R04YDh+5f+co92qV+qAQ3gqoDayAlTHAC
VQSr0OoIiKIY68VIWFcT+IkbBRtuHjc2opnZmyIxphK0zAnyopVpj+LnKDqqWxHNFoj+OZ1pi672
fwdfVaxrt4jFm18CgJe70vHVI07O52zSKKW+Jgy1v48p7pFI76sKsEVvpqsk0rMdifviPIP84Jsq
lk95CU2wrRPgzrnQ0dpHVsPh7uWlclOEXncf60Z4FeZEGoVli0scT+Zf4VU/DGXGmgRVNW/KUy5f
W9hhi9hzCE88wL3f2AaLX4awuQUrIdmOhjBxD9k9DxY5noyrmTmxjXByvI9ilW+HcblbLNW8ltsw
t+WZCghzHXX9sApnPWhJsPVIn2m+bOQc/qIeenTaMQNHwiOQ2KHxKh/lK0KDeItZdbkucChYaPEA
0QbcrKovSmFkiMagVX59idCO3SE0mmK4L1GX/9QHVuteWoah0vqholf7gBTuHA47xbJKqhoizxze
G5W76vkwT42sEY0PBS+7a61TFxrtMIc932fmX4IPGpz1T2rArjTKXNAX6Jsxkf8SCZJ15dj4fIYt
NBlpEhBGOH6t21AdvzkhbddJYwEaaMunMCiYmIVR7Rujl2fFIKof2EuYV1ChxruBiPtEpuZTnnL+
sbMWi5o/3VmfVIRkb1KnV4zGV2IDqmVT2N+lYKGpGCldKZhFrTiKmGBaz4wHFoTqgHNqnxZj+ZwI
4mYHGM/F11/zLR/78UaIzxyaqflH0aB+2JgWIhvG2Ry9X54blbGkZ2HWxHYVhopKv63rLlqxNU9r
SaJptuAhgkoEl1cHp5aFpOPrJhnMao+kAoRgYJW/RJw5164dInZuAbEFCqZosznSqe4scqmfLrOI
a9y57xXK0Vw8/pjuxCOTll6JSAp/1mQpnVgk6yoHVltKKO8ipjPbiwzntdfxXwGaFW4UTX9GpPEA
m8eg2Ey4pFgYvnR05l/0tW4+9gKwRjwZ6Zmq5saTTq/niJRMFP0ZDAt3F9haulLNeNrEIws6Zyvx
MRWyrlQtQjQ+5sSrWe6dE0BOm2I05Bn9K8OqrujfLucdRgded9OHtf0d4xL5moPvR1BamLjsGA17
LIpQ4t6hzHYd7q67KCiJ2bkscy8J09mKx5xnSA2PCo37HKuPxVRd4wYz7ynI7FcmfK4fXk5a1VRj
EuFGKtb6GAACpsXmPOkqYlCNlANMpf4ez4AQlYWlZ0+10aX2vs0mpz+vgiHkJcWA8ZWxace1FaYR
rnrCCDL4DTifgiwB7KdgAM8DFfp9GQBsayoDVIhjT1m4SwlpVvil8l8EBPTBSm0o1iyDmIZPXH2I
uM+ocGKZlxmj4DQmpsdAAM59EEQ8cVh45XpkE4aBNhLKOyP4K0US5HOdVlE1chFpXLN5UEGPLGFM
WMsGU6h6iQsHPbs1Fzc3MsVPmWDGU8dtvO16ois1HZiRU8uFIirs7r6Nsyen5v44jZp4dIfMiFe1
jHsulbw7b0YZ7KdpzkFbkXID1wGbIg6O6xSv121AP2exdK0WDwfLLZ/x3iifTXyQifczHfD3yPc0
Wrf+xk3UPZeVCrxl4NJvZ0XzUOTcZUZoFjt1ZDdq57tdEXkZ7sltP+AznY39Aglgt9Fg6O8gMXFr
KRwDCn/sXOdG3d2rWqev9UIvn62mjrcI8OSZ0Lg9r+pi4gRoS6150BMSSlWVicvWiUExBCa7SRsU
FGTclptRgBmjg2x/Yo00agfTEu9HgHTqVL2UxchbyadsAZuswdPEnHzq6NW+EhVZOZ2C2mL05iM0
ytkuLYntXIYLzw9aod1zbSDNAizQOw81Ue9j6RTnNrDkLTVHuS1U3cLXBlsZSqFc7wcZb905A0Sl
UlzmKfkhJ+aaTFFyenVZpdM6difxiAXxt350xE9cB7luqxbms4UJzmaIqFCb/KWFMgfO868esbXS
oEaVTIySut+5NIZsp81LdZz3dzVNh5UgWfJkVSPI0TpPwHlQs1vj+EFmZL68xqPKBT4azepaBeUO
ACshFHk7iwUGSCi0Q12epXSVRXPQS17HAFFBYpWng6J/NoW2vBh7smtv0xCVPIFEiHW0P8KDvzBD
Mh5GI6vrt4wPntfZrEXDZRiK1AKkVrYDHBVDZSagyqhznneBTYPGnB5QMHz92dKWDanbZMG/JfKm
GIpeKkgIDVH0WruTvJhYbsVylCHByDDjO92Q7JUqxvSmErRALQiAvRm3aNHJCi6t6iBMwbbiE4cD
ZhMjVEGMpCkL4BbNEqSpghRcgIsOqR3Y+qJTyrWXMAUB2WnDuoAXuUSJD4IyBaFHwKPWJL4oqlLz
ISMIwKv6MRm4Ty+sdqheQAXoa8BT8q4AfbMI9DrbKXNyBUUb2xo3+mD/lqlB0Yy5OqFGvSymmL8p
10n2VBg3QHdj+Lf8zdshOabkbosyMneKqvxW1WkOlx2Fz5flBEtVQ4PV31MzJnUpTFJDRakFN6qW
Feei1NMVEhX33MU/7EepkUPTmpCcGu27xfmApOSqN7lpLUO1ZXNX9OYXmrXyaQwJdmq18s4Hh322
HCJeYWRV9YsKRxSsR9pp6OVyUjk24XmbsKbn+VzV8zaMcKnBijMjI+nFDjFvWvPHOUTlWUw7zS0W
lxb0v2Q+BbigPWkuU8KcuuZXVwXlc6QF4ZXTCdJG9Tx/gBdBIyIPmdk8TjBnv97CW9cjQwrtKb3J
h54skskxadMOdvt2NmgtKeDODaMrhy2fvBNJ1F6xzCsnVCyOisFzzyuPMKSSqX471LJfejmcQ7sk
Eja5DmObmWi3woZPFnd8SCT42U5manEOZ7Y4t3SC2Hz+BhHh4WND06PAzqgkOB80djMz7O/lQJgs
UvJzapnpt/h2sNmyj/2ATicekdAEe/IXmLvNKcG+JWnpgnjbhzDZV8lI+Nmwm4gl15x0E7ojM6Qc
CU5aLjs5CxuuDCarVZmxKKTal0+ZrpCgHsgZG3HAVaElcDaAHqx0kstrDnsmz9s2Ozq8DTJH8qwG
rP7ArV5iWaXn832iGclC1cb4rSZpcyewSvMVPKklXjQ9L1Nle4t61lHqGZxadi+44xnMNUUNbsaB
fBlW3Tk2laZV7Qd8L/GT4aci2NLXNVaxV5B8gf/amFD1IXxPo/I4HyJSJqzJmuw0ogx5gXQDpVHl
dL+dIhi3WAtli4IAz1jGHpcQOPDiJ7g4Qo6qmUDiFyyyWMTRFZDPp763eGuToxg7TNRYKn3KO2gx
ZlsV/VD9ICpJzEWH0S+Hslp6xC2dFV8OQCm1BeYi/X1ZBkSQspervuODSxf9TKqTUn/7x7eFKfOE
I0bRuvoFv13lRnCo4M3Zjt8g08pNHiXxthxKFnRMVBk6FpsMtcbwClEVLRaTFU8Xwp64kQ0O/lhN
+tqZU2mvcTbn+eZEsdNAT4JyezPMUYAcK65kOBd0WxIJPPGwc7IEtoxrPmISGwHtIZhtSaisO8th
sLTs3H0bYHn8Fmj//1IliSgKjs+/KPuusESq45f2Y9URFuG7O8mRUmXTPL9EXfO7bZsjf/I/xHnv
LzopbBoqLLJdmvqeOG/8ZQFkoOHfpayGgwcXhf84aetvVUkQBLDlZ7YJd4R/Cpam9ua/jSCHu88M
ArH/pGD5uQw/60ERYGicC/y6g9YLz5BAw4QifOwSXiNC/S3UrWARu3Qiv3s73z7XEI+NpKNhQO5B
wetTg25WoFefw1Xf1YFLQrl7EkU54uMUdSdqosdGYgyEJbT7AxKZ//d3jZphqwRTLVIBsSPtlkGn
XjV9ntCaOt3/8SORSICqMfdKqIz1caCetgGvrCfhS9ZzmqWvuGG8JvznvxnGoiOXHuDPxU/k68jg
rVFwJx28tedSXGw4TZY4bv6LV8dcpUECgTAl9EPdQijU3AT8KLAHyOvzUe0IP0qdGLBITjyUfXAJ
hqzv2tQPaD/FTQbay8d35/Q5NTRvEH40DCl1OXkjw/EeZui96Ht39fUbPEy3vA1moMpDSU4C41D6
rGhWydoshU+qkSQfR4mfuBUeYUr8rLpkq2KgxgscSf9cwMBTvrFQ3jq8DpeXXZfchsle+qQeyu8d
4LGF5YEBBuFhnFhf8wt7nxB5e0ZSIuwKtMuxqj++0KlLOok+XyCmxa8gp066TnQ1+P71mzyytoDl
/O9R5tzGu7U1d1j0CkU9X/FG8NT1eN/neKAU2LL/+Sr+MNLBzoTlYlRSEGeCZJ1c2WPyPJXcAf4b
y0v9/FCI8VyXmeF4JliFea6+e6gyyC03L0VOe5BeroTa4z4pBWf7ZOZy7VF2X2lerWG3alm+WmMX
m2SGRyxjFnv6IlCjDNw/oOqDNKkpxL28pZGdJDB2swvHpnPSVwkyZxdOWn8hnAb7UDE19kL3yDGV
gv+LjIJ8zTVfpzwOjtMZq/xa1p7+kDp6ubMC7MX6nABlyEfLDxxo/qUE0TwkzOfUGQH7N7KjwE3S
jQxmRWzZtmhquzQr1nStFd8h2Zp7cJvDSxWwy2MDyG+HCXotE7M8G9ymT5aR40blWpqZ+jOBI4xS
kN+j0E/1nAc8dNq3YlN6obiikFeuWiAV9KUaQZAstC7zwJgZrbe1IQ1vKpVqWFKRUVdqfNNylaeb
cjauHA7ekuYEnQYKNpcojEHAwn0EMTxqG7pdy3bZo/DYYwGLGyAR9pmmtjSu5oQ7rpcrSyejUT2M
eutsDLXkKXTL7N4eyChVjSEeKzvXHwKeXSycgdyIyM1u4jf1AQJ2B+fgpWFI1vpo/y/2zmw3cqPL
1k9Eg8GZwMG5IHNOzaWSVLohVBPnKTgF+fTno/z7tEtyl+C+bhgwZJRVzCSDEXuvvQaLflajl3vo
JozWKbrLW01L++eIW4PBbNtcO0P2Uxc80wGjxUeswn+qboo+9c5SH8l/5NN3XX2ei3XGICk3Y95t
v0jw0nfUHYY21pEdvQ+hhqT7MS7MgDIgXc3xh+qUxvj+BKSOplexSWJo5sTVT4cQjytB2MXeGQq0
DoY2URi+LvuiI9oAL33vInG4ZXnKTUBUQy6DlcwhCanxvbfgO4odWZo/+7ggk+Y21RsyAzJG/Pgd
L1hgS6fYp0wJm0sBruRvnCQan5Ko0ci8FmPnYZOSp0vggBgQLJcujx4Og/dMd8qfhpvUZIXGJOYx
dQ0gDLUHKxP+Q41r2L1JFksWYnZo49wKPSZHjpmMeNQqQEWJHhrJB/mFQR+p3CbMoYnrAOtebY3i
9B+6VvLaWfqihaPFEbdg70y306xGoFhSJg8Ic+NxP3hV9uLDTN75Fe8RRjhwelJ/LPbdGCnqZn98
WuSS73FO6lEuadIgza4x7WW7QN5pA9nF0xCQ3y2+ooPvvhsL75alMfjbFJPdfR7dvvkSZ5ZNbmTB
HgoQRhgocO0JMhqZuNZElLjIeRJ2EufPbWxUJxVhYszsyghzmf2kAfHh7TjmiQ8idljrzxtt7uhH
EugLV5i8MySOi9Xxlyc0mBx9mDwBnnl04CTmRJ+yUQ45YSsq+VE1vn0gFh48zUmc5cISw1PTzeMe
SRPe2f7AQlgmr8JjM/3ZQUMKWg2b4U4Uexy8f/QDyadJpz5VrQG9YPw6JHN6KisHmIhs6DNHoXub
DLyUDJvVFghhvBx76W9j0lB3aFGJ8Wzc/NETzXLGZHJXLvTn8aKaPiynnKhyhoRpYPYFi5pdUd0k
BaSSasj8a5OikjEdb30+FLRVYxOBE5Psskh2t3IiiVas525j8b2NMntJO8279hCivhQKf3hz7AWc
8wk0wYrMkxpYUZgNRc+DD3VCL4hQHVHCbe1u4TUqvdZHvD1g46ZJojwxAtbChDiZW+HIFkC5eLFt
Nkop2T9wwneJDiYowJBEZUduCxhmm4N3i9G3BP3DwA+DRJbh4Mt2X+jlsMnmjE3MGOqNM3FpCTB3
SPEuZcwvpm8JUqOGuHXshjsMkvFG2cq0uDYbTJqTyfR4CGVz3bVrXV0b9bkQDYuJznNIg1JY6J+4
O2nkgyU4AC2vuy4ktS997okfa5B2MK5rxNYXQWRun15ltop344xWB2f3jAhtrbdJn7F3HYOWEGta
I7TNhR2xr1U4Lk79GTqRf724UbVRuitDi9wSHCl6du5ClxJvB6e6H5s4Cj2nqk7RMpS33cDeo8Xs
HpPPS5+PJffcr4edmSHLiqsxvTIjQ//qi6E/A7VQj9bDtZd3xaFz9JEkV8QJpR9rl/Re12Zqjk9a
lnXXs0r6yyhbHrFQn6CvQEPzZqxvrEXYh8VPF+DktrzGSjK6KfIvboslNwPYn3W8+tb16Wfe5wc5
6vHBwK2EIJWyDXvdROw3w4HgWIz3bO5fNbseAsPl0FuZ7EctTYoHzLCrk6zYcfTSg7Cki2bVkgO6
/LnJkooA6Z9nsKP3IsLQIVuIc7sK8bRTwwGVgyX3gN2BARQ7BX3nZxVYd8FmltHktSyRzC9D2Hn5
sZpa3cfv3F3Vk9hBkhHfLqTsNWZK5Hzc9jr0jKldMyiMz11plKepNctT7fZ6A74MXcEsumEzCFQW
BTCYwjngPE+GKhcOn0Ky/5XuFN21oNmIi/MMe3krHcvkNGW+icU9oSijd4JWU1dB5AwmocLU4lDa
gwW7sp/dnCWEipAa+KOxIdqINHaPCgwbsuHsyxWpsXUAR8W+PnsrYTrsZd/fVI6LM3lmEQTAJCPO
kCIk0mJyOoiRqa/onr1cz2EUqeLTlJkKPqFwAJooriE7NO5MMHqR5Zu00b9a3nBosgwCwWyC5tqQ
zA2H94uNY7y17Uy7FGalQUZzSywZLWPe854aZlBnTIuHwusPRov1hWqjlzyxc0K5jJz4FaZJZHaI
J+j66mrgjGY2EBOxVVnGoIV+YS5XvK7xt7hwYXzkotOAoJVPaalpx1QRxrlz45L9zXLYvq2Y6oRu
ySISF+tee9PwhQ85ExFmNbM9fkC1fc9VX8m2HiW8bzNyxdTo12K0IwjaGjq9OIBMsd8Y03iJVZ5O
WLekTiCxKL2aEZVBeVuoK3KfiC9eePsMbR92ivA/atTgZ//aV/xJ/l2d59bMz7eUZjcmKIhQvuIg
S/Ew6GCIOXvq5KYvVTHcRTPH3O9bjHedob8KTg2uJKjH0Qi8uQHWaJcxUOJhbCnCKjJ1OKA4jqsq
qc+ahWf+76/3XsC3XtC1V/UPxgvv7AgqSYFjOTnGLR5RRqtlfg1iVI0ErcnypceDcZt3qIkd25tu
Xo+diTQR4t+NSezg+2khOXD2C+EQ416RxfNBY/delcLnQwAPC2vlvb9ryhts1/DrHfJDUpbWaRi7
8mdtrknfUz91ehnEFsV2URS8SEkm+qvRodYUOZ+4ERTa0ChfKGWqk0es/WY26Dy7tIEeXMyDfbZI
R7ioZCZB9Dt/248t84KeifghXg3JTNK66q3lltEnbCqtF9NB2hL4/GtPyqV7C3eSAziaFSLyNM2e
X0/FqsLENpyW3PhIniTWLvaXLne9F1SU8OwdG1LZm8URD7BTOb3yQ49CHsv0rg56hShuMq2nNsV5
nNk6RDVYNDtbwmbFrO7f2vz4ZDN6BoRXHgnL9M0nQGQ+Oaje0oNPv723tbg+N9b00TbwDrHgKgAV
OMNh+IgG+01LOqTDGDlVnR4ci+LZwfEHWyenD1tYLGQ55ASfzBnNAxOw8en374Px/h5TosCu8FaH
jvfOmbPIrVEWE7rVboojRnhwpLQo8p/LgdK4qyd7vvY123+orPkh9+f2J1Hw07afR0Lu+rpK0nW/
JdC2LQbPhNLSUE5auTxQfzMMhjL2vY1E1B+1CMuPP2GD/8WrP8CrTezogEj+e2nNww+Jj2D/d6T6
P7/zl7JG/GHBSPKBMgUo2Ssc/ZeyxvwDHiTqGNQfDi+gw5X+QqrR4/BGou120cxZEJr+C6k2UN0g
u0JSSSIF/ob/Khz1Db6FJ4e9hpbyCbmIxV7z67HgiXFYUnQcB8IviWaE1RJk8Yco2rv3DqU035HR
/SotgqHz61WiYWwNk1LzQFQyA5+RjSzwFDzwqke6gfmqeSyWNpebeqFX/Nvz+AeEfH1ev25uXNyG
1g0M72Nl8dbbC0y3UGbu+YfY8sEUyKGeNqMSXNfW4SsJGBNEWzR+0FWpuemWOf2hULqDoEjHhI4v
1swcBlH9iAet2WrtacgReHTkD2lUN1C2SENiiBvHy+XQudFdSQ7K5n/wJdizcCxGi8VCenMHdcmG
VfaLf2gXqCHYqC67UsOpKXWn+XNrolSIRA6JXSuZwQodpsbkgxPZdbzKbVJf3TiVoW6YmXqBPtLF
+Ovgl9Q6Bvo+g1/0x+K+TId+NzN/o3Zcx6y//w7v8ECeg+cyXPGwwXCd1w3yb3hgZ5kIjkh4xVkF
loNkCh+oUc57t/6ouHpX66xXQmfL8MWGXPf2OLNHQWsouNIrPehVXdU7XnuSPVwQOCLlB6Dqm5cI
i/HVTwe55eod994MwBBdVZVawfXiFLmYATtmISLyA/eQf7h/WI0Ce688S1Rjb6BoX7JdFIRCHiTN
yd7jrjWEeB3yzrv//YN6PWx/KQdWAwuKAXxK2BfebQpZjB3MxBo8GAuMkwV+1ZbY4XQ/zzy4GbYR
jNuE6XVNqMkd55N3ga4iJxwQzkQyVMu5tO32FpUzyJkzwkVpRAqNaxTk8MUFw/m6YHSesjY/jzFT
9NBcdHgMMblqBCGuHBjVIBfBrS89dIzdH0mlTA+//5J/FqC/fEvIgpzEwO44AlAVrCX639ZjBHI2
JItUGHWZIijjmmFwHHVHrZW49sBuDmCW/1SF1DZ2Dv7B4s0ORYnHziiaHlaNlFdNnk5p0FfmpiX5
8lEYeXpl+7P17NLIPNqts5ViMj4JH0vIQE4FIfdOVNwbeu7vyGPCYGVM1OckroxNFaMnwnZZZGP8
zHZGkkVv29fxYNhEk9b1mdMlORCZa2zN2EkPGuFLMLXScpsYSG47s/buZWQTCquBLlSiTSgV4uhb
wsET0nfFRxwQxuumEBNpI4trXQDwFHsKIkTgowGH3yKmxhmcugh7EdeHXNb5Q48YB2UHxIFy1q5t
v5m/z/PcIVpI+hXSMvd2RDpRkDnkGEO9cTaau2C6n5j6PWa/5aMbJ/nPRiQMJXOduKjQlwnQ0FTr
dJxVop5cr0LKVRL/sOK8R0AhdbG0vnPtFFDDey+t/MAs0+l66Kv2a5XRE+htt9WUD7Qe5T+0XPMu
tarQ6CnTeKu58lSWDp/aEe0WNutRjVp1VUegQXiJTj28LKLC8Cvd6012sd7PTV1gimf6nhZQhpFP
WZpf7MSZAhKN9WOcl+WFFSGQ04q8N/hTfbnCNArcdR4TmFOcL2FWTogBCaY9DotlvsjI6W4y7lN1
7BFaha3bmfe5tauShhUxwiAZWtN8qUFod8hztI3ZKAQsyBHl52ruSAsi8IpHo7KgU+TiTPOwSxLz
1oggqbK3jcceaWUwawo9jUyM7wRClxvpiIbxRnGZgk+HGnyeDQA5aEeUr9ZRPWMUXT81BiU+wX9W
kPkqJrgyvoQ+85wQXnxI+l6/i8TCkEs6j3OfvxhlVW0m+IahtmLKPULvnSmluHDVMJ0qG6pYPRIU
VOoIG4es1QKINVHgErXGFjVMoSirLLSyWp01jwlJ3il4NpoXfdGaZObDqGiX4EsUJvmaeQddamRx
jZO74RjKd2kMdLbJIJ9uhtgx9rLrtLO91CSKaTXZb8qeXzLatdsB/0UvqGZsZAPdyJrrBeH5KqAV
7XmehXVMKlUchJlCF615XRxtrgmL9lsinMn5meipEjdpg6VPsCDXs+qbHK34KYvE8N1xu/kJScV0
Kj1vPOaj30O7aQho07UGODCPQjj243EQvF/kvMEMwy8nNgM9cztxrBAGLC3Gj9iol3pcBkpbQ6xH
vdrhq5scgf/hFZFdG2YzXblvDule4Ll1kaoadaRe9oFd859rmHOzYQrSnvwGGg6Br/Nec2CCvxLY
ogzBH0jzVF/pcwy4xcQtXEY4cnJlsL2aXqQxJ8erpAJNExrjEXIj31ieXlny8LdI3koAIxZkaI+L
P1nXhE3oV3OqE+kGSAqrUUfa/0OsNFK/IJ1lzjL5LXFBTp06dZEz9NVFZbviXtNXMXHdJNfQKqlO
VgZfvSouHOLj+HQkbeOAjL3OVulOflfEFlTyVXeSEyG1STXqQs2GVF3kkGLhlMPLWxnTdQ+zrE3t
7vuiwUgrMsiemeRLMqtZLp2iRjZLH33Ar6i5MhMUau7Khp0nJtUhM0CkIPWavCUhGSLHSa79VXhr
D6axfaVcYkYUA+k2yEdya1klZ37RPca0zWRrm3ySHN3kfhzxHo40h0lJb6LBC/s8s7emn9jXYlVp
LlWX7pveQKuRQSnwXbTJ1CqQIyPHD6gjJVNC1qtAgPqTGnh8SCGcb80aCUWGZXMRUNsYe0Eu9R5h
AjCURJQyc4FkoxWcvAsAOx97Tuxn1Idol+Bf9ndI3/gJ73PY00a7wVNEPCGtOXc5wjh3bGsU0CtN
hHrRPNtKh+nEpkAcr4nvXGvtmqRVxxKOFr44WbKrzSjZ1tVwLyIkdlOPqZSdT/bWTfUbGVX+GOQJ
AySJFjDZc/vd/Jskyiq5kF3ZjqxmuwdGqIY56GGZbaRpyOjCZyzcsLPOHTJEgLHkSv0Jv74e7//b
sH7QsDIa8SmH//uGFfcLTEdfqr93rP/5pf90rJ7xB24EgIR4PWAD89qW/qdj9fU/LMTtPsEFdFS2
5WBp8FfH6v2BKSduAg7qC0rvFVv5L24VjS9W4SvXBpSHZvb//p9f7GO6N//9d9eEtxa3UDFI3qJb
dXAdoTh9a6fSKk69tujEuYKp27fhGJepOkibyTZqgcrhHE1mMiezXGgTMxqMyVFnJA2sY7+xX4h2
rwyBdBLbXoWhnrOQCYDXvZWdY6PVCKaPKsCgtuowPvjbnf6HVvRNX2IA6EKcWo2XQLpscK5fK06v
G6YCjy15RrWg7kRC/2gzV7iYR1eHOTlzYP3+gvQFvza/XJKeYQWZ6YUcnuab/l5LCwKyhzo+O45/
UfcuybvFCBi6xzQzblHt088ehNQR5E2t36pwsEbXOvgOSNnOjskqPUYuhg/BMhKqEFROxODf6B11
41Up/SbbAxPKlZBcGKJf9lZU1eesW8MeICEAaoo8kk7QyrZcQpsgI0i4U8W91pxR3dH0M6gUi/3S
Vw2HXdZ6XMpnfh5vpRutUzKbsLWAGHHG6A5PhGlQ3w3DDvu1+XJ2sFyQwmQRTCZ1oaRO3M8Y4UpO
NdKypcfgPXQprOMt6oQp3sJCUDd6YhUospPYuBdCYzKfupTHAUmd7RctmdVN7Ex8DGWkntpijNV8
McaJaEmH7Tm5VknJJ/Jn2zyC0lO9Szw8cF9sNXRaRpaIDochKHRX+HK62s5xZ6d5MmA7J6dedqy/
uCsW+B+kJN4tsjLuCaAx1GPjCaU9m0bPnUs78ldQ6daqPsoGP4twJN1nIc0TyRLDrpE/bYacT0eu
PZCzWlraK42kx2RVl0CBqUnzRkyJyDhdY3NsiqQ4ehhmSrhxkPw6pH0mgC224zgh8lfrXctNSmeL
p+BYcDOfEmwcmoO16GW55T6aQ2inJrcl1QqOHmUj5/o0LzWPdVyTj844oRXJaVkfibveHJ8MVp4f
EaZnv9UgA6RFr7lUJON0mcTESWuejioaRoc6rBJGD11KKrBclzMvYYH+nomY41IJ1qNRbDEfiDeF
3YpVfKvme2R9/RVwKcPEMiNUGzLwAJCT9fYltZfzoI2uuJrGprghKT1+MZjmH2A6WV6YGpX7UsX5
+NiYeqZQ1LBkkwlJ4DiNvRcm2TqEKgtS1k+GcmwET7XrP2iYofa3RrpozsYeXZbNKF1u75SWjrzW
e2VjrWXHdCJhSXW/okaWlywmY25LM75BMeLZAX1Y08+ZQq/5wo8lPbya1F1a6szkaSTIbYpZIx0E
8yFk1CvuMVLh8RS51jqBFk08W1RLBbwft26+cGd4uVwqw2WfN/UU7TpK0u6pi2x157HFy622uNzg
1GgMZ59D1D7b2AU0QaQ6BtRjBiCWRQBDwA7tgXZ4VhcmdWYcuPXAVWB1ZAum8R1cFrxwuC+uv6pY
B3Lgz1WSG/I+XxZNe9AGatyL3pCavJkVQuxdwTxt+ryUzD0/p5Ze5nfRmKHOQxPdUg5SSy3jOvVY
5pJ7yRCUe6n0iTmJ78fcCEiT8hAVHsY0FrsKcdstXjrh60LOlcaDqxGSy40zri9FL2HmB2pCk8Zm
Xhv36aBhMwJdMnGeVOENxnUWoZ5A7SLy+ptrTuIqcTxaIa8ouaaWx5k6uFEss2cpJIq3gHD4/rsZ
eX3+KNkhRIKPxGLL65qWyPEA47XI37pFrMmtQYFFU8VyOnWtyzPvgQ2vsn4x1aM3RG3+w3Yrw4A0
MdOS0wWMhnFdcv4sLbR5RGvHqDK8Eplu7ej6MTFMgBAyZyCkadgX41uyIKCgGbqqcBl7sschgnck
Prn4YK8tVj18xnlG2yITTTYsjC40hzg5moUfYSpDXm5QpuNEuSlme5O4pX2AquCstsF0bCm8L2vo
dhYT6yqDODdHFZtMfWwaT3/o7MYIzVJ/1uAmgHTQu+ZzRVh9MinvQE51/LXoIveHismnrISsrsll
vRgm2c5bUBN1S9Jh/GybY7UFFcK6s+rMO1ii1bOwknJnVDr8CHcpySTtXXnjx3OOP30OBE1nRivb
xMVnI+vcwNe7frdoPTPrUeHHLNGAwZJsrsdiKS9sRvLbAanULdt685z5Q/JptIqbydVVtpctqcnt
TLitTvm/B05JP8WdU3zG7L6LdxK094I4DwhLebucCs0HEDUZrI8kB61KKugG6WjW9xw6zVNll02y
yZau2nmpXj8mDlCB4OiBmODYQxU67qCuGkeZQQx1gGx3t/uZSlduCgTFYGpkIUxIAq8ImnetTaLb
FfHcM+XAppPGCIOorPde0c4rLdOsj26ijF1si9ssqpu9jo3dhrDe5glFEHQJTFicY8XAcNzOpTtc
tb0VffKbxNlr3ZLvbA2XS6K3Fg8PPce50pK+PbNhzwfMY+fjpAkfI8h82s6dJHge/WbYDnOG4Ktz
7sd0XL7repGdfc9fzrKS/kdZsW/m4NQnzB7453UoDcTyBtdu69L0shUSVH3D/L9aeUiTySFkaXCY
cFKozxFv+Qfg3xvA9vWqq0MeeC3psWC2vxZiVrTQ7E+2f2rpUL9gscPGQLtGjfH7+usNZPt6HRTp
oMJUeytN/9frjEntDJ0f0/xB7GJP1SV79iqjtFXEhvHvL7ZylLmdwN+wzX+9mOAd1oBL/BMosb+t
V7nbK6FdSwd/+/tLvS9kmaagxKQW1/GWfMv8bmPfbTT69pPpzOKqWmVUNgayUFf6+ty5UEX+9fXW
8ZhgmegO3mNvoG8B2F1XRWmfFpVED38eQRXBtGloVysNsEsJ4fzgdq6362/wMM+OL+dhhgvUzsN7
W6zPZWz1vuytEyJFqisCYSl+2FA5gSsFDQgeC78VauXIzzokLPWvFynMVZv7rGP7a9j6my9dV1ar
qwIZ9jCka/QnSiwlpo+yjt6/ClwFX0qfcB0bu7s3q6aIjKmK0s45xeBAhzll7ON6H/rA/tNVaCiB
OFak/R3BwOlNo7U1vsurVMBJoTyimPwfLBObDBgs++h2aDff3LG8hc7c4G9yMiIwH9xDWRTjjHPe
Fg2CuOobNS4ftHTv9y/2dPYwvhbpDVz215euSsdongrHOml15DwJtJLwiUdKkQG38W2FRJUxQrew
RH7/RrzfWTD5RONBEBwhKu/eCLKjUn1pbAO7ON7uqGaf7B0UHkuGKPj3l/qHr8jiQItDDY6h7tvN
0sUKikuVBoLGVUJXivq8dIxpC2tlbK0dnFpXze8v+k/fD39vDyWWDbhmvtmhR2TWZuI74lQ46C6q
Epp/oXvJnkbnwzf9lfbx66vug07gimy5vuu9f9NWnrDOfgK9uAOmzERpkxjh6sVdMy7yqsaBDrbf
TJmsJuo6yKpzdzW2WA7tYM1YNBc1DFtE8d9xzjapOpcKwrqXO81HUUfvN158EEzm/+xITFLfaqOq
1J5SfHZY4SWcqzCNUM1mSuO8JKWKpZb5lPW/fxLi/bu7xlRRV8KdYfL4VscRF+AlEWfcSfM0al3l
mfQPxDljByQFR2bSROt6z1Jx1Q5F+wXl6CI2JjPnu7YzGDG18bC0O6okZugYIiT/+nCAzYbUD2EV
1Av97VyZYRBCY4+3vlw8im7dzp5FDLucpMIqRYqqfwTjvFubzkrnWM2MmYGSa/Jmm2nTbi365+U0
WpH10mE6kQVzW7FM1UoA+/3t/6eLgRuR90j63ftAbeQHPuE6/nxSBKjcZBV2dZhn0OXYekOX9PuL
vXvUfLN1Oi90cz3x3sZvlLkmmi7S55MDqOxQvvasLF5EusTfX8h449aCdpPtci0eEOBxpL+tjApy
GJXTuBMVhEy6G50ebgg1OChkcBBl0J2bbAQJsWJ098mUwFQtGteUkJ/WY7Bu1V2S5uAE2kSzBEEW
L4jFhXOtaw5QFqiXudNJqqQ9b3Oa4wm65U1f4Q1W/tuN+DXHDUoG5xpqxbelUFphX+iWXXcyFjjX
EyzHM+YT6T7W539ddXEp1oAFDwRI7x2jEtciox8V0xoJxwaVe8b3b+vW3xKSWJ+tSn2IH66n1982
Rlga7IcGrz6sNRSzb59StZSmaKVtnZxWWT+I9BpP0or8h1dAZB2LiU27FPbnWinjgwPAeLtErFVV
iLrQ5MorS9M2fz1arQJSPtqQ7CQwaSwXfNU8h9SeGVsnk3GEiryv+O/k1masIUhf+THygcqUcXow
+pkRs2Fk850+lKCIS77iNS150jQWg+TnV2G7LJ0uw6BNpDduP2sVf9OU2gcfDQ3U6twz61s76+DF
r8ur0DgM9nMvRXOCttJ0AcwEdWNPCmisiyA8n3OAIzQHLaQGjMahTV/augarSRd5eTuBNlxJp9f2
ykqdG1JAtWVfuxWE6LHHOlF3cfS7AJbWq7Bz7cEPEks2F31uMYVyC8KUNjVe+jTQS3rCikaE+FTY
Ay4yImkxlByYivVg3wz16hdzyVYZcEEw7YJTjyjE90l6OaC4hm1N6KtmBUPxr0tuxlnxs6u16K+c
GogSmYtPngYJhXRFVbvwp0sLQ+u1+BzzCOTFL9a6pm1415KqsPHyZeA1hbmIJY37LJWfH2NPU3eN
WsrkBmVNUV/kcTv2tx2ClXKDBIa3uxZlk9/VCxKMjRx60e6gMKu7nBjcC0ZudX4Hcb77ruBtLyC8
mb38MJ1qsC5lK1Yoaip4zDiy8It8dfvFxlls+dSgxIVbbGTWxbh68YFoYJlIRm6fq53TYBu0AQcB
ueqXBCDcK2fH3CK4428ckG6hYprM6tiqbNA+qTrl0m2+cGr5OlT3NkgKszOuq2m0+zuRakm3yVku
yQ39KsYyAoZTEyJ5s47jKDs33wz9qIVLU8FqcQy2cHuJWUFVNdJIGO6UuhfWGInpmODFEnGuCiQg
tSzAtDwIFMteFfSwAXxiUEYY60rei8qWBfY4NguMGAHHuNJSydnwWgeA2bP68JkBakgcGBYnPNNw
nooAQjzm23Otfvr9Et3gIoUU8xWCs4uBD2MmStxbmWG/pFGSRNtu6BAS//laOavMTF/NICYXy+aX
ikg7CThPlK1QIoG2y6nYhkaPGACKi80qaj1nFWgVNvfV6FbM3My64Stq2mncKcbYN3+OZgh/f4ls
cy0kYovazqtdlJEiW5FYCTwfNMTaHZTQQeBfjz/XGQAZE7Ar98J2mUdALElVtsNqTu/OaGN4TctG
Y9JQzBY31sIv3NxlvhGnt13V8kGEDnayawqju6sW0arnQbmmhnela+f5nVeTX3lpq0LcO1lWWQx+
o3T+4WlMMrYInA3rdhYNKHAyUxuT5y4mt+Q8ZgyQ1EECXMFasZjmIGW0etN9pDDPe2jVsseFLyjS
scEINIoQGoRs4XZ2KmQHWj8XgJLYtVSLBySBQutU6roCagMh7z0AsmUYs+nPE/9/56Qfzkk5sv9W
s7w3okiRsHAU/Donff2lv+ak/h+oSXxGOeuMlLrtryGp/YdLzsefg87/Px7V/0BjsNqtw97DKX+9
+H/Go6bzB8iQAdtO4BxOAWb9m/Eo6pFfD20Oa+IYaZvosoGC0NX8em5KotzboY2Zxdi6agOEVM7Y
BxYw/xw0jjV+gYPiMjqx67uUXO+rhRyNoPUYQYSVP2RbwXz/U9bnsICkofLrxOszvAQ0sGHflXvl
p+YJWSCUuTHF+Nf26AjwefUt7MQYeSG6tpPzWEz1hR5DyIXVVFwg7slv3Nr09qXuJ/vIjdy9lRdW
H8alhsUgbnP7JU3kMadshEU7R5sFewYNHJsTFw8sHOKQBDuP6WDUQwhdLAsVaH1oJgOiOM3oD9ih
Rnekb6EoSgkUOg761zxf6hc3L7zLJTcjM5DK67f8D0wDR0ft8kg511OkPI5CBzYLdLJaP66SKrhv
hvZtqmX7021ShJdZ5R0RtMsfsTKiFle2RtykSTOs7kHyzuqs6ZTlLpS2Oc9mHO8z40emQ1DKbMYn
+PeYyAmZSl3FehWfu2bRvlUOIooAqRy799JWxzltn0ZftRgorpOaxBs/J03ff/L9Hk8uHPTl13UE
9iS1PPfJp7PmwEEBNhBb7tN9eRX9MVVOYOipPCa2n7shJZd8aTneh9CwpkeiYgzudFV8LdK+P0Do
7HeCwMRviz4UF6kur7Ultk+57JuTjJbljJc7sTm22+1cfNoN+GXpDAFoHgzJQ43zJz/1cYHkLg38
bUQd7YzOLM6zcCME+6XDF4WkR8hPNFyI1NZwk9WTPbqy4h5wK3nM+zQhgLFqTFLfsJbfYvyfiQ3t
rd4ElPXkzGO+mR9baQ2Xg+UvHY5kuomLgGA4nSwrHhfPehdOXZVsisWEjsNAcPqZZsYgw0at/V9V
cIY2WVLdpIzyAqud3YtY1ssGjzukjNIrLxtU/BcGyY9zmJcTRNTawtUJ0lUTP2AKYDiIgmPra6sm
C0cgpiR7F1Lo6jBQrkFKHLeMzOMN9nXiikGGfxtHcxJOnrbFQhgLrHncONK+Sgt//IZnX37EY5+J
daZpyWbsIHFZ8CDPy9I7HcdUX3326yx6wpk91k5Ra7TZ1q9c8b2d9G4IEjzH78ZlqqPtOOfiS+8X
URViITfciqFqn+FCGaHfTOIllybOjuPcz3cdgxHvgPsj7Ebp+UTEGnA4/dJUVhD1eG8FQyTMB3PU
k3PLePwrhrtkEwpOsTh05UKWeFx5zxlahsvchikIaZx4ymXMay2cMzdaXeOgLW2auKtxLK/KF+oQ
/7NMkYzqU7NxGmmijnfmH3YjZ5xWhKirbeRF1VMWD50IC5n1Lg+rkl96lwS9ALJtc/SiusdPfxzK
AC6sf5Fgrr1penkL7uBbAabb/RZ1PNmznrS2HkUyYlEXLea4BnhbTbqxEn9Azt1jnFoL92TrHSNo
M8mgTXpWtq+HgW1NmrMb4mkOsQtnvTsD3e2+TvVcbTS/jyyEWlL/YhD3tl0sdtQRqT881qpMYVX1
TXGMZ5zjcyuiGCd3p7+TXgq9ksyM7BExd4slvOjNiR0tGo5RjA8zbmRT8zy6MzMPi673gKo1Ri+t
z9211UntW227aNE7uMA3cztrbC4LAtlay3wU6pY1kjydtP+PvTNpjttYo+xf6eg9HEjMWPSmUDOL
M0WK2iBoDZinBJBI4Nf3AfXcT5K7rX77F2F74RBVRRQq8Q33nvsJj+30tSvT6XV2anFt9xnW8GHq
gxn92CzjKIzt7jadw7jYAkWrIBNMBJYCQLDwCLSPSdG3W1D305X0JOlnbL+2Xu2fnXYm8oJwwfsQ
ujIi0iw+5QXHZiOc7qDN6imp3fHQS6jpK4xOoZ1gwcUSda6jcFDejsn18mVhwVntFFpGAvtGQBxN
qpAvmEF+q0188eOVUyKbHiJHTm32An2UuL/Zd+rC/BjMhVdYm1TaYhgg8c59fhvr2ADukXu3ImfB
jDZdPniEOzx4wk/uOBY1o+tiOalkenadun7oGHY8jKKP0YRmefw8McoH3iyDcVP79XReAd7PAdZ9
DilSvx4CDHx3JnSFOyQ83R7g8uqdKBx6y6qP0LlauxyxHcc2j7xIV3N2M1rhuO8Cv8vhNlbVTR6a
vF2vIKCzL1MuDG0jX/XQcjZC9t4F/YJ3u0Diu3bdOmbvvQzxoxNI75RnxfSEI40iPVVx+tVejPkW
QsNYHQaja+gM5/gmBJ39uHCPnxJ+8c9t1uFbnqV7QBIFsjLulk8FWXX4rzsDrb0o533uzBYUz2FE
4Eg0QDG4nEdjJpYrorT8U5qR/F1N+R22MnbO+HRu46bsHQ7ZAmraEp8aL7euwbMkDZxFZ/Vuj80d
ar/ssF7PJ9locYEBKI8cF/4B6rOB5FMpe2dZk3tfhkv6JR5QX2TawAcqO40SyzUHqOyLP99bhZwO
4RyGJyXG/lnGDURP4aoj3ydv3jBPkRu79cOKjwgGHg3MbG6HHLpfNNphdz/ZZpWBLbfJjyB/C2o4
Et+8K53bsaji68UP9annwUgfQQgViLvPZpOFn0VvW83G7d3uI3kj6SdzigsSJtDzMu4y4OApjhpu
v5SHtFPabkTYg7/PVF7ckR8yfWp9f9oWg/BerSYLbq255puXrocmezArOyzTBCBD4tloHus5/Ijo
hMW/SsnPZcHbjSIyUT+mERvs8DUz4uKR2U/f3Xmyz/qjDWUcrqPnFXDRc9GZF8sD33doQ1GbHcog
aImITEOufMPc6VF2yVaTZT3v7dTz923o+VGKSiGO8mS6X7A45UhIy76Ce2ikH93WdrM3y+MrHqEv
Md2dxHmRIC1BXLx410JorYZDkwBEGc/cspYszr6qUWG9dfHySu2rX4rCqD/nSlvP4TD6T6JL2jMK
nqeu9ucd9Ojq5Hc9WfMjBna/0Q9eubxyAH6Dzf2WD96rP07jn2x6qSAcQi02vTu+IhvPjwhjyztS
b3aTUxkXPhw6YcBjp5p5xDd7cVW9GdquKDZY+wMW82OGi7qZh3vbnYo5gtqddptWhknyFHij3FXE
XN+nC/UO8NDJrYzvE8D/tlC/a6EgjDHW/X9LTW++Tv/jtZHFTy3U9x/6tzmSiCgr+EEZ+lcX5RMu
RrfkEOjksTb8SWr6bo5c9zQsLkHpronpf0lNEagCJSfqit2tG66+yV+kpf8kNf1l9o4imzG/75Lc
aOIi87xfBv1CeR2hDElzUjT/WVTUiXtr86y6eY+w/OHS/F4b+v5aQUgD6FO5EHL/S9emEG6xShP1
6V2ahG6fVQYH3PPMFbiQHvO7YfIvXeL6esxzwXKx22GR+OuuVBq25aPv4fWqVWk3meQgIcYDhjJo
lm31EDMVs3UgnqZV0vfPv+wvK8X1xWEer35QPj12fL/8sp1hYmvpZX1a0H19IeqR8VMpFEhmsegH
ZFbhMxCU3/3KvyzP3l+Vq2WzmF+b8/W2+dHwNfQAh6fAB59d4f4scDB9QT3JMDhcx2f/+cB+9QVy
k/Jy3L0mRMr1Df3gMMtNQ5PMIsNjSrrLlR+w8J7TIdxVgY3UM1beb6yuv0qjAQwis3630YerE/FX
/N/cC3NJYq2OY6MJPh69mFHl8q4ODSaH3dTMg/8mgBp58mkeHjrl1s91yx4mSr1igbXj9/7DMFsW
MZ3KHdUGLEd/ETrUH2frdz5D1//bfUBQA0tM9Ml8mnzZ133UDxeorkj2yTEmHV0fCShsX8uNr/qk
pPhKGhbLVZeI6SzQc5c8IAaXIIQ6mR9W3d/RMhFenbM+sE/VjK47sXtWVrh9uZeo+FjDrOtAnaXA
W5RJPs0OYLe4qSyT69AV645ytHpWd4bMUBjPFhKp1tXixpA+a87RRyvZGjM67VUzHGcgkjaLJLD4
z0DZEJk8uWi1A4Bl5VfSdjHYckp4W5J8i/DI2Nl4YW0cgpKRluSWi2ET1uBoZ9AGSNtSIb5yl+ps
ZcRkub4eSBpz7nU9T5faTNns0QsTNEyxz1Z3PQjkTP4Ujll2DsY06Luw6GSAJLEjYSu3WH9J0z59
H9prpVpI7ba6MxlyVVEIFHsVV+bhLhfSfQsk8vPvM+ZKxShR00E/GJ0hntwB03C2ZMzSkTTVCMtC
/cpWgKkuUiq2J+/K0tGR/KZtwailItm0oxfK4mcrL9h1jMHELnzkOr4PmGOJNHxE1fewgJN6njq0
3p7BkJ+QiXDX2ROTeThFDHtDbbBXfmeOfb9X0zxhs5LaGSFbWaH7L2UOWRKgDb+sNSvSvvsJ7V/E
KrZIz6EfZ9VplbPjlyIeOBh3DKPTl1RN4XOARYX4pmJEClLNDvcJxYzzhhuaBUbS8uUnKeISzjJ8
bnF4JgS5ZdwZGoYrSQss1yTFN6acttF39CKM8hUYbTSqFvlm33WxSYMUYv8vcXWKZwmMHLrSCR3g
Q7YibjbBuqB6v/6OHigogQ7v0sL3txgP0z7q6tC8ef8zQ0xHX7EJ4txY0qPB73qf+oPaTkkY7seu
5wZO16+Hh3CvJRk8j+Mr0SsQR6qfMGp1OggfWFYKaW8GVE7jZigDM78ZOq9v3U2AxUc/tsiaVuNQ
o2O1L4lA28S0RjY9eCbM0yQGH3sE0zk2CH0/ZMZhJoaT8ICEyfYDwRgu6L/GxctTp+MQX6wlnF8R
j0xf1Gzg/oGhuGR302xY00v/7hDCJK0OvZXW02YxC0h1AYsRTHgAA13lcp37JyIl0p1ep0zYi+Y9
YV1Rt3qSpnd3UpDbN0QrjBES8mMczvpqSBr95FVj8y5C4GM35hvHLTwWaFif+tUEhcvQ2wyzFrfG
apGa0g7j0RAr99PgFCG+Q7ufINmHmb5SIOGPTtBg0RtNq2Hh0Sw3gRyTL13PselVmX+uyYO6ac06
RAO9ODOJYlOFml6vyBSEnSv0fhm+hFm6qtIMQIRbbm6i3WKMUGwFVE8sj+/Hz3bdD/VWGM6HIU1g
QsrurRZ+fpOTuuUcO7oarBP+qmaW74qXucDylmLUwEbtjvqBxxz3soUuGpiJQdQeBTzeh1WX44oh
fK7mdARklqx7A1cp/fCunNMpsufWEe0rbF0gUqqY3nQTJM85GX1XFT7BpxwbwUvOyGeB3Y2MPzax
suH0YOHchibMd+wxWx6jzZPnokLPCOno+TXwLdtV4J7dcjHDl6VvxadKGgYp42iLg5NdycVGqdz2
GvuooJ0gbc/+c0mUiyG2Ls5l2MYX8heTO7ymKcvD8MlP0+65HOTbXOn19M/Ec1+FYONGrhODRc55
F2P5mZ7Y+oQfF7MpoxDzug0n/xHlRuFvET2fgFsZamtPnYjCVPhXTtzIANahVd/q0SLoYXGs5yoN
2m2jewdVfwU4np65Y55ROq7aVHZc39S+4fxZCps/3/LEkh/AClrxn2EwZYgSujZu9kvAsnDDXHQE
PtcXxqUqs5FLV8WA0AY3+Tj7AZM3pw5ufezR25xf6eAThlHQhMX9a6MDapGW9JCLvSIRC6H4WLsQ
EX9GQ85h4ZSJxNTSz6eZJdyNoWceC1XDQnM1BX5BqBte3HflRuEtPCy6kTulT0wStvTqV+ZWZlCa
pI24sa2Qs7TzLM70nPb7WVm8G28AtNhPfDRRWYacgxWynmXzLgjMWof/kRarGFLb0A28ss1QN1sF
571UaAdTxaoPWk3PCtn1gkvYlgAyAF+XK8iNQwvJnr7DEMJ3yZ0QBr3zIBvJC9vx4rwtc86B/34E
+unIss1nEY8PBjBbekf8aMCSu52cyzSOJiNYF/OAHIz+S21DZUKBzXyFJ2uHxabk+dhnLud09b6o
nOH7MyEeIE6TPEKLcvj+tr5vUrs0p5KIjXVV7zPouOpKlCRqxtk0KGrfKkBPKxaYBWeMwh6K8HGu
HH0NgY1duinD5nWyOpyulrtqVrJqVQFNat0Z15Kgkwena8uep4U3OOhPyjTpCjLZAlP5PskYDgrP
os+Jmuvc+RH1i/vqpYKDdZbMpadWauLsyjFfRf0ieZr8hRwBIiK9i7PYQb9vA188lo2BtXtMjW+D
7MJDOk7wFnnPVDmZgXvFQrnm4XWQPMm7cBBPtlyRVMlK6dpL32G5muhsvaIdhFKi8KBmIBwIcL9U
kqOKzEk+UQy6fEzvkoqy52M0REfXgM/VxN/pwofMdmWAF3olTuOk5TpRWj56dmaMj2xcSq+NsilN
0uABbz8es23RhqQC8Wjs5mw/F5mRiA95QLUMbnAa3A3CVVxiZuPuMtOJiyjGrLElnAGAgDdbB2Ij
qUF8PMvnwpHpDYgUom/xcO34t2MCjMS7zJf2mo+/e2gAWOHeTo2P2gizszEwclUwwCNnDipiNIlr
nDWWrXLE5FoGnbetTdINTD+8goIYR11l3ycBRzoiE4J4zATVwiIq1kq6OzWKFW8ylOKB+Ka4IayF
vRXYUeBxBRXJ4FXFN1QBLqSVJmZd0jC1GjpYdHwDJ0jZ9beabZNRzrehdqYT9zWFwdiZpKm25q0L
1mWrTFJNydchK8btdtTG8aP2RiZ8PES3eZdOO01gmWMOzrWGhnvPp81zGd/7mSdfdSD11EDGbA9R
UHm7JCyvxwLfFNS7+dac2+QDO+3xFbO4fdNAdm8iXIoUkBpaZ1jW+GzQcYgHKj8y9YzJ/OYiEjvb
tmKFRPRKiG6FqerkxMHRyJevsC/4QMi3SjAhuPaUbqvRJNSRikAhkOAJ3IPVUesJkq5OfZ5XnIZD
3lyNnWWcPHvuSAMtSm7SKuW0yTzJHblAHI4xL5VoxuZiyrNIrarXf+5Of1HBwaymj2JzymBhXdj+
2vYvCt4kTzzw4u570a80YhfQGvrhn1/nb90PL7QKeMHQmavE75f2EJHNMObN0B5LJmusYACWPXVM
/0mq1IhsPfwx6fn9OPzn1/1b67/+guaqq6UzdegUf+66aMlLGyBDe9R56UHiw2dFYAk+q4kYN1Q5
VT0/QI/mLO7UWuX+86tjEf5JU8aLI12mK+YLzpv4lcHGIJ/pifCa43dr5xJI6ylYT11gCZz2Q9Ly
X7OVtCVr5W1homv/O7H7Wg/ZMP9uYicYLv3waf1d9ADK7K1++2lg9/1n/jWwE6bzB2o8PjsGRyZG
cER5/5I9IG74wyRFnvt4BT8yWvq3NxylBORNtLnfR3nrcOuvgZ3zB3BDfOaIIhiQ0ET+JwM7Zw33
+PHu4qY2gTHxj427J/hbAEK7NAX51TMZOy3D8qg0KrQ2aETdiAOpmIF/FHZN7GhCd7a6Ma/JZjei
MkvSL30cLA0lc2WRFmSubUe6dBVJzb3vfV6kxdymzgJnQyrzfGmglZUv2eJ0l6ZfzC85Nyul/Vjo
ccNN768x4OxADpkBJ9gfBt869V2o1FnbmZyuJd3XLkWQxqLTKmcsdR6pswjXIjHG8D5m42Ly8Mwg
2gdE7+b1Ym27WX5S7N7Zq6SkK3EqzexegRkzaxvdzcwEZR8GMUiaeKoBwDheml2XSBpPYzn6R0OO
8qSaKm83Mqv1veqMg5WP0G+skAhEbR9SoxwwvtJT8a7mJX/RPNIpOux2O+ILTUOBECtfhBRiOxWg
Brcj5BxNEqUtQT1AxSSFsEHMFC0sNBax4ZPnKpvLiFjCytwzHOX+juDl3LuahO9+5ooQlgbvN5ZP
i9cuJ1ycveFc+TLRBQgascEtSyDsQQZtSm6ztqZrUodI/S2Pfjkjp6n33hJUCrquk6aDfcwzTWdM
onXRqtG/WkaNZ22JwMAIS+9I1x1zlnIhZY+lTqIqRKiucEvBlkdmhQgkeNct+n67bcESvyoiVx76
Hkt4SVC0/sIevs2/hbnov82kqk72jVX3boURs4rFnhXNKjBF2uh/bCfMfhQBoboQiEy7U48oRn1Z
xGk0U8ydMies7Z0si3tW4XJnZux747SYbnv4H6wrM9jYpS6a7cx5iF1ciHOQFw0pzuayJ0a3OKwQ
OpG1+mHwRod4RaO0ttlKVwLYNCTnIGCRHjk2Vzuy8iA+mlTuw660Z/dUaVPu2Yj0b43Vlp+toRP2
Pix6DzB7t6QMDeKgpJrJ13lAHwpCUQdwSHZSnnO23uLo1OOnNEe4Gi2N494ZXEEX2USbfEqkY15B
e6/2ZCoYB2U79dbn5a5Lz25hzwh9XxPXfkingj2wI2IfpH4wQQwGinVliaSDCGz1ir20V58UkX43
GURtVphD6VzQ0C5n9qYmzbY5b4uRXZK0831A6tR+LJMbL0VLtB0d74KrChO7LuJPbPHCPUZ1hQ7E
dnZFV9TnUfjtB0YUN4SRu/frnX0bi97couEB/NeJ64W05w1rNqolu6Vqy1pUL47dmt8aMZu3jVsk
H5M2wxXZORhpVQGgm/p2M2decshzVRxwVVGqdCsRH677ofVk+Jg4hgtWLLAutKfPi2Xe1jaVv2/E
3qVYlHtho4tOJu8n4GEkxm1yQFAXndnWa+XOWlNRLw3T+tK0HzzLGXcCO+03g4SJCgbNmO6LJR9O
cPo/e9j3IpnFANqNce7CTaE857G1J51Glq+az04wJ09u7iTmBkK7++dQAaatw77n72iNE8ZrfL/A
I+giCYubTK85F+RnRAFo6R1Wbhr5OgmOmjKQKVetAsbNqDBpdAU3+jhkVyJMx6cB5VdUcn2eqCTv
ua2bh8CaLyFxX5FbxOHRIGcLGqTd+edAGphoiRAOvmivTu/CMsjIzGnqL0jSwm1psqzctKgivd3c
OOSYm4IM1vwBvExAS6z0tuDufhQETFcbwUj3GI52DLlm+cD4C+aHdhN/4/sdsHdcLZtmNO1PTZkw
xkxHY6sn4eSg3D331aXlQyXcLg8NerfI8eX0UqQ9cc9UTtdW2aJNUr7+TEa32inLHr4lJI5HhduR
vE5xisbbsj9aCOhvF4GATBHaejfXbrMXZTLcWVK2V9DwzUdmdEsREdVQdPum6ZNd33TmG8pfuXX0
2DyA5SW7Y55SGy7BaGwcMSTf9ELqaa1q/xVexGJsF26t3cKRE6XgYmnzEkYYNbSlUzAhVPID5V1b
HZgivpH23kmE9SHpwvaKUW16bkLZsm5N1XboTKQbc5jOX7NZDo+uSro86qw43fbmXKJLEH0VxRoS
gRDKYnkzz2OEJvprVWX2TugGUptrNdc6b+GF2Z28gFaY7kvf2I1zEV5TTrrZxp+zNCZSzyiuU1MA
xkLh9KnsFZmDfdle+20wP5qT6DF6e2n44BDRflTBoE9MKjMHpaFDGB0xkrdStcVLRdjLC4mW8q4e
y5igwDi7GjVO73QKlg9COvMuNZv8MEs172K62o1JBw8bg9+2ifRgmcOpLhdFL+yPH6CpMAjNnL7e
GpmLldt1yIc0U/Ou631Sgn0USed6MhAuVsU0X7mo/Qqmd+TyBY1jcx2H6aOj/XXohgV71pVKo5yd
+VlkwvvMBsRk5hnX2R12yynycoZl8+L2R9NZeNAHNVK8TZ/02d7LCu9CiHH7FPuKOa3hSq/YJDHS
om0w6cvYNXLft+Tt/lcR/P9XHK82l38qjtd19vGtavs0k19/KpG//+RfO+13pW8A7Rbc+r9Vwb71
hwtq0sJRzGgWUhLdXs1sK/1f/9Nx/8DehQWXKlg48OApav8qj60/QCfxx8k0F1S0pv0flcc/F8es
B7FGU7wDTuJdmL9CZB32LglapQWfPfWhvXByW17y/MNF+b8ssv+2NF9fhG05Nl9+Tyb+vIkfdnpD
o4wWIyERmwVuCe33C8QJ5Uesi4bdP7/U31pJXsrhsmDdNH3zbybRhvykjiXRctQqg0hRZhQQFhgK
MskYs+FeO1ZC4rdZGEWFxGH85uX/PieAkOWsqiIh+NB+Xe9a5UISsWd1R3Ikn6zKfwmy/jejiHUE
8KMBiwGBhbDR8tkfs9f9dRQhpTGPZiy6oyumJ+3azxRjTTTilKes7r7+8+XEy/n3l2MTi3sakxn1
gbl2Vz98dgRoOB4Rzv3RYeNyhnwpSM0IjepcuHF1LpXzwXlP1wAdtSZt2IyeceSFwEqq9zSOvok5
361EYF4iG+gEkIPkDtWosIv0e6JH/57uYXUCdEWFpFEijTtZeWX/aeXTIVH98K12VgiUHEzreYbY
FRlzOFZb1Eb2TdqNPJZBRW6JTNDPM40Dg6FkSjaoGSSHehdW7CXK5IWxa4PAVdr3cdK4t+5Awq3n
0gsqR7LeSYbkZlSgqJMKRMoaDIIkzV33d8tyKoLkeswNtber6pvjlw9N5nymz7iHwsdg1wmqc2vq
T4li9hgSEr3jbK5YE+QL88ylOxTdmtdUCyai+fSV4rM7+Xl628LDpUCn2HcsMJ5TM3k3GjJ1FBpe
fLYS+9k3RHzOYShGPG1aNGgKv5MREhXVZ9tZ5PnNEnbJ0+A5ZTQGRWSGKgH3whhTT7E6LlkZ73IA
Idc0JdGYgiWIsfJfuQmExR2VwDBHyTQn4WkI8lHvM7BGT53P/CxFpRNZAV6kFoiUCVlN0M/UWkrv
g8Pq4yUtlLwlE5m/J8Dr99SIgsZJZuMR3QMybSmxnmHxT6/iqpOMW9GUWWTN7pG3cYtUHfrChrF1
PtUC3fJo7VVWms9OA+KVCBcdGWlmja8joEmRROYsLnCLkifWaATXZESNxF4FKoX9JbKvbGWWEGRz
IR1e3rcLz35m1Bc2gvZrtwTDkzPaxbEzUnEttO0dq5p7AV1bth+HWh9q8K4pFS9ddzYm+9y3NUz+
LLw30dMfSDqQ10tiNHdrxJKFPPuaMVTLjrstzb2cYIQ1npsQkeUBWxTazQ4ydMarLCZ1Cq6Id5ch
mI9jm0l/PPhiE4rkE7nzKTpK90Wr5OxUMaPpdrpv5+IDrSTPdpUbjGdrdTX0POSzlNmoGlHuAXwS
B2uFliLXLY9zNTgnt+1Bmr7TTc3EbW6rd+bpyPiaYKE4Me/tuJvf+hWPCjWqvqgkN1iUAk+1dZgS
N2+QgZZXjP2LuPO3ndnxask7fTU0DDtqViRrvMJZ9YppDYqhjuIV3ZrE8XSlqf6R87Fr80IQryyd
Y777aOrI82RtHo+gYFcorA0D/bxYqbisusR9nEMea5omp2yCeuz56RuGjJdQYDJJBqCzGaLyo6Xs
Tz6fqxGUyWPRmGhmfa60nS1nNifsfVeQ7eIYwzZe4bbIpdLIW/Jro+/ae6qscov/7wuYpD5AJ1/M
myBO1ClGQ7sThnmvoegOK043N9iNNojkDwvpSlESe90HrGY+GtN+MrbtiuXFZ2K/9Suqt1mhvewt
IYzaTyy8w6gWBdql2lf93Wi0NkpKMzhlKwLYFGkZ6RULnLLBwhQGc/kmfucG2ytCuBFBeeFAWk5o
aqYNQwYG7ojy0SsYbITiJoKFg0vDTC/UtIeUBwA2G/r2TZKwaSkrUd/0VXAqlfWhqFJzY8UC9X8g
z0R+0QgweNnGBUDkBDJyvCKSF1jJ/mg5b6PptH+iJAEB7bBHJQOO7x5HgnebrchlWAvliZg/eURU
WWybaZk+NvC06IElr2yG4IxhKvMF2hi1XocgRvkCStqkPl2cewyn3hbelIgEAgrQ4G5ps6MDEu3h
dOR74ukv1YqQLlaYdA9VupB+/uyS8nWcwwzmdCdLWKSOBoOLuWndv5SHcQFTXaIA6dBeANet+sA4
CiqbqOv8z4gDE0i8zOi33Qq+DvLAfyp7LQ7YEyvMS84c+WrGD1ysNPEVnz2uIO2G/cnRXeHaXibI
fzGS5FPg7gj6ATc7p1z+FcotOLm2FhK2PRepfLIBh0WuKVo850NhPTqwvb0V8j3MhfNJK3LoyAtY
XnpY4FAHoYLnLYDwUayo8BUaPuBoOOJ5Iq0KvOCWh+e3eoWMx/R+e28Fj5N4NZ1UDow8/B5MNYj3
mCprjax6f9T/V7P6uwk44IF/nIDffP1TvvXFzyPw7z/0r/o+pFqnSmd9+W8G6l8j8HU67jIY9wIk
qKv49P+U+DYTcNtaxarviJEf6ajmf1LSkwjyc83G5ojKhFgALAk27eivGroSeQPipFRd7GoJVYrV
DdE5TxHb6fKZ49/PnLmtToBq0q9MObAXFKvTwA3wHPSr+6CsAowINW//Wq7uBEviU9DvloVhdS9Y
70YGy5bGHuv5+JHTo0KFsFoe1Op+CGG031irI6J4N0dgk7d2EN/7yJ1d+2ZYXRS4j7u9qYIKm4ZZ
s8zHbRG+Gy9gcxZo26bpvBK/xo1ePRpmN0GrNFMDk3nQhA9lGlQP0hqeUXUspx5UJsIJPB9e5y4P
WEnkw4qf29urN2RBarMzJns4r8vliCOsYEko9M5JHZ9SpejKpxHF3ZvvVx15g03Mc2tB4oeKo7+D
g5O+dFUxzhFTg3ZrJ8rahykbdt/t0gdXe/lOmY7ioW3W+iJx+V+Crv+A1oP9L1NmnykhY+PI5MB6
qoeRKk3oPwutJatWVdDpGyq7dFmNp7Ju3f4TlFTmfB2f4YeyyKubYFIpR066nGW1Or9TBvvbUgX+
6n4mvSOPjezOCvv8aJTJ7VTk+d7PdbFdUjePejhFR5PS8qLTerzUhiDMSFSUBgMgxkfGH+O+wLsV
Dbhrblm79UeULvW135nThanHfKSxtd9yx27OeSiGR5qSkkd6YRS72mqHYqXNB6eKucM1zmlz3wnf
2EJtq+8JybQfh9kZXgEWld9mqzefLDVmW48tBye3a9zYmQ/IDoMM1woHVafrkLlKUH20Zab2Imjr
bc1AZjfVBcgO0zV2hi01xre+vxVDC71ADzoih49QzpwbB+GVEYafbTvH7tdJIg82xmID4GQ/XOwc
Roj3NRUK5tWwG2BAVcumMhu1DyDGbJBhvylLBVfv+DL4l+2NIyk+R4jrzNsXpId9ovdakMm8U0y4
L+2Cp75M2uDInKz8mtdJfme2oBeyIlluCzdvW4QusfE5wOhK9Zf09EHd5JV6Qws7XtWZ53N+pek5
Y3m0gaOZb1cD+MeMTIEXqXkKe2FhovPpUTz6iFHxGHbqXhrJ8tqVFAsoklp91bpZ8hQ6hXsbdA4+
tjY5KOVjcDT7AfMaxUfh2gNZfmopmIOK2l8B8vjkUyClW68f/AIzTW1glA08JnF5Hp9InpEnd2YC
twk6gQyK1ppVlifj6pljpGV4WS7HOunMHW485BhGa14jsqunA5m32Dzw4u0koovbKqmSW5k61tbr
PPtTmZUhiAtD6pc+Tn0UrME4P+JssZOIvECDEFmRHhkiV+dxwZCyqQwCGCNldK7a1y2jdgKfhYio
WovqxqA3e/ZF3RFE7JHpEDldF3OSZO2yXarmS0mqyTqIrvS1vfgVo7zCpZrJZ2U801wiOc2Zw8Ts
BRMNokigcoCU0Vl7JBwLqZFBq++t0hQvso9rKsPWkm23L70GK/U1k4hAI/Gyk2oEycj4ke5x7ag8
HMTaHHvzMe5na/Y+JH7VDg/Dak4+NiuVrD4vrdUbS0TnVel267BYnx5lrpPgs5OwFKqj1C/Nyf1Q
4fHv/F3QgkvbG+M45F9mdpmiOOAekJIHF4aM/9YBv6sDuGV+O+w7f5X91/nnSd/7j/016bP/QLTu
MYNyWDd/f97/qxLwXaZ9NDY+tn4Ts/8PlYBg4Y3EEwI4Yx0fAcb/GfbZwR8hfx2iiFUfIUyKhP/A
vMKE8OfKgPkNJgsywnBZALmkLP55mmN1klZ3dOUxVEZmQ0y1OQQRIRdXALYJ+jZlpx4TtyePx8zS
8aSyerhPW0NVhyIXcFglUSUVkj82IHA2CCQcJfTlVidRkpA7eh/iWjn4RQ3oNGRTsGDwI4xZpPYW
E338pK3a/Uj5/1birE74q54UdfrjUDTLPa6IJ/zV0MhrBoObxivjfiXe4k9mjnI9To5bEzgYsH71
SOUb2sH8GELZBYJsZNZDXU/FuZfsMxsSxCNIUj2KMPYMjuvrG3IZe7S1QjzEi2XsKujF33pLNuam
bWySJFW1yBPwY1auDhrvN1vBnV6mPiT3u8837xfqHWxHgsKffP4ZQJeen56E4pAs5BIcmNuFDbEv
42kpcify7ZEf7N0Jm7zFqZVvvCqswheVL10S1aivP/rEd117rQoj1wqXY4VD9ohXl528QdrqIoJp
2tS5Me97BMNQpbHMcmCH0t0gsGLvNfUMOmUeMAsj6Nt4HUfbfQTNUFUbb7TFBV0oyRSTK8rnuSh9
8uqTUXyU1TpMK7TJ31ZWqb4NEGV+W9IpjLTdxeci1ekXg6bppuV0O7y/v359V9zZct7k/PdkIZxE
28UCNSIxqp72phzrwziSNNYE7cIciYuM6XjYAXwf040/ZBbtK3bvdDMOxH9cwMekKTBnUSxHnj/S
3qcu7OyDvayhL3m8GJvaaIrz4uC1kg4pO0OuaJmyxPrYGmbg7UU7B+aBW4W58lBxLwRtcc7Hvt/y
6lnEzNLN8Gm77iOL3vIZe1P5mLZy/ogus78Etf2/2TuPLb2NNIm+yrwAdGASbgvgt+U9ixucokqE
dwkk3NPPRVHqIakedWuvTauPxGL9Bkhkxhdxw3/MocTtU8uUTsSSbFFeo5KLuANEkC8blwW78wXS
dRZ6Tl6QhRxQ8caGN5mv7ETs1ezrA7hOETDlYxru+IMTMOki1VhPy8ETvX8oS9P6OjkWCKBYVlWD
KRXfNR5Zwr17HHJDel2UDX+Xr8p27zT00JqM6D8sdKNsXHp/yWTfx5W/XGXrVIQWR8loHfT4qsJ+
Tu10MnkH/N3GXpap9UwTZHGoPMA/RDdT4LzzkFXeoTD0/mFoxCd7KNUlNXcvtTcvNA6P3TZSVqsG
Ohm4cpXE6wA8zXH2mbfGjDmxviid8ThzJnInmfIk8aGyue2dle5qzXL207JUt3YmjDNmYhwvZpfs
KqJex5UOmZ1J98o5pa2lZJ6Pr34qbesJYwVicbV4NIBLhxsVIkUgMHuFmLAzLiqyt/utCXBnNoPA
dk+PdaimXjt0rdVfEX4hMO5ZxQVbFvuWAbNJkHYcNiBRT7aBJDSN2x5W0MsSDJGKpll3P43gIa5i
w0h+XWSeMyECpb/w1a+tX0Q14LEJzmND2TemY9qidH7mjdopUhVajin2mDRV99D5dEQBCzHSnUpH
i6RCUa9PlA7pbFu69HpELIT32TbQ4e3lgGecPhtrYWQbyKTVtV1NRUAbjOUgIoIP1D+r2ja4le3J
gBA66eRInOViitvmLoXx/eLz/i2IReucn9qqcfvIWRN5VnFOodPibKyjCUUuqDYAU6Bj8A5BGTcA
wupWhrI000eapHWOPSVjd4JH+cUIvWWhQGCrk89NJ0Oaa/tQ+uN8SPWkDqelomRX73ZYlU0gJ517
3SxKeyyKksVfmdT4+NOcW/yKciB17K3yFpQYgWBm/uhELOYkiVmVekfFrx8rS1cM8Vd/rrD1N9yh
FDwYoFC2u6ilgudhJrn/LKeKAIsGJAWeQjOyaiw8YWTj1Ic5YXlmb2gKbofJvCcNzi/CSDBHtUnS
mwaLYr2adOj+THk1v77mab9c97JolqihQnIH5WS9kp5hX/yzXfqvjIMQpdEd/jrqe/XbnP3a/LRd
2n7sX97BTQQRgPz8jWbJePT/vIM6DkEb4yAH2m+dM/9STix3U04IvHsMtX7aL7GV4lyC2AI9XDe3
GOnf2C/ZP43zdEqxt2GiTVcKWiAjxR+3Sx3GMlh3dX6JRz5b3gTGJuCXwh3ETk996vYCa0L/X+iv
bPpKOzVm2tpyKzGvj3AD9QPx+OVdWhAbQk1v7XDm2LFezHS7/4a4SRoFcUGu3bFGjcdrhal/WsSD
xmHUU4CKlWniFSrdmrMhDV4cGXd0K+Spf6Nn2uDejY2iQZFbaJDt8mDVMh5CZxoH/RVwWJktmzK+
0dfSRq+rcwZiJKR5HmV+xDpEk0Cy2sWcXpL671rvITXJEUx5CJGKNcuoxMAUL6/bqn8kUukYOw8R
oNRfss4dVnWo29EzaaLXq1q/oKeZ0jTWjF9TrZd7t2uXW9ssa9Aqy5Tzo86irZ/bWnezq39uwP/u
BgQO9pc34GYl+J/wTTZl9pOBly+LH/3jzGL/ImwOGWSTNzcC5LJ/3YQeVlwM7zhcDOa/ntjAYr87
FECUsfsjO23TqmryY/zU7w4Fy/qFP0r1k2n5yN+bI/hv3IRM7X8+tBg4oxAzbcf0wNC6GIy/H0G7
m8cMUkV+hHm3pXr8IgVn2Cfk6cxRIsUMY6s3gae7Ka0Z5pKIE7sIitGdlVU/NCdnc6atPHx2De23
HSpZY0wyaIl664FO3O+9yohYIZmKU4sT8ZpRhTgNQqG1LSbjvZKHFGchg/HNlJe48YuSMwPiKokm
CGGv9ZYabfUVq/yY0/keMNP0Lo2UGcu3hLFPaDJsagiWgWpMrz2YpZvKHZGw7Uc+QJMF8tWt2RHU
Y+vOL57YLJAH6b35PpnpAK8yY76XoDpPcbExRa12dsE/mnXRnBu6V7yz47v9e+/pFC/VWzCY+ggt
NOqP5hSBYXWh9FiFhdoSDK2/RV5NM4GPSwfI47YOvrkmMMqm0dTRGlPraZ3IZtUWEdXe0nGxOlVv
XCfmVojVUov6/K2dBsDHZmMlfIehEf/oey4zPoFvjSu4t14ZPupbPkzyxz5SDBUZ0bcl2cJGKuEF
YGTg1U4lv43KSDxfccpQXVkOkpzjz7xrsXF9vcICuZrrvHf/I+mlJt26dkRWUTvjkvQpyEZ5gDMD
OWXzVR5n48lqfCghW+COmMv2eTofLQsVlTNOxHXNv/n2hZZ6QtQLqhG5KLV9wx9ZL77Svv/kAPee
SV3FBIZnIKJVpPdlkd2RTectNEvO39KSIcoCry8JScLOJKwNzIvs1DeEJ4u6ZmPppHeKcsgKlE27
jepe2PrCoSyrld36OK1f03jr2dHHGshDOd0Pa29Tvpw6Iixj4tScN/I7dxQcOOhK1MLWqMzHmmjR
60eKs7ErLvRiFireE97hb1pjk/8lwsFrS7eLCEGWbi6GTXgyhpGrwZQ936xvDRR3fYQ7IUFDU6Xf
hGgN6C4uPs0ktRaPPNoCQKbDuyu22ix9a9NKp46bEJ4OX3ADOgIsi59sj7G8JRlX5/6GyPDZNO5G
LlE8gtyWlw0sGnF00fBOWo5REiujxevOVkXKrILAR045geJKjJYrhrZNcK/knxKOkhpxw3G7Tsig
k3Hf4nieNZD2tylP8oyevwwPH03WnKd3UKOIv46jv2u3eKtswT19XMIf6bel6Bn7bTf7ZjF8jR0C
sZOl+EimDQz9gdYGEwNEOUVk32+FHs9sPfjgNmSnFbalt0XbNyTAt6zOxy3BGY7IZLYl5T7SS53O
wsGzsXtdXQKEnd1C9XSUYzwKcG3PWg4UIGiJt3Lk7SihLqk4KwOnARS9Yr44lKk9jdgbKt6ODkD2
Ww3YNhngftB1LjDN4ibvi5HP5yNY/xHaXMDnmgG+HouqmMa/nJrSp0HX4SscPnoxmtaAQlhqHrwA
5fapdZt/IIo1ibOdLfbqRzp07SPYVh1q9hYi7WY6abHoymBuCj4Ga2bSsV/7RaU7n5sC45hEDwhW
ixWrMnEq3y/9TJoip40gWzqO9riV7wuf5dmrC9qjKqPk7xHYOE7Qoah2GShp0vE2PQ52q/gESVTe
t1zoIAzTonst9Lg7+rgjDgDqqBTbCpscdkwxeDniyQ89PG5BEo4l0lp5w3NRcEVpPjypqDRBGcT6
urbnpHGJMFp1RTcZent2yHWKrJUwCTyOE99SmW0M94zGiJ0B4t/C6yC4wKFM87XKfmsbhugEPaE2
SGcpgLe5vUxYz2UFz4FxAteL0QP1+Oh1mZDEnKDCQH6dbe1dFXAVidui3eBP/pbycg2ae0lCbGk2
k6nve1Lgu85Sm6vb51eQmSDUm9lGfiFwAR8xqjM6+7jmhYlpNdQH3nNodtv1r1zHuFbZCJEb7Yz3
qW/L3jgZ3UC+g+3eXs961jfZD16EYLBdj/4CarftPP9Zs1a+yG9LGpV9RPFIa3Ip0fEr1Sn3ehhU
HSYnyTRPM26Fw91VlgWmAjXx8Vokxj7uuGr0xPNUgy4O586W6f5jZaWAhpztlHrds5FZdf08JXQ7
vdgfnXSl2FYpY5yyg0gH+83fKmty1VV3RqpMMsD1O0xE/yTbdnsYdPr2cI4TVmCfSOv1tNosZIj9
3MEeGpQRzGlaG+mNuaTLkeXHotTVSBRbiCBp8C3R3bf6FxWh+xTockyeHM6WX96tOXMcPUMuC2mn
S555lAIRHxArzqLWuWuKjWTB7r6SUcoSA7VgMpmz4W123pu6em4SQ579eFb6FCz4ctmHWPKR0Nqp
8bcHUe/U5SOjqvaCZ4x3yyxGj7l3R2svO/SEzjCGa1unI68nvRCOOLefMreDrQDB/HM3mDvNbLrL
HhBtKAc31N2ceyBQlVFp03EYllOfqvbCzX1MGluxYRMCDH2BBrlv8QntNdTL21aMQV6597HJKPll
Ibet8ZwA0BmfyJ5UrKqkdGDYII7AijCjFhZQZDrmWocu0JUkcDqRh5BKq6MB5ivFH916oSYKa1/U
5ugHwNX3upqns52nRREywFnGABk0XfaLs5Tu0eeylGHSK0Zappv6F4Ml1htvHtxzn/s85rKZUeys
tSgbk/EkjLG50vBp32Rr4Z1dM+bqNciqOqlHAsbLW7SMdgaMUrjqQs4joyjCqlbQa/b8Voomf1rc
6glAdFdelnR/3XVFWu+0oZ+8UKzS34NwGb/28D6+pB5CUj/5JlAKXNyd7WaRh1K0X7ScUerYjcQG
BpqbGQ2RqRKMbRUI8ytPpvlyxeflvOeDV+9Xxch6KTOd3svpyffzdl9k4HLdePpMkTflibn7Jenm
5T61F8gPJUMnq3DR0wdb3vU6H6vDRHxnz9X8K7GsRw2sJiGGvr/ysnS9q9bFDhtXVXuK3sQh9kfM
en4mdknXP3a+wtooHXZG1IN3zRWAb5YoqPmhPaXtLmHfcFaVNM7giLSj7Tf9qfCVuGysVWe0Ntfo
gR3KjIMcO3edt9N8Tow5KxZm2qq4xUuA0dA7a2th3PAQAMwnxnoP4905leAz75LGCq3aqo8mJ8ID
Qy72rEs7RjOlzUe74Aujo0l77RkrRhhjfPI19p3KKjOie02/LxC2L5ulHJ4IeWmXS9USN9A8l5+b
2Lt+GcYS71psmjjB5ro75DRTfMrZvicgCuAQc33DrqBf2Du6k6Vd606nhzx53ajwxF659paSLipi
LK77phUVCfBNozTccuvWlP1ec7lsgI5OpErWQR30uEhDG7pPyOKfRCue0kOcpMNprO33FlL5zhyM
DWihl9tqZZwWckhvsdQhIsdNP3+ig5AOLk2yE8z0OloKvdgN2Gsf444VhZVfVjuMjUiKmekeiVlb
hyrFcdib+KzsqTSmS9wa+AdbS9Fmx0LCtL6LBlu/p4y0NHaJXUogrm6HVnifxQbTWiOvtmTc2o/J
O4t/sk9zCChgkFrSYWPdhkkac8pv8EocBifVWJhk5hy9Qk3PGl4kj8ceTS/ovkYaSSaYMk+7HaJF
c0W9ehZlpMCeW8crT6sDo8UHvLMHW7sijm5kkNwltsD09GlKZo9LHOy/0M4Zrluwn4WiIO9X2G3J
JbCda/Tb/kUDznpBdufKKWroBuwGHiplIu5PvSMDio1iTBwdaICX3mmVTjU1ovtZ64zVVEdWLR/H
h6W6iaEubfdBwsEtvokHf2I3i+k4wJzZeK9xV7Kox3k+tQvL96LDbrGJ3eBPy/NmtUOzFJoeJD2k
WiZbhCmtV/JUPHWpZlyc0Ms8K9kjUtvVRQfooNtjTVyNSLcrsEUjwVC5sxV70PSjcKqeejYiDsx5
BdGhLZezvkHNFnMyHiEx0A7aTWzLcU/+Hmv+oSn5+2bkn3PdvsF0i1IaDtCmyzF6++/fubcx/JKW
H7L8GDc+dP6qYdj1sopV9Z/EskInEpXPbqQB3cN8Yyp4+H4nOfwb6/8GMf/Brs4rQIwT/GOjnFvm
JrF99wqm1DGa1RySoz1D9gLi00NLUL4Rm9cGOlfCZjNuD5mVpcnF0MZrjZrVx9dJPRiPnq6MawzB
7Cr/+lX9m4+FSSwMP7bt+Nrd7UV/96JqS8Xo/CI51hpbv27m6b+bM8pD2ZFRN8iwip2PqlY2R9qY
tK9//ds3Z9fPnwm/nlZsihgYBf8sK9aLW6h6XPlMFnrCAEB1Cx7CHuB6zheSLjagT2vyrMfCjbWT
sW2/v7VRj2BDzBvhLKjdgU6DQHocthN02yFSfv0AcU31Vsb6H17wn79EQG0GAASm0DCifv68Rj/J
NAsL7rGORyakcJZUv+HhsDtLqGB0grQVGcm5794qUSz33YBW8dGmnDWzvK/q7j8QA4xN8/k+BYHG
yx5IWOAKSMjwGP7xG9RsYLaKfQPjT6a/wQc/bECSeu6ReHpGP9vxdzLp3xIwk07tyPmingCcHQzJ
Izns+3Y7g/HJ/vVHZf27F7al1x3HY4aFbPzjC3NBbslKdumxdQjVsdXk7KXoVp6kO7Mrsvr6geCy
J05Ls5FYZoTj4jwKc7xXYvR7QL/AyUiccVomccH52Rg4xn4UNiZiZfueJVhWypjiYnw+aD0wwriz
tSpGLSlcOaurBWHw/duhFAfyfK/WTQWoF3LBabxBzBhBz7fbPu4t28qj6rVneEO7WcsJ6K8/DvNP
hgOqRHAaOFR2ICH+qYEyNbQuo8tcO1ipzRpoNivwME9tR5165tWz8FN2bnqj9lCbG2FqrlJe1pKp
9WH2HT6txILsHdqrtnWfCv4vHxb/O5P2TnYf8pBlbnyISeaoNBBkaftpwEZXIX4pSsOTkba4b43C
tKMg3pD5x37scSB4/3iz/zhn/qNzhlzxd9fFnxgS1x9KdPRWNMOPLlrr4wf/cNGiKCM+b/eMxUPL
NHDlfu+iFSAmdHoNf0rKfYAkgGkKuCybu4W1/o+knP0LdYgIxvwYzx5W2r+jQwuX3//dmrOluoRF
56EJA8bmcv65gBDfd9s7s2tergDZkvWQ9ckyEBUy9aBa+isNXuOurSBNBaNn512ASL6+op45BGky
49iPrXYZ89p3S6dV+wQCFbGJtb9qkvoI1VydvW5yI1H6zkWjau2BBiWyVnVCViPzNvBB5TyMnDnA
IVEJgJBMRMRouyaoNlSUA5SAI9xq7E0k2Trwx9gCvY2zjddN9tVOjkWWXjlw187M5JmTdvHdtHY3
c99E2xq7USyMY9djfPAw1VIw5ZwNQXhAFX6UJt27QqiNVN72YTXKPJRWvVzFMqE6Y9AjTlyMfpgl
d2Wv7dhaGXtUqPWAzZC1JzEPWm3XL/4y5ru+3RwMpdiVs7yRxSJ2rNbDmzQHtFC3QoqwgeBbFQQu
oyI5ziclOBN4/nHpVXbvQiuLKsNYEVFNbDHNsqXN2/EInOBGLr5OVKpYgSFlDNThUgdCby0Sv7aF
vkvWfsKqF4wAzc+cxq5Sg70f+9J7X6+m3UAJiV+pI5AJojulCfWCdBZ+jESPzFhnHc6x/KfLsz2M
TNDhD+wIfg/RQKg8KheVhNLWHJIK6kvVk0ubZ4JhtZFdtIzSQwvgRLO6ey3D6mFT8RFRcqIFGQ/f
oLOdox/754EcT+gVJlmvNdaeFwuBgSOlTQqcTLyl5nlvisQnIFQtJ5NdzCOtCBigDW+MAJCDqJ8N
m9YNjXPDrIuoxrIe2B7wLOVAn0BL2vlG/rmdW3HRaWTk65gyJtvqIgW8P7A41KSWolu749hSYsYs
8u6x6Z1nb14vc3NygwRqwF6rOdaClk0Pblu9rRQs5t0gDnkTS5Tvqd6RDtHOnen/JlBto2H07Yhr
YstiBM7EJeHJ5I5SC1I1CV4EDj9lWCQDcoexhqIv9cAY7BMgVePzIlaDaEh/MWvFl3UR824GzbfL
M+audo1ouq41OaeSawELdRe5SUvP1QoJQaTLHKJedlFhyE9aP5AZdOc4Iu09hj3VaQeyN2LXWL7Y
O1i/9rGVP0nyr1fwVqu95X1J/F6nZtHtQrt1tEd6t6D+Y2ISkVtm2X01Fl5ILbaO7JAuB3ph5CMe
cC8yXL+4XwlURn2/XmFvKvegOibojKmzXzn4RDY2wV09008ymJpOE4lcdzrm3B1PuzRUdmFG6WCR
SXJz52RwjA0JMY1HJjanwR7NC44mKtIQ5Z8UuZG98mIrMpE3Qifxp8ieqi7Q7YaNjp3rT/TX6MGg
GQ53brfuh7R1Q1+BY4E0UD8UmrXcxpymzgZyiB2wt0mZX2hFunNab8JBVDmhKusCH0tf7Hmp6tIl
e8kf1C5rCIeHpqBGXBRfMjIveNI5DY4dvl7FYz1yVz7PlknG0U3LHMCO/nWOUxpiJ/o5t2BAkDvD
g+5lJ/bEztmjRSAQ0r53wOPumPA0u5QOnGClUjcSAgK/2fm/grO4zxhpMR24LRWFWDpdo4cl036r
xLrsSwmEY3Avs4k/37v1ATTcpk/U9d5NNBmSDWyjZeONpZQqBobI3roG5kPioSKTdju6W6VsWTAq
nzw1hIbuLTsTW1kk645LKnHk1WK6e1WZb3630eoyPCgjjvaH2EyTsHL9nVo0IlJGDveh+23skejc
lboGW+ZkwkrYLfBUin1emuOuWBh0LEPRRgSMvCMkyJumND87Tn+ZJyI/9fb87E0U3rtAacJysRyq
jLL60ffHlzKWU9S27m8UeQBBiEmKTkn5aBrqwhWDvG4985w1hFHtpimZ61BVrcvbMgXZGVupF8Zd
91VKpRNDFRyCV9UchMCiH+P83nXTUF4yiZIHMUuPdC9wjjKvg95KP/uL5z8uYjk2ZW1crA55ptFc
uv3glWg8Hr+xXtdHxOLstodbkBs8hGYtnrErEQmjF7DcS2XbgV7ZD9s0LHKGLrtYuv5EYyAGqdHS
wM0o2kFSHi9p1TmvZTF/mmKlju7ivjfKZLyWlOlemcN0mOtZ2zM2QlypRv9mKCEdJy4pCiG2Fz5d
tR28vgFScFhRCpWvzQ6K+X7uMsyfpGdPRqq9KL/Ngw6qjwXbhbVQqZM3rlS8ZZkkLBA7R9bf7Jyi
gB8SjVWORh9itTQGwVE0QTutlr1PkJv28ECoAxGtcUjc/GUaM5t8qve4DP1FX3TMnrXkq6W17rms
y3iTmtZAtI6xp0bT2xmi0s9eyzitETzJV1bVPXUsTTR5C2GGL5A96+GJivqY7CuCG12Px5mZnmih
V5COmZ5h6VXuhpmgzZJGUK6+yrsBA+pPDPFSJh3cZCS17d46dmaTjbjFWhyZT5bi/EhSaFlkj4Pd
7htW74KkbDtlhFPM2L63BN4++dqMc73WZ2mNveuHebMB9DCrlpmWlgHOs1XKf4we/x2FAvEG49H/
77S6SbMfPVbffuD3bbWn/2Kjv+jsjl17M2Pg/Ph9W429wzNAFUCTsKiO/rBf/QGgMH7BcGGiURiu
wz82qtsf9g7vly1ZxonOgn/pGqDb/oa9w/jZ3eH6lMBDNCCaiUP6T3i2eNKSMa1t+wS9rI0jM1+L
+5TI65lg2xgC78ECif97zw5q3Rt0vJ49TIevPJjnJ7vGdyGcvH+B0dS/JFAZd999krffFIW/EtB4
dabO2+cFmjTP/qwz+NhdaeL0xSkfRfNmp4JQmJ7Wl7U9Izt0Wbkc/FZnN9E2eNb/+ncjj/1w4gAk
sTHrODdzKoKb8WG/+V6nAtyG80RlHRVR8aeqixnvTSrzrwofV2TktLZ7CbuhdviYHPdiFn72ZGC/
+Dyv9fruqp5JRbsu1jkpk35XOKo8DKVUxQ6iq3Pnsotawhkl/BRP1XBptFa7Z68sglWqrfihYp0G
T13dpOYCSNw1WCZ0D/EV1zuMcqVW0jQegNkusAaHPXXumK9klMlHM9EOUBVoOICfvMOhpO7xutYM
KkTNzHqwvGIPb8hP6aNKmZ1lQn/RSDbvYGA9qnmVJUOZjmew67T1tRToc1q6CbqyscbjgtoRFuS6
ghxhHpebO40dIBw2H21apxR+zcunOt9A1xp0jEt7ytn0yWV48aaYWECm47MNCGbPI3QiD7nbKpb9
lJYOVYZYxzVhTj1QILO736Yod3qfZUaUk3R6LRvdQS51dRl5TCN3kyKoth+tmYKtjFuJpgovwdTc
dQ7dAAwyHw3VpLt6cCd18j2/TDCs1sP9nCm2eYY1AQTLHEPfMxWOvaCOB1wuge0wXqXperUuIC4w
R0ySzJwC6sZUwKRb8LXmmjiyDzS1oBQo45Ntf3LzxaPsyKlvi1rOdFV1JpK5jS4kJPVIQaLPxh6Y
g9zLAdc05YnaYTU9WOapOe5pTCW3OY4Rd6p/ooOlul9h6hO0aFR+XnMvjzx7cN/AzrfHtdLXnV+2
w3HJaM7bDyi8QKFzkk4hj/yZjTyn1wNZBAOolTeffc+In+lARKSfUh5C9Kqmv4lJH2+MBmJCkNVu
9RtCEhB4eM0Wx6GsrjZQQpcFWCZtK3Bc6eQR994DdHSw7wpUg026Lq6c6cGQWOHboHPrZgxjHEdJ
mM8xMA+PgOJ7naN7kXeU+cHUm+kdt0FlQDqnii8NqOFlWAh3UGZvEChK+m1rJKabvpfxeVWrRYui
lY+ftmIGpCpgVm8rxFwVxr6aJXdFpw2/1rHKy0j6Qwd+AJt9thuUrLVdA23jiqKBesEn6Q7GTo0o
zg+L1SzLEe895kwtrreRey2rJJKK6oHP+GvwewJqIGKBJ6dmTDoV+pHYSMqjYKgvZTplbdSxN37r
G9TNTdLkUp/15oStpbgHpLgthoy/g2LN6pt8Ve61qegFJ8Xo89vk9t6WlOQNrY7GxIizjzfpUfQv
Q+bkJAizkVfPwWc9dg2pFBp6WyZ1NlhrAr4YhuyRSV46cSPveua8WqD0WX3Rc3aSV5Tz2vq1H2On
oQ6hbd7wTHD8Y2yPb3xbylEB+JwEI83dkH+EUbRhpJfDXJ/L3tKyJiwmawWQN8eUDNPLKISxvNlK
MUs7e2Om84+C4gNEDJCP7JCDxlin8VOdzGXWEwey6zdKQisuHUlvfCNX57rrDV4xI6BG20+g6PIt
gNhSSWyWN1isKDZwmsykzcLIZ6aQCTJ703BjZWzTb6RdgrnDvtfYkYfBgbp5d6BBbhzS6rKiHQSg
KK+Aa5cY7AlbiDdei474Jjq+Hauo7qX7mXHbRHwmk5R1lskKDKbBFasHjE49iRrjTq8NnLrr1FnA
DJA4aYLY08UpYf65K6a++dIbwxNhJec0Mky2t9DHdKec0iojrRDxePBwVgDI8LKKWXuD8iPsPN4b
xDeuUmuMGZ9qxL9T9vOPJi4Gh62gsn+lPctBE7aMdN9MMDbNhlBiadjzpaBe44IceXqp3FX2AXvL
8jR3XmuDfJHGhQUd9OQzgSVN2sfkA3jO0KNu+Usk/A6ys9FVrgkxrYe+ge+RUr1lcOvlUE8WdZiU
KeUyYh1PQjuxBV11LPh9ZfUvH8/Rf3TZ/6TLCvuv27huKKdt6h/s+d9+5A97PvxeRHufgQ8cMpRP
tNU/FFlToNZagJuBHnAVbgiFP7aOzi84QXx+zv1X0vEPRZZdJbclnn12M0wFdP/vbB3Zbv64P0Jm
tUBysznTTZ7T7HD579/N8YpercWk/Ow2L1hY/BAVE6lAJoVz48etEHfC6egdhz1UI+7EPtvjgLOY
Exbx2EzzNXIYWRwX/GdA80IxWPeph/lzfrFRLgo9dLB0Ye2siyP3qz7dDmWnv1d6S9AkcHvQv6E0
Ug/kijIa3BoNJytvPDS+IACVdvm5ymvjq0XDAuApxntftI2dPZMNPruF6IKmSRh4DOCkgEvGh2Sl
g9byS52yxIznGCcxpQIe4lURrGVL7G+1hPbk6toXb3agp2/wKmJsLojTMTtlJAPwvIns5I62+jxt
yyvbOQRQWTvpvaQIE2pjMy+3IK1iH5ztVMmd1fKO2cWtAys5ifKIRo/0oiN+RbViEpK2cb5kRAqe
erSd/No2sQHicHZvMqkDu1qg62ZAYHCiDLRz0NLizz4dlzo+Q/gIA40mfBPLp3hpavgI/qgA6sfJ
A1J77AdocBD8F17+KXPi9GKdZmwSbLbsgyNm/ZTU1rjzSUaQxsLJYOxdPApsCqE0vyySp2+SdJQg
eO5YnbW+xgSu2YAyOeGv3o1H87TiEL/1s+ZrxuLjzinouZzlSAI9cpdXNo8ddCbJlRWabArmiKb2
OaLi0OKxxggOVHT61ZWIhGmSFcc+E2o/JZYT2VuqjJ2de9et7E5pvCmSyFyG5q5wENhhkQLIqTrj
TrP9aVePFW0SwkUSktJ23idA1BG6u7pm1rAixS9NlXKUX9gm7btaay9hsOIl0mulu+0ZWM3ktcRK
8JmjDmDpQMTg0NTeiqJLm9NaZ4YIdAtTWR2kHgIddrCeVoy4QHsO2Ad4HpRUiCEiqjj6W3eqT/iu
VmN0H6imyPDwarPfPpdydMGeNVBvl9SHBSj1zYqNjL3FzsykBwGBwutfArpK36uOtlqGcm7hBqW3
0Mw4giHosUvOzXWvednlWA/phRPX05tZpQ5Nyf3E9IMujOU0Jws1C4httUS7dfT0uKCFNfjCRGkE
g7EMEJyBbg1HXVbuvk6y7BYiFOpw2o1k9BowBNzZsYclymqXbIhkvjGo2phZ7+UKlaSLTE0Ar0r5
NqN23JDQeq3JNcgJ7iS3To0RMpR4hdyrea2m67K39YPEPsaww0qAfRhCI+npUtFWam52rSGgjfsx
jssUs4juYKcovemTCS/kMCBRgvHS+/t1HvL1jmPDr9rq19xT0L7nkHnQYl8PjdWzV+7Satgnamk+
zbSLi8DDPfW4rp6J9Ba3sj7wLzE6ky8ahiMr0fIAxG5uTqaNRBayRTWdQ6mn5gRDDhO11bTyK/zR
J1vRx2Fldr8+jIU5tsepSA0yjvEyR16r8bzue/1qhZx8J5iF10Es/Lza5Qmrma3oaiiWLj+ss+Wd
c422XaCi2jxfzsbEOY7B9Rrxm4AOeHG/K40kpqOI76rZJ+2aR+YqrDsNOAOMPJWWkePn5gXRPX9n
eTnGCi3brM8inY1HoBkZ5vvS5HsuRJJ/kZ2bvxGF1Z4sWY6vnOxHyaFRCO41MY/EL1cLt7CjDSfG
TZjh8T/1O7jOibzgDwhsTtpmCkXPaBe8iR7GjbPA+Uc8aSEB3KLPLyWnJmYgoI7R62kFd2QCyZpt
7FHrJCpzDA4FdhQmevzvTd0qCMRQTB6NJbGeMee/4MwACf7Nge3Xunl0vMm9c2yOhsmAt24wU6h+
PmdDnOrYNKGq0UYPMGu+r+NeXJeVSXteJWlXvJpk01xhk3Lyg9c11qfuf9k7jyXHkWzbfhHKHA49
JQCq0DojJrBUAa2VA1//FpiV91b3s75WNe+eVJulRSaDBN2P2HvtQX2JlUI4OdgpsgA9jQo23ZMY
SJYBrDzelE1JlPii94/kcGSdD8pXxQ+6Il6GCbpZLOtyLA1ncJCimkDfojMix9m9Nd1c3/+3nvpb
jisMSExo/vMg7v5nVW0s9q9V+q977l8/+NtvZQJwxcnk2C4WRiIJ/jKQ22Z1SLphPlxmbtu46XdV
JamqyKhkjoe3cYNL/O9AzvsDcQ4OLt3VCQjcRmj/YCAnLwTRv2prXGejVzi6kCbDQfvfIyMLKvC1
bATbNafKl4DahkfcKja0fQTQeVP764YP4Lkr9/Ngt94OCWl3IiaNOcbaYoj0k0JoHnvYobCChA2k
tsPbPdIgf2+mIbqbbSzO5aKLwExRU+9WcsJ0Ltu+R7e3mMFqFyxANaNnCsLWBA2wTCKkuIgP14NG
dvErPgVu2c1wzZxShI62ri+R1NBPmzirwu7i0ubuakk037zb4uLj1tVm6b64u/OL07u+uL4pknKy
aNgMjkl1TJ01/QkpIv4+rxjGFT/zxVrqbAxAC5nXycVbrl985gimoOOMm/283ozoKNyKq2kzp6d1
MtxMM4Z1fbOuRyLCxV5vhnYqPdY+TpxNvrUZ3tVmfdc2E3xRliQ0kXqG/3kzybsdbzMMQlSpeK7F
ubKhFlabsV5uFnvp8c6bm+1+Xr3yftis+MNmyhebPT/bjPrJxbMP7qg6Y/3jrt4s/fmcOHvJ2HPw
WVzcVI4ei3Bx7DnZdcBKM79CEs6Ab7ge4QX0Vjw86dD53AOjUHgCEhMOATwbZqDqRuNVFbncAxF0
D1gaMngEaxTdINoDT2qI3C9rfNeWNfWP0HncLLQvEUFbWBA3YxWapf7oTPflFifUz0TJU/jcmyNQ
vq02MDaN4Piub1FEmCvU3dRnlu+RVaT17uBbl/iihCAjY4s0QuEYkTCWVQ8ApcwbCH9vxCzaAdrM
PMApv+yrLSBpGYlKsjWrPM5gnUStD34OMusxGolWGreQpQi70YlmH+YJ843SZLGWjKIOoktEk7el
NWVeZO2BCuWfSLu+65Gn7bmvCHlKBvKeeMjpZAEIgVMjDQozCix0yMDA6KXJ+tl6qHnafLbEV1A7
k125JUuR+PhlxYi4W7fEqYTZ+87aUqjmnkIpHkG66iPZdgVOsy+0WPGp2RKsrKJpbhYEaWcHdwbw
KJKuOq4Fv7ikX00tz80lEktt6VgNQ5/dSEJgkF3Cs5gu08vT6z8uW7bWFKcmOVu2WS6kbrlRodI9
A9R5G0nqq0k6VzZfsrrmX8ldi0ao5pOUuTU/WVyrQJUtdPX6q07uQxYKK0uv7E44D7guouRNmSu5
V6OeFca+8moG6AVeKf79Kb0FxiwZ9DeY/wsSMSe/Yz0JF1evNesLwNAqO82bvXpX1CspqArTjlkd
OuTU09OUpuYMROYyEIwv08HcEFP2nudDt1bBOuWVA+vK6qW/NLa3BlPPiDjgMYvj91JPY7RliU4Z
nGt1SYIVmhIRqmXVaer0VG0L3nlxYK6x23ZDQr+GPD4ug2u+j3U1D9+d3NNzm5hFKB7TrhiH+syc
zsDaUEV0lfzHJks+I7RMo0AXhGM+V/loU2O2NL2+HDrJ5kODSPffm/rv3NRoavX/c2X2VI//wRv9
54/+vqvdPyz+KodcLKFzi7O8+r07M/5g9mDh3zMd9jPbn/x5UxvWHwjRkIhhWrZNyXLtf29qSR6S
Cw+SXCNu7I309A9uahhQ/zr/MFnRCUswSYFvCo9B/Nv8YwQCVHVZWh/V5DDG9cBgz35Vpd4hwdG/
tyvyQBhbZu6DlxqoqGVapbd8d+tggp/oBojOMK9FqfFm98lyD3ymepp6O/qAsa7uG0TIDeaJ1To2
3aYqhg5uXaUaCXUQnuhqZkWzGwyagu6aGI5nXDNLgGfDdzZnLWEZ8Nvaog1bL2UuSDTEzOKfElzx
jcyqz74ccW853mLuc6037xJGr/d5Epm+VqtJC0WrGWe6FxYBfARVFmhGIhP2hD3ygHohwALic+MP
kiZoLA2De9A1Tp7CXBGqop3eBQWxF5BHOPzkX9HZHpkVO61oJCGFzUAL/8Sxi+WX8ZV1gd35OdP7
HJTdbB1TgSIwxA1TfqZ84EdiNEl0riyclvqaRj9W22ohZ+LHeWtWbBl+xCt7MwE4vlWzyB/h9iFQ
IW36bh6j6rlhHXY3AKharuDoxVZg4mtgXpJwbnP1F3pEx9ly/K1J4z6onNfV2g1vZKZHUbl192gn
zEw5D2u6Nh967Lr3UYG8eMe6TOhBhHyRYUsx13vHLSFnrc5JNWVzl+utd28RYZBcZwBMjz3v335i
GXDN6dse1iTZfCUewLtkS+sk46J+wtTlPmi4224RNpEWvbgW4Hy0VmXU4aNk13nCu2OcNYKXTqwQ
67u8a9Hwrtwcoe1kOu0XtyY2i9EMUgZ4/XHVyoHfmVQho0rbb/Natu8dQ+E3Kk3adG9FAbfNgfsf
ula6IWwDYEocu96DYtiAIsH0nmSXxg8KK38ceqqjwrTAQ1OU9uh5abdwDrEk/OriECNuVfeum8Zw
4v24CHpzlVXpMXLaYT3BqZLLIY1G7Vrigpn9mW0XTkksKpiSKN+GU2Jxp+3iuRkfWYdZ+XViKGxz
rqYbO72z7ZeKOvUm+WUQYcaEW4QUnM06Yl98JDHwaoSF2p8Wk4vfZLl4T9rNhqJdHClQpHGn5Ben
ivnLtoL61d3H3cXOQiqtNpyHi8+luHheZNPjdrH4X7erNluME8Xa0zKTryXz6MYpy+kq3Ww0CX6a
aDPWFBePTfbLcCN/2W/iUjgkMG22HMtg65euOHfEZtqJNvuO2Iw8gyGKE/kw82s6yDTQvKS+Yanb
It4cHrPNDISGUbJByKTusphM5lcquxiBzGYiqjY7Ud0hAqE4NsqGtTGGo3SzHoH+jPfaQMz6D6vi
NRwXkeJTmkY5Bsug1JVGLs+JGB4rWLzqsV7d6yHrI/bveo+StVbnOc3G0IG6GJoDQyz2UwemH9oP
BJVhixzKJ1vloFyUV0vKiIHuwbnF1fyEmx40fjxvW0nrVe82ltnIgHVdxvqO6NVH3TDkbupWPrYe
a1lsIlOcCqJ6XbT8e5wrPtVndSWqpv+ZLc6tWGX0Dqp5RnzTFk+VPbl32VT3Pvhndq7k19wT3Wbs
202rP6cIBE17vU1bdzkUJtV3kvTFftFzrKoaP6Xn8PXSrqsbHGrrex05lo9T8m5tupthziN2acnk
Q2XvDm3EPDuzNXHTddF8Z/eFy2Ci/sbSpT0wDHTDNFqiPbJsqvnI6v1aJ5NirdEDFtOkbYld+tVS
YMkcnfhj23sFsc4cN3fwIQLwrXfFUHdvkO3noyjj4QWa6sCDMWuHuFOfY2cXhwWzYzh0WJgmXUYf
Rm5p5Q5ln3ligVhmWPWkOI02KyWkvKZ1VcF72JNcTNXXxPibG6JGzy4RZb7SNOdhbBIP/RRXU1YS
Lz1YZslTYa/O7dK3MEBxvKRZ6Lbp8MgoPXr1WrKmDauMEMaOCSkIbvutqvOaUblK8y8NNj42XxMJ
aql09yV27EO9TlA65ki8eV2shcMEHKSeq/W2YvSG8mwm9NIo3QeDP7hB6a3doYF6dbAoCF/38M/G
PYtESjVd7UY15PrZUll87eWl6+3iChtMMaSj4+fSqNGGMMgJzBmJhAWp3p+kbtwaxBPQ7CaKmSdj
14PD/BIBrZOftS5mf9zEzPu1UXsdGtG/8cRVbZCOc3MljG4TRNYPah3ErZHlVeAC/kfRwWNggt9T
sveVnmytYbdF2Joacz8n+2n0ZvlzLDtsD3i9MbgPEQrPDgvRuXK4sf1saQHAMsR6qUGTPiZeTtIW
8KGw8Vr3uo3kh+aNn2laxV+YWUB6Xyrh96b1UpmWhqm0hylm5ESQg+Pjq9RGL3FnHpSRfUT2+N2V
rXUgD24ARQErkAn1l2VavGAo0FI6Tve1LcHpT4Y4QR1El6LL5mdMuhEECY0cXAx9x4nc2tqXCH9D
0mn0+wIjYMggOX+odPu2itmHw24cw3KQ5DRJthYoIJNubsJeL9fbTaKPKr//Qczf81IHlFLUFwj1
YK4ZE9ZIQAgB+cQE03jb4QrJbytmWtcfTFaeilsuTKoo/Srz/FmTdh2QGy4+YCVhM0ld52end4/j
pH+ScoGoOcUdqjnvFUb0oLWIsVa5cM7eEq3XjRhNchEJi4jXhqi98QzUOOLsbJoQABPj1ngirlAt
5cmYGsi76P8yW39J5yW/Lnjmd9CC9b3e9d5BZgNaF5EduqlozvWgnsw16ff6mlS7YtqSPrL1B45q
0x+MsX5iIk8Icr/yXkelsaBUJ6OMfPcBT3lf7kkVI7JYc79HwBWxc0fvorWMOzZLWBNd66HVB54r
63spS50109iHDTF4VyS8XaJ5fzrlDNxQhz3DOiIgG64BO9PPR7eBwtebjRmmBGrjirCTAxWL80gW
dBywh872DH3Vnayc6L4jRqvjQyctEvaBuE2W3vTxJPGI6m7MPkKhvtUz/dZoshcQnfZjpJLxgDDR
GneOrOrHMRnhb/akm5FZZtlxjfJfudda29uQ6NbXAdbDVmy2enXH/j72zdm7Qp/wydYCGWRZ7BJN
3EVzf7cWtKbJwHoA0W3WlB9dAdN57dXz3I/3jT7cDVp1Q7WGvtpeCUEYsHOTfEYa9YQHgBAaVgRu
QYCaxTyeLBbHtK4RJLnXdtnC9WVBIxdEGsADy/Veknb/Xyrd39JKbt0b7dZ/HtH+avz+fyvSnz/4
Z9vnsfc28e9ZpGxZFsajvyy+N6A/M1aDkYrp/KJl/R7R4jdCE+mh2vMQR26sf+6eS5yX/MN0twmt
bWBc3DrJf9L3XeSff3EiWeTm0j0KwXCWUTG95ua6+8ve2xPof6Oo1a4QxkwPrOjLcEUzfyqLNQ+d
ZuwD0DDy0ShsRCE1CjydQ/fk6i5VTV7Pzwt9G9sg1iN6O7j4gsRk7fDsVD5gDMJcwKSHuEsf48Yg
n2KY2BRtijwTYseY389AR1BxxwAfcsmABLyWz4KDmMZyC/Iwc9YrrVnIp6ECv940EggcgOxbc576
Z/bV1NgO9Mtl7IofQmMh7Bov7DQ+jYYoPqjCD4u3UGQSjnNoZ8usdkY2lo8pKqYzHhiSbhys4jsF
kp8s0ZVRVgF2f4H1eypjxT4LUeDZZFa5H/qR0wO2sA1vVYjbztakgh6wRMGk6I1YCLcGrYUAcr9i
4w4RP1JmWa11LTr3yKLtsRHkahnQVW9Ihr2qIlUGmUKFF7tsePKEQJm2daP9AB/D54GpQ7fSu11L
9OMuxXNOiE7n82GVV+tg5nvH0hxEAcSvRjU93Wg6zV7JmPm0qkgTYyBMZ5MX61NrcfPPS/JK2ypf
5tKyT8p0pvdKr8H/I1YLBBqy6LbpFuD4RZ2kHeN24o3E1VRFxvpUdUYOkC+da1f7Dq1MZ/6FClNb
GVr2GWV5RUaxj0MEEAjRhS1x9KwoH1ujcm+9GDgH0vaWwVWHVGs+lAz4jxJszsEpK4ox1s3OnSrR
MWrOILhFUq1Mhp279sZEXHdqXTt5B99TpxQLtXyli8UBxAGbjWZ+qy3s7zUsqwqs54Gd4qYVr/+U
jue/lOT8RT268uaXytyJqmHTnG/68+6XFt3r63STpncUqtn8gG6yPFRt7TrxneGs0zTvUZaKcT2Y
1M9bzXihsM9iBMmuTRc+OwD/Alq7/MVuF9YvlHv+i+w+pxhm2z2mAaDv+sZ/ByqjHuYLFH65AOIx
9QGLzzduPIoF5Fba2OPNxe+qvSYXyDzKKOq/wYY9D4AXDH3ltfQpccsqtZXRY1UkpGlwkmB4yCBi
vEa/kPbZInWfTGlxt06zPe3ZPwPAH9n1V/iiqorNB4T8emPlpyucEx+XyoKWb4PpGxtXP78g9sm3
Nj7aBO5+sRH4243Fb29UfoB5jW9fUP28AHbCot/CbiD5q43pn250f7vvqlfW2jRnzgX/b16iAFhf
gX/e8gGSLSnAbRxCA6x+CxCItywBsEAD3vQtYWC4hA1k1hY8oF8CkEQ/UCuRS4CGLD44iNUSfbLu
vGyKn6NLjsEl0qDd0g3+Own9W5NQk6r8/7oQX4avyV8VYEB9th/4rQC7UFgFMi/xe2D5ewCq69tF
KKSH1uEiAeMS+n0RMuaEiq9j+fifK/ACbRXC2G4rRqIb//4fjD4vO8i/7CiJuGEHCgBgm7+iNTM2
ZdhfbsCa0iupF8S1HlQ44nLduVmWPVJgQImlaZxIV9lwXjGUpd4ymSktC7V4SqbL0lbdsWvRNFD6
KfZk4MkubMVkWax7LLC9MDgqFcJPEnM4MCbI7KVNyiGH3QJpxh+9yfXMl4QwrbI54gED7R6jQGeI
UkTanVeayJE4lSjUfQlOyeVmI+F2PM7Mk9V0ih32ONEpcpSWnT3HBbnfTLzJT1pVO+TkmHAjwzib
MbHxXpoGSibKS8E/C7qqETZ4axmjd8fpBo+lNGElAnu9jcoyObSOXGFss294rkrQzyuakyO/VB0U
66h9m5MyfQbj2oFDKZPsQdWoUlTXnlZq4H1SR+NXTxdELfaQ0UjK6ADpC6xtXj0xivA9tVJpnzOa
LIujBvEd0tQZFXd7BTu2rPTN/KdukziftBMGvw2Kxvm4PGmLPq4iALKYMUlhRiqdg0Q6Nh6mSNRD
e9RFHOnwq8t8anP1aBci7W4aJFIVn0JpSVlOp/+eCH/rRKDU5Wv5n0vk55/qa/8vR8Kvn/hdGxt/
UICCdtU9kqt+pVX8FoUK+w8bGKzDOI8yGGnD/xwJ4GJNz+aPIK6Ygq8sp8WfxbG0/gDFgtkFzOyf
5v5/cDIgWvu3rQhwVAvSjedINjeX4+FfzwZaSm0iWlKcZrSTb5NmOru+WL67Sha3K0CKMNFwlauy
zh+d2b0BBYK6f8rap6bGdC+6/jwiSSRmyllZZI/aaYkMOzpMdZbcj1WrfR0d0iM9uxbt0XQjh17P
Qht3T2z8YjyYZprLkkS8QndOq9658hYCvqhfevhehAxSDtUGsQUDe1u3YTkKcBl5EUHuuTcNpbmL
IuIjgCjFgjlIA5CwfSlcAHTgQ2AW6mfssDYhWDLyhtBJhNnvk8KUDXmIcVowMiASSoidAhpFLVJm
q3526kW+mkvco3Nda71Gq2lGioW+dBbrxK7dIrIxX1Ine44WTWOFqTt8D4MElsrXrIrcH7GdxTB3
JbsDqPDgpCcgSPCfBOT2jkysgZfQH3JVyytwwevmkfYI/sx0hj4zmqR+P2E8mcK1xqMSuHV2LOO6
eVdVOhDLWxkDAYzKxe7rWu/LxBoZvlJCElf6FOPI4MMas5uWHv+Yyfk1q1PIBsOc7fTSg2owx1hc
2jJO3lKVsp1ZEMM6rrqpze4qmcfxrY/LCgNzf2+UCvloNXkskGL7+6CiedeN8zvkMSbo2CNyZZxi
lb+qCcDCgnv37LrmtxgDbWhE+fgElhsAOKuMAysEaIlVvWFT5kPvoKlwZXWQnvc4rekrApZPuMzD
1drXRMLm8e2Kwt8vx+G9LvtzOdXVMR9wcaDGDJAfyl3PZvqqod8AA7jeJzFREbnMXxs4ecHIYCTM
y+mnnVY2uQ9rdD97tY3MFueFN+LW6uEP5AwgDuZkMk8mGFEicwmmaVJ+DLeYWQcy/mgsuht3mGXI
vSJOTp2mRLqu1m7U4sRfN4lyOsrpUCLk/OYmrTortnZh01oaveBiYvCMf2Kvqe8sjTD4IVVPaDmL
A91PynSqSY9VviGOUy4pLC5wjEjU2A80qCfOhWTfQcbaE/7GYCfRvMNkzz9rCwYbux7UFZwdO1RC
KeGiKv1WG9vU1KrKEMIRakhR9pD8DQI5K0Jr4cGANRBTQYxnD3hXqmfdqsSuK/JXrYhOMAEANPcN
atZBe7MWNDVGrrJz0lqYYBoz/dxicD5Ik6RLGSi+ZxMN+NTCSGBdlF/j7B+vbHvgG4+9tw0MMAaf
9WDjep/AYlv48l2BYSebGP8spdJIlBTjI0vG2XkqzJz6Wciy2rVRl24ebHvPTNgNIwf/Ge3EmD33
djn4AyCw+JBmtTxXY9whVzQG/jUeLABPEcqCsWgNX0TTdJ/NuY4ikMci9iYksoTuLj/ahkM1jB1z
OeNpqY44oZfZOww8WgToLrZQfsur3Rx58/CpQ+tNWWpFrIbVOCafVPSwhN3Za9lXiLaZb6Vr9e9U
TDN8tsQk6EGfSnGVVF55mFM0yEmryYOQ9CFtjv50yewDhFlOCUVsSS0Yq1uMz1HkrnCMm9YII28t
DowUYbi66xeFU/WVCHt1W2Qaea/5m1xTsauKvAbYwbJLa83bTMg8ILgiI90j/RH1bheksklfyy7D
U4LrMb2R9KUIxsbVCFYYIffseF/aAvX9Dpwcez+zqM+6N+wNx5iuSZxrHk3D055ys3eQIlspYxDy
p9fSI71ojBO+xlQyMowgtu7Zi4gbG8E6NJCBxcgwDGiDk5qUsxQHI9GKh2771mK5sR8g3hr7qAUo
q7VFQrzphLce+1e69MdZR6RL4u+63SUrJL3Irh5wvrxXY20dKRK9753sHxxlJjP6OIyNhjt8sZes
xKFIBy6N6YTA1g1ytqb48PRm+IxQGYWZNmhXyJiSvTuNelCJFfBMrbA7xe5WXumcB+5ym85ufrdq
YrpZUg+nwDISOFApuVM9fevkyDEcTAnvwzPVTszS9b0sG3eN3h0WLe44g4cbb+TUWg3oCZ5kWyBA
LZ4Q7VpAPPAjxPr8OLogHHKXrXltYlTgd/OOrVIHbWmBtYopYvmkBIt2r/y+NPUUCtxz/qhrpOpi
hWfdUxdIC1zZP3tpBjPFRXPI+MgL+qE9IbmDMaY1n6p1XsrUqcPVm8e96BsIFQthjprJ0CWpFBiA
sVRnLW9/bFEgTGTHK52AccAR22JGOtWdpDK5RvdTh5VYsv2cDoK6F+6KZjnerm0wrpI2R9hPjOIO
ATRxeTnueVnmnHet/bGuLBgq19HDJB8+ZJ3nV1YTIcsiCG8XGZi7SHnSr3kG+gNOgcSf8/wTf5a3
V836ETdbAs7K6gkxshXdRDUMPDyzHP0wkb9Ro8+wSobuPspl5CesO29n05243JFColjGHGZ9spT5
aQ5psS8sCoZJmW8lnkHCGPv2tXD5q9bOBC7Aduqzg2jMNDzLA5NDFLvKnNzDtc8ePFk3J+HK9XrK
B94GJ/8Yy4jifOLbxSk1vbmwyXxzMJ7SlBycKWYEkCmXc91Oi2+4VyUO26U+jQCJ9tnkLH6FVn3f
Z2t5LXUJRWdZTX8ylm99Ei27ibnobvZ4DTMoWMAwrfvaC7ne5wb+D25T9KFwOEZF8Eze8PKnIc/e
+drnA3vPyn1uHYufNQQTjjE6kZ04+1rhxQ8jWIN7a4iydxgpT5Ztz35dxLemrPujMboxAIYka4AY
RLzRyB/MFxb5JGAg/caH5obmGtkSkaoTb8GI9Cpry7QmtSc0InEt2U+rii00n/NO0kHdTfqKGwF1
3tFRlvsx5714x/b4PWui4W4VhkYO6JRMx6wZjDurtCd0IpmqOFkbRqhQg3wPNC6SD8viiRDlI8Rl
6xH6ZC98Tk2NEkM20qddLT77znDN7Ysa85mSD7eBSDv70DS6xVemQqVypL0kkRLysx0gUX9q0mX0
mcZd08tnX0j9FN/IZjwXM4DPIKuhkrSx8QN0hMWmOpXfdULAYefg7MoBjo7q1Mx119LzJShdlbWo
76Jwi6Cpx/5pnWkRIw7PG8SHxQEo7f1qV1cRWxQnmLgO1FHX1ozH2Z6cH1HslH4ie+fOG6z0DZiT
eaOPqRV05VyEFsM/yMHNyr6zRXZRD0b92BkmrebCW3GrcunSSUe1BaK+GQGtdi7gHrQ1y13lpsUB
vHK2j5x52DOCoF3mdR0GRruHDLdjSQdcpG+cZvkbV9z4pZiVeMqzITqKzElPwpqpeKPWPrfVhH0q
1foI3IU9F6+xhCh0NWkLvuM16c4e6C70nAJPZMM47Ux43uQnpdLznTKrJrAndLNMzrqHAdPHm3DX
8YfVzNPR7Wt0nVk23Jlx0r3UhtXlfP/qbAgMdJ55aSFjpLpaX71uKOuM9qGfn2NG/QhaLHP0gtVr
DLhVRbNMYZrxfbhi4VCWIYpM+2WO3NX+EsNgR8foKm5WdzQ9vogdsBu4gYyQzdy0b20jT94nZ0Z8
DST4qVirRQ96MiFumJen71FpVXvouOXmCVIFophKBLi8Y3dnmrnm7vpyLt9EpKIH0mKYUJccr13p
PcEKgAADT/pbVVY1slUn29vDGl91FSVpUU3bMLmcymc9QVJsCEceZrfMr7Ma+jR59UlABkfhN9pa
oFLqGms/kxn6gF6s6wJrZS6eTYyNp0wnqKxayQWTWXUcHRXfy8aIlkfXybr6TsUkGgQezIfWZv4D
xYJioURFAMwcUKxEK/ODcjPdgnRyp53NJ9DAl5AdnDeu0/VoeBNCz+dLJE+hTA2EGkk1xdpUXWD0
CeeocglqBX5lHIfEtt4g8pdjQCIQZHyk0o3+DcF+FAgti+LrdNoyaHmEuyzEVD/jlyIGlfGwM3P6
DF19PQ0a4yL0tI+qBdxd4hw/rBZGvmlYYGXNXXPqeCaDcTDS6yYjay6So/NZ4oT5LqpNU9KlKDoO
qmye+9yL0ndmdJjd8IuziLcJR+zXdUtzdd2fDKvjo00sK7RmRFF+m3bOK8JZEaY2p3OIbj3f97Jf
vwoK66t5aaxdQX9cO4041Py151W2w0PTpM2XRJnl4zzr1nlt0tmX2M8CK9FRxepJaYRx3mObEcAp
RLt5tnOMVh1mrFvTbMuALBPzpaeKDBH3kKZY6VkYc9dRnLdLqGQ3hGPhnJBDTEFN4/7I+sDbd7mQ
Xy2sPUfo680uQl2G8BcAmoOw/pDGxhR0NZEtRlrafLx9Mn8rPG06EBB2Z6jE+4Hh827ilbAfEBLl
jFyOLYBtSqkxvs5padVO98w55Llp942nrLBFtUPk4Lqhx7I0CeeoJNig4BqPAI99sNYi68NzyqOW
gtrSYOX61WxDHgNH0vuEiyw42g1jX0cm6CPP0e4GY10emzkBGkSynoL5ir6tMjoqcK0IiZVPfjaN
bd5EUZpy0LYxlF6oD3nPwT82ZPMVSeGDwiC3nh0cl868PMBC8m4nFePTRg1wzO3UChFycWD2NaJj
od+7Lu7vvu9V7Y9N/BX6VRZUNXQpCrvWvc1xOwHZBD2tF5G5y5Cmv8c4gBl19jAzyzQp37Wmf28N
JvrJ5B5MS+mCdI/ph1BcrG4q1tNCHg/vH/rp3WQNJHQTMoPqCfkUxgbAJGvxlSjUJJz4tHayUl/I
BrlKYjdY1hYaQ/Glz1g4FhJRfTgOJNjslGGEmF+gPaVedM7S3vqa9yralbGwfWpm0uK0SmVF2IFM
GDF9tde1nVU8Lb1z0EXu+LIz0+sijvN75g9CBKOpRjecgLPc9gP1NlEbMmi38Y9y++bktW1BwCfD
XeSx4udc0aJlREweib0iL1Br5UM2sIHKm+77kKjh7JQwAwR8kjNzrSBJloblh800WGr5Gf3g9LDm
SUzQQfuNfo1SbKlSfPBrVp6qsZly4k775Q39DWSRab4xENS+Uko9p1rb+g60sqvERr3bqpXCsU5g
sqybEmXUuqCaxg9Pb29mfTF2ALxfK40jDyKNuW9sEjxmy3DfcNaVO0II0IAKd/LlGFnPa51bCEFz
eVUtyXWqVe9D45Dv3SdPnY0zmZN0Py9UR1XcwNWo5buR6AXyk8r80QMTZ2Db4Z3UylcFQuizaUoW
iHHl4oNj6kHxrRrCPVe7fCTqk61vHWd6MDRu9DGJEVGQmqaOAcUyP5JqsKIqcyMETwwg5r3Vmwur
W9Iw6HGUdchHw3usOLCGXWNYtc2vF2Hfhak/aHwTytAWeXdGKbKb1xTCyhJHAR9V49zkmdXcgfCi
sNbR78MPySE/klVQgLB3C70PiY1vbiVOpxP/hz/KK/dTxvLRzGoOD1j6Zxg++XmxuFxBsnyP8mZs
DwScQ4W2N9GOAzbWKtR5TR2yDIT+2nElwUgYSDCS2yywqVB9eGATHd1GC2WRKRFtLmZpUQnHveRI
sFU3zUc8qkdnaj8gzZ0xggsfPjfip1i7iTzkiWuBNyVrnXOjT8Me/q8TOrldnBuL8R/Rk71fUer7
VKbSj8yWsPnpgeSlH6JMeeKjxUIXWz205habXi7OqTJzSfLRkBzoXRggrqV2x/r+jQVufzVEGsS5
zk79uDAqoh+bOEzrUj8qmMpBZ439iVw6weRiqKFNA7mfI+9hJKDxmEVz6rOA+chjZJlyWIw9G1+Y
+4PxLbIm/Wl2rTywFdJUPxvr+afVO9MTZ5/c2TYJeY5ox3PXMozC1+3rkUbkUOdqzFkItg07kedH
z65uzKHATrwa5hjIdPaQfcZ6iSJHJPkZQgyqvLUmU2FpvvZ6Xb9DbTVAPOIF+44wgZ0JicXa1xpD
9p0jCu2YceF1O8NxFID7rGNJTYuERy9LAuAuqI/w7RvlsnyjzuKrFUO2hPfp3tWzEeHWTMbvWmp/
os5dCB0h5w6+pes9rArRgJU6c+U3qZhfXGWN91Im5nrb/T/2zmw5biNN27cyMeeYwJLYDuakdrKK
RRY3iTpB0KKMHUgktgSufh6U7BhL7V89/R93dITblk1iy+XL93sXHdSEgfllvQcFLTHE7xy5meeQ
9FpEdT5s2FRvJLR8tYaFK3fYziWcFyLjbGGigkKMzeCQRsPzFLsvVAjuUxPFKG6bqTswD+BaqxYi
Wxi8jgG2bbgf2U8xyT1rIn3uA6uN3ktNPhDZCwFqIxsmb8Eh3TiOiGCdE0HL7arphuRIDdHpHbaG
9Ro9gdcTdcL6s/LgNWT7OBr1AhKhex7BwqhpSrRJFYcbyruxJtYQaZd6VVI0R9gQAbZ8tR9ibIIG
cD8Ru7SeWBfe0EGHzhm6lvmMHN7yNgEB9J/6nLANpnEEaARATYerwkvX6SUek4wewm3k2O3HpkpP
s5SSJB8AHqx8+piKCdESmVIdoiLVLZUQq8wbiQD+F7RPmM3nfdYdZID7Ap5+DUVrIAJskIxiWEPw
0U9uLzvAJxMy2YpjWMCXMMLX4spNTuIMq6Y4orkPpjY9TvmgCd9lom1nIjtI7Wk5eGubLZoStJSb
wZG/I9WqtrQILuS94v2CIupWoijYuLLHMDCNmouOB/tTtjBWcLVZpGHKtR7apkamj2IheGxdxX7K
WlY/FLMxfDJE2t86eEn017i5OzUZ3adcGuYZu1riZWVghRxeW+fS4pz8GBoRxxeFHu1oGIn9G1bn
+W3XBgMiLQcwVNs9s5SmmkJ05gYVgV1tApfbhRNC6K5gx+pHUMGVo8I4O4PwLwYOoXKKY2bZk4vA
cHT50mWGXlrFGXlo7cMct1jweJO0t+i39LM5+/FtJlgq4TdMvxcol98iq6VQmz1Ch0A61DkJ0YSs
4ixtPvWeW+9Gg103rgWbGUNqw2En3Zpxm+2lATV7BTR6VJH2b4bR7LbYMOcnaSHGpbK3zFNNbOUL
DlcdJj4a535EAGLtKbyLnbQzLjJv5JmEpuBQJla8bYdZ7scWGqgjc0aJocbuLkD1+hn0lhgcrI6e
Teq7k6qbcdd3VP/AmT4ojUGkVYJuk5AztOT0MtaxbMu7vgu/GoNF/oZVRgcvcbuNgXbsLhyYGk5m
J9AfnRuyj4KHSnv6Zpzc4dYz/JnE6KjYCEyyGDQh1q1ep25bTL7usBTKTyQI/EY71doO0WTusmB6
j6cS/brARCQKMmBFKyrBytT0Sph7tPMxI9lK+r9bg4G+TwacmgcIQjdEnYHZ1Hk12QBt8yZxtLXx
kD1B+qmpZc1ZvaWFmPCaT+YDxhoeXl4WTMfAr8GBLRLcNpVrD8WjdpEOTgmbTeYuXGuiGfKT4cNV
cmnfgLHCkZrqZGfBYF+F9Xx285k/N6NL6+jpfsTLnvDR/DVs7c9OzGKNIG6b4pO9ASl5DyvlrcKY
hseIzHDTGoW5qXyj3tlWLg6jKFGHZo9zgJETSawIQXtzxhptvneSlLTurPlEwFH2gEz2EBk2uv6m
2w+4pX0xNG0Q2zE+OyYSZXOmQl5ixfboNJMVbOf3Msyay9g3FwQpxbQy64Ct3VoOgklh3Ac4GiHh
RXvUoPs/icH4EIbf313NKxTr/yqlDQbQE4rP3QgdNS71CYqNvlFF828zo/8bs9NFTPertvVrqmLk
az8I753vP/RH59pHmCfIGvboD1919zSO/1fNRzMbIV2INC/gbPKXznVIPOoiAjRNx/NsC8+iPzvX
SwaqgwmSScZ98D0D9V/oXPvWP9g9cnmqD34ld0Ez/KeslGAga6lGeXsIAiBlfGlrDIaWnC+gmwYz
Ywd6VvRlqgLCwMA3kxeTE95a4AN3JD6lPzs1/uuhoiPh+pEVbZXvBg/JkjSmlsyxusLsG7Pj4KaJ
uueICKpgPfXNu8k6qNIN4EL8QhZU9Wp38GRkORIyOKCx+3CjiqzEBPs7MWn3vTKbJajB5ozmSFaw
Fb298LXzauNbrn39gkSl1N9CrDX97DbFheJMPbBVOGcHsc6OJky3YO8NaOJGR2Dazo7ci3PfwZUh
Er02ng3hIvmHyz5sJYAU/DMAtLZMsYH3bUefLaUBD/Mk+FLkRYAXdjcEvBYMxg6WHuNTJi0Oibm3
MHLsxdojGEd3ZzV4reCY+5so5+oYY6EHR3sWG5d40c8qa6uta0ViY6A1JG7TGV/xK5seCSu14huB
8fy+lqV8oJ9l+hjToXOBy2O8dW1Bfxat90titskmTwmpwC8X/+tX2aLFojbS2J/MClkfquWIrKAo
jEkg8WfR2fcNukwy2ZCLPqsmEO897B/qrgK7PREL+OKhZT1r6k/ecm7xLohztJ7DHEes1TU/KCb2
Cv2gXDDFjnTmxSKTUMsWLdMCB7dUeA7B6WCHlOVs9wlA/NpQDRmFI72ao0WjbSEM8bcFwmysCjhS
equmr/jvpqTkZ1xnyv2TrIjctMMZiaDbcXbNcBZJ11fPmW4Qi5Y7iXEuuWbV0g3C+w+Ocvhq9QZa
eBUsqrdQCQtnapfHKPsh3Y9+DUFTdyEmNkvkn0S12e5Fh4xipXQ7H0MgS56ztCBrxRaErgw25xI2
y0sBjhXZsctnYhxp1nADo9WAfeKswNsth4iw2HEJyo2jIWejmZSDgyWxIWLDtubZ52hYoiPbLjKx
VJcD6SQxEO0HKj6MbVAb0RJF/YF9Uk1U974Az23WtVEN7bBCecW/oJjk12tvefhgxvZnRdAKb1CN
mj+ZG9+5EUu4pdYJn2Vuca1lazLWwpA8RNTb5kOAY/rpekXP7wl3GQzyQkn6Ymw2w2IWlo0E7Y7g
P8EaRjocDDHaw7xXyhLv5gTUuRaxro+eqeRbg5fUsKIXqQ5xmrnico3ezJ3FIoqAJdVukeQQXdrY
Kb8/dgoeayoRJZAS5X2iDJmM1+tdBnDF4kMxYT6NpZrLzeJ+zygzsCY5hwoneLzRW7IuW2/xeISY
0MxPSNTqfFcXyye1aV/yTrIFz+9IUDiGXovCStX8czgtETTfc2KNmvilvF5iXUPyGvb+WLBC+RmJ
LaI0rWmXNrL4HVCTEZl5xjKmrAWUj10jKPc1TRuciaxS9+tE5ppMmLwbN11ozweUWuOjORIVO2QT
GcSMNPDJukesWCQV7p+hCOWpC/o15xe8W13baIDNbPi7fYl8cT2pFl8104+OWTiFr3xMgFoH15TH
LJlguBaqlW8cOlrqrszWTwOjeJ8BdO+QFtlQemIXG8mu/ZoZKLdBPlxOFmGhnwKPtotvKwa2rfAB
WsHIN06eKQyejlajA0UHo691hwmos3HDivM+rwygSoeuT1M59L82MiOv16rqwNlCTEReaLdIcuM4
Ezeoa3m/k06iV+X7rCB9g5ecb5fjPRCu2IohtnHT7ZxxZTcRp4dSCXnjaDg1dREkCWnxU4y2SlaP
xYCBE8o7bCAxyUvsFyo60itGNX0TfuncRqpLDxmRDR+F68+vQdxrf2eyBJ4aUIVvTqPH5951pxvS
ocot/l70glPjhcgm9QrHsd2gegJaKEKSbieLboytjeJkaagbBTjGzgxQE1exOX/D2QxNL5n27REb
DX+JMPKho5Rz5LxNeQaWgbEv0ivbt276WeV3UAbdjUvqEpFjusNjIY1m/+TGDSIAVX5z3TBBTxYg
n0Li1SCG63RwLkbjkRRNUjpgsULcx8yvtU4FRW5zwd4K6bkJt2Lw9I6u/7CBTiXvRpj0eLX20UM1
KFaTyYcIY8j+keMJJe5o4aEXtpA8YA84J5lTQL5E0qlfsRtWT8UoHhJ3aB6nJaJpjFvrMYJZ+1T5
FKYFbdzgvkGxhidNITkPJebn2B71UUTB8xzb3qceWvu+1i6aUHes6pD5IXGwpRUUbvECOGgZwg6V
9kPbIofyaI+4W9Bik0TgGcQ2ajrzArWhBojHtqrIlLVqM0cRF0NlLLfYJNMUwrpj/BJJXRZrGgMu
oq2SXvthaooC+1pLFCSYk2UTaLN7Jo48eEttkCq2QnIM+kxwcjUNeTN4WHRzusu+aLb344i5/rmz
zS8LpHAnW7isRFtq6a19TJBPyKqyzSBC+2kKDXGcdGZdcsvrfsdcWH2Zwrhu3nVnFsMFt7uI6DiS
LG7iIgeDadRne5qjS5JYcKI8JHZYMFGPd7jpFNj1DL6nbvvWMe6V6rxta2P2Rne1/FZ0oz41i8yU
8APg37Qb3jDTizYxzl8PoQzde92PMSfBijiCFTYP8uwbUX5HLrFdbbCIMS4YGLsbX/Tjltflrwbh
6VvOiNWXtO9gPdXyJeqleZub6rVjS9yC5rqbNjPfLII9sjFrT8bkis/jyOGIOTcpwLHW2kYGpoxt
LBA3BHV/1/vqEPSAH7lvd7QokRmv/FpqcRqTTvCEAZFDicAYNpZ2D/4wGQSlM1RMTADKMagPdmF9
ijijr+LCAzCwa0E3o1sgO856FnRk1kJ0e4n2kLY6IS3kWDRkR3CqtnaooExSW+nGXYJYeA8Bfcyn
Wgk6bQpNIM+T4Kkza3INuuGuVoDQNHJfPLPheKg43lmOJnmyAk8Iu7J8gv80VPgcZMXOxrBwA1ET
fze5kNs4frt01QApHkqtSJeFBvBsKjUcp9ZZPMP5wQGp3x0r0EBebJu2m64ML05nDntZ9Qn/aAt5
RPvaPCZuCfSD5HHc4tuSJqtkrK3bHiPiC0wHc6Mi7wZxOLGjeTy9mG0RwTEr+9ekTz7TWgblc62A
gkIP8csAFQMMSNPZb1rn1pOlPmiTbr0Ik2Dn9R7fAcPpEQ/J0oSnEvi9R4JsnmB0D/MrX0vtEr+Y
9uyORQLJhV54sZdQPl5pRxmrQWr1hOLXJ9CnibIt2yGCyqxNN01Bxx4gfWVqZZHoRprNCmMsXLNg
eB5rMQlnZSZTf9RKAKzYtkaCznqKPQDBOWuf9eYja3rvdwSK4zbNPXc+JGFXfJW+3xxCFUbbYimt
EM0qxKQT2SsgVfW6KDMPZ4yG6J1qgCXTB/3dKC17ExHSukYnNJCu49tHMtaG89wG0nlhf8vvuqpw
EK7jbVU+ZF3qkFbuItYsdew90rRzCKQ1woX1kVEWVKP4LbdsM96B/wL2Dya1YO5Z+X3MJhsPhT6B
gLdbqI6hht4SgCxQBtxhlC9ZeScn/kwrhrb07IBiYXD4FuNf9jhHY4ZpVZzsmryfTm7ruuemShqy
DJvGwMjTBWWri+6orWbaB1WqHyy3a5+TsQRmbI4ymPWmCe3mvmzr9ivu6OZ+6Bp1i3wl2qs4eKVQ
G3c+xqKDr8Qlgy6PH+GQ53h96TIugHXm0dql4Txjny8Io4erUgESlrY3P/aOKX/TeVnEDB+7gPYL
03flVPQ/KgfpcA4BFPYUHIgHI5zmeyOZVUobNXX730AqnmU/VZhwqrQXkb0vDRa3m0h7+yZx/Mfa
Kj5JkrmTY1U0fnRyKvO9G0N5pxEbrdKAsXBD8Cf20HM25VuQ8QQg8RoMnRIRHZIKpeiYPtSAKzsX
jr5Csw/R4dO8ZEsLRwWx/xDbsnlg97vpvudQ/+Uk/zcpDIua4y9qD9IrsPcFPHIsT1gCPeaPjG4S
jaDbxtS1vlLiZnQ4ibppYj/Pk99+hMr6Z6mlLoT4ny4oHAy5bFScpqBUWCjmf5GXoNyd0Gq09aEq
cTuFnor7OQvze250uFjadf8VhzshzvEQ9M6NUvh44PBuGUl5BwuFFPRrYKPXVELdl2qwzqXhET2v
bCt8HRKi4YccS4aVmKuIsq306ODEphNyoBfd/GR7Btnzjc7VIe17ykzIAO+1O4zdE64mkKnnzsJ2
Zl150N+/zJwnEB4HmgNbHLkOtX68xJSzYjyXviPfxmJqPxgy1e/BPFRPTghqueqapd3r2abEJkdg
8xlzNjKWtdPkgGUZ0WXGeq3dhRiWY+Qf1wqnjpLHEbUkxF0llqdR2Af12/UsfM23//VHX9COHz+6
73oCpAZ6sAk489NHz6mQI6+l2eROy3mZtGzOBj1SvPi7EuT/HpJLMArWimgGwD4c++fRFShOcE3B
hei384llANMG6Srfh7kn3ts04GwdE2TqQcWCtf7rx1we48fHDEwnCGGKCJPWBdLgH4aaRBrj05uD
z5VJ+9kbx2CTkplJ/VioQ61xBqQN43MIMMaSY9uvL27hNfkPVxe2GYS25ZPu+vOzj5lrIEVV9aG1
oHqshjHuxR2G2PZzlbUcm4Xl8fCDmOpjB4MRUq+q+oX+E/vFgTa89Xy9oX97tf8Tr3bWN8G3+X+r
cj6949CEm0X9g1/7Hz/2p1oPv3YWSZiOfwjXEdn8Kc3Br30BFhnjNovdn0K9JTzTFtf1lal2zQb6
U7Lu4nzGKYcAIBs/UHT1/4pe78f1FO07wxtlKHI9JDk20+zHQY6xeYOzYg9feihwIWF/7S+qaHF4
wjqn/fKXF/Pwfe78B1SAhzqtuva///PHGXW9GJ71uM+bofB43J8W79jViwdoJy6JwdG/Inad3K0h
fM1TaIIQA1jy0NaI93DI1OH/49L4sJlBsIj9f57MqZFbuoM+dZlD0LIKtxuW+mn09Zbyz3p26Oag
9DAVkFsb4S76T6bzj/vk8uS+LYCoA5Jk+HA/X9520rhC1OxcitIAPAoMahQ42z1bT1ovl9ML3PPr
R7Z/XEL+uChDRUC39FhFfnrdlST8JJahfXHtimWD3O0bG4lKs/MRw7zKDpqWSEn1YO3u2UqSru8+
PLDRfWF4vIeG3I29BLXThxYXnGg7zyy6XmCz5EElMK3jICOYi+m82CgR28wGrJEMOetfPwdz4y8r
4ffHuALvtAesRVn64xANyNsGvkjsC4glY6UvAO6KBZMLWla5ImUF1DnuZL++Ks2Df7xqyPRALsKF
w59Wf4BEP9Ousi4Z6UrP3+PI/Sr53cw0XWSLlHhXSOsMQR1YeEpAoX99/X+cmD6FDkQfshgYNz/P
lSEMK9IPtHXxDE8/psuEgceiH+Khsc6/vtRPe831DTtWyMxaNjxaDz8tAtHkd5Vp9tZFpKF+NCAr
5LshRZwEed5pP4guEO+D6S2z0wRllv7IZDEyH5FuDoXx13fzdw/umILVEg0tMpCfRq0tjDpszMi8
9F3DJBE+XnonqATmQBYRodi/vtrfTRKfZY95yf98CssfR5clMzM1nMG+qJYWOGwscOIrctv7Zn1E
2QJwN4CREt3LKA+JBj8TY6gXLxns4WAkzvXR8Ab9GIPv4hFB4vGpy4dwa3X0apIElwZ+a8Yso6uv
x9sQ74Ni9+uH+Cm3/voBfZvvZ6Igxfwn+GmKZEUc9QGquEsUZfQxZqrxw3Xc6K6Ub0qVxhpHfNa9
iRdYwhjZxilWOut2CpuDnErKh5Tci2I/jzPkMisy249Amfrx1/f5N6vgIkulnqJuFDTSfnzXBiSH
wUMFc8ECkRdyfc2WBCC3zMh6bgr1z0b2soP+MIs9sB4K1ZD2sYv29ecrll1sZ2Y+tZcRZO9Ie8R9
Jwdj+YsDtN2bjn5Qjtd6kMIiKnusafFpGtGvPKXEWElOelP34RCp+ICtbbo3DSZB6tD+EcuYuL4i
rPvZvKw0CU/t4AOmWw7WRmQ+3tj0/XGGp4Hz69f4vcL+39JUBGzWHDpoSVrCxuX0537kHOShTyka
X0g+QLwgp1ltMt/I7hungIBUIXYYCUgYILbbLiEO63Qghn4XkpWRrQp+t7meQCDXdkbIqVl2/m64
JjokXttbQJUxdEYjcgGX0IwCgZjJaLzANoy7jenXNalm8RISQdcUGIeMDmZGtiRIsAUsYRKLGkwE
srr0S8xE0JbZyS6D+jxkYMGITJWJmMkujM/W5OfkjE3FVzNvrQ2yTOgvYISz5P6G5GNycRO97aak
2qQd+/ctPdeSDDInkw+k/ZGAAaWYNAyxBGO4PilLQGy+IV/7qsjGjRP5/lMYNom5ajKyZ4DTAEPg
18SETZCTA4jndXbwW2PAcQPjb7v8MGPkhoi37wVuGg3+KTcRp5OTHfeU23KIbgklDHF2HOhk+kD2
6mKMyLRXmdtVLpoVO0f1k8RSPvhxWcDoDUUSbYIM/4MYM89XmTNGfFAS4hBqhMBNmaCMpTQItz4G
Hdxd7brvqP8oE6qA1YYScGn3SnaBNp34MY7WRUJGLPSxoIUPt9Lgc/4JAmzeszNb0FkkjeneJKDE
uaaVeE7dnMgRIcMknq6BJjLVwQ2y5OQ85GH3NUAdSr/DTkyASKKfQqeM8dMTBNKFsJIazlajac6f
iUBOb220DaRgBZCYurrm+Edr0A/taAfBpf5Shq37uXaI8248mXwwUPS3uI+ypW0cVxuz5/Osk6jD
IjqWLnHh/rBmYJWmQ0Og0ho1HmFYq6DuPkQDxVjjfyCfDTdIcxx0Aropt1VVhOWzP5DRETIAiqn2
N6VfBouZDakSC98Oj6jI5v8te7RdeHEiNaxkhTPqhC8uwQuh/GwkAN/cbp5BJqHTUAY7gzzBfTFj
uo20iDdd4ah7NOOAYogVXLw35EqQP0MPeAKyiooXbbR8sSmirws7kS7Y4IdLy2zpnqUTo5LQF4vN
VFQNvwMyN/GYquXLetbMRwVeNdamqYLNGI4Mryqmc9/mA0t2KpBR+TQv1/PkifeIjskqTk3q1a6g
d5aVo/uuozl8BUZsP1oQHzwHSRkxBOuQL0qsM1QCTblhhgZEAjj8egwFuTkQnfpIWRe99vhiok0u
62Ne5fZzYy6tahRm4CrdwPrMcgaYWYiQADzL6viTGBvIdjWkFD7fO4mzv/QWA5eXo2x26lVXOPwX
gBDZGbodSwzn6uCEU2N4Cv1aP9qux6aOVbF+uK6R1HDBKXLZRK/NxagO2o8mXF7ltSfdYhRFVt1y
t7Q2aJ85DUGfNWWnjYFpOj0Qzsbf5gUs43uadDRYY0AdQpOs8/VsfG3Fow8Lt1fSQJ9y3HCKzMZc
2WZ77rQcN9NSPU42794ql74yU5Ir5cnQfqDA1/QV+Tv4WoAztLChF+SD+x4U7KJYobQfsmC3bcK4
ectyzI7XOm2nx2uhMOdNNd1CjvfebU19n7UFn7bhZrQdZB+0AWiNpb4DB61ZiIMJU9qrI/Pcopau
Twwjvh2QO8V73bDxtGA9ZP3pRzMzKcJrrIKhRuTyDfk4u/mUwwnZRnZIlU5QBG6TtYcasGkVd47M
nwqKcJKJVoqhgJiuBQ5kcBpSM+3174cfZ2laTxnxM5vCnQRqQ4SbBDRJ6NZ3I7b3xCy4gqxJAmH2
bDvcoLQ1qFZgVGOGn6MV/YbVNBevrlPIityM7jlOJpRB7DykAY2XQIztRxG2fCMZBRR3/GOIGF5t
8a5kbauXowr2xunemiAUsAw4Nx5f+ly1jn/D49RHVHneI8I6tKDkGnO3dPHUgbaidUa8T12Oy8PZ
REmHtFP0/GbkkPpB0Pnu7+QYGwmUw4gzoOURJbPqEwyqtwBe3AxZioBwiEr4qxWEOA6k/nOWB6gS
usZM9/jMMUauiFRSjrxT/Mp4/usikBcOhv0paVDrIk9JY5pA/ZqQGSa95fLlCF3gyiooOku+ZXCj
j3TM1IFyvzkQI8tXxfOVXCM2ct7DSAkaVmn0SniAftBT7L2juWO+mkRSbO0Urf0mdpnxSrXcyXUk
4qdsoRtKWQJcixp9+51IIuImbh9CghvHm6BePlDWCJYmu46aQ6mAP1PUchB4OY62GHp2FEV2sPiA
22NcPk0mSKeTZdA76PBjPJ1xDBGY+UIVAnZeOfZi4806HxaYjoULoUIy0Rs6hw/XJ2QnokZusauA
B6Ow/FkOvPNoyLcZdPl5iDmipizd5mrkSPvcN/whZGU+S7dUaTPpHMX3ivG6bU6zyYiShQFDJbiy
OFwZnio7MLAys8uN6ntOMstbU3LQIfEIFnmVarmdxOMp8jQS7xJBl7OuFv4UDUqm1Tzh1uA7s7ND
wgojwW1jlqM0Z3LZYgEbk1aReJow5HsGeKQfkzTynO1IOheBqy5sHjfsC/dRqxHmOD0TqDGGMt33
PxgrKcSbSoP/0qEVNzkGxPU2DIOxwHjC46eLPrGbJ8u0Ryr2KOdFz8vmgrHysvZpOzP2dWyxyFOK
xMuRHCI+wVslY2JeXsD3tWg5uA+ZzbqwLKwq9tlxrmMX0jTbmu6kOmg/nX7Dzjq6XMenQJayxz4a
35+qEfmd3wcMkcDsIXy4+XCbxBM5898HBPLD4Hfpo+JaA6Grg5ERJlUgVHuPCWp+vo4KT+cL1I0l
L/1NDHWtprLOOI4xdfJ2CRKliWRV0FyvbKY5N9Z+YwNCKJIp5lW6PNB3WBW2fbFWYuTfTRRCasN6
b50twSMw5KxnN8HJeGMVMTPLjxp2GJhoiL0kg6bPalZ7J7XuCVkh+yuB+L0yianpFxKHQrrI/MJG
ETgVU2deNsKLZfvuMt6SgzwQMIgNCMOR2JlIMBs6FoU6VkO0awx6q9uqX+426zummdNMXBczDv1Y
ToIjgeSohk8bHJXYhTqLfcUAYXq0RWdsMHoiXUdRC81PA7mg+tD1Q5XcW3Sc65uKZfSMQp+7cINu
4T+lMJ43phXN6rlze4qQ2MjDV3OU6b6SSLR2TJWReBbbf+oDXd7bjvs1MSJjnSNCORCSis5fsbKP
eZz9HiPvXvlwTFYOtiX5eqgdJrCGU5eRH7iQWlAQdUCeIRXK5L3m2cR7TiUftHYxxNkbfebszIrA
1VXc4FWbDLq8SaXM7hzRWtaaXbO84WSvDwtbBRdWKStk9U79e6gL6gXP1iyGFJlL4K2N4FvrtjNv
m2Xxv0WyCRAZQhI4l72oOcEUVXFj1DYoDChbj3c9xJqnOLP5PKqU/LUJLV6S4876AQRwxB8Bx2gH
NksBWYsap1xKuiYJ9GMe4/xbQDFe94vR2PWgnNNhOI5OyFQNk4ZWhqm4PVgpgE0o8scNRB7uVF83
kyhh3Z7xi8+/1dSY7C7QD7aQfgj7RW36GgURI+h6MIzNuJK3RZFJlryONa32NKwl8DTaZbAFT2kY
0zOToXW+cvMso2s/7BkbHgTCNJ8YTqSxeDb7J9IPRmsZs1rNSMSfB668vq6bYZazOEKbdbZX/zTo
AyzqMgqDU6lQxW4iKAPPoxbyDbPJkaQj1j0FIe3cFQyeNEIjZ9TuzluMhFbzjBR4zdkuOdgQyr+J
wTNbvBR6ZlxnwGx0c9IJjO8VRoPH8MKKK1FtiRvfh355w4FNd4eW8w3a517ta5w+d4WwsbAIWoiE
Zj5bz9i0ANm5IasSOA+vxM8Mtg3MADhJXPtVHl2+5wTEGuU/ZD2J0vGs5pjN6HvJ7BL94NF3xlSk
Ks1dnJd+sPWmzt5x5eQ5Ub1+0Yk3nxK0bC9QHPJNywxhdea0M+9gVi6KMK9EgToJaTyoaxYg5TS5
gI5y9MGGyPa1l477kYX9/A314oBrkG4pt0d6wdRV9tGSrXmyKMr2xRI3uHheKaReSwph01QZnve1
bm5dCFzn1CerMM689FMpu/jJo8bX674scGFbsg0JcZjOoSOjl4RQqa91M/GbMM0hBhFpIJGI8zUe
kQbbaC1OAnijqHDwvve7/t3h+WcdHhoLIJ6/6PB8a7v/+FsW+/ef/JPF7v+Xb3ueB75vuUTILFT1
P1ns9n95LsZrdD2uvRYbnOrPTo+JM5tpmX7g45ZIcwK8849OD86MVhh4Jix2wjVtAIl/pdPjBT+C
YVDrHQ/rR+H6hMexul5RxL/0zuNJwOLM4uSmLf3+WAcVpUxly/boTHgNFGLhK6P2tB7pl8PtjYsV
CRAI0xaCS54oXDSiqPd3qgvVE1gC+lGnoGwMugKnGvQ5zpUzA+mt2RHABZNGL6Qa2im+2vVZHy18
EgHvJoQm765E7mKDFZJm6S4UnSbiYB/kWJypCYubuAziF7zKieoYXBWtQy/7HI7jq3Xl/oionV5m
bExxzyogow6GuekWtlC88IZo1UEh0gubiA0dYtFsRORxTU164kfIu8DbDQ5SbVzSSGbtJtHZeFAw
5e7mcarw9oC/hPPtcMwWTlMk0VBCOk0e7LD1MKOflyeHattu6aakOMzCjvJ8F75TMk7lU5zgIgIZ
nlC3ln+NoNI6sj+9EIGAL08A7yoQE/5AUHOMhuyyGLYZmWSp6J5y2KMP2M84l+hK5CLmHFJXPfWL
5URgzJuwj8IVobpia7OsrzyYfrge8AqdFhKbqMNyZRu+D7PSQb+XywOwJGgA/DKrT+6Rtg5spxNB
rhsf29e1cEeU9USDi1MHYQtzogoBceDNHW703SEcq+5FtBP0H5nO1tYYbIWUfoIAp9rK5Xu4/WkO
7EMHTY4MEXfTL8y5POpeo2oyb8NRvUz5JEipMasvpA9Ot1YCGaicsLt28wlZVucS3RXHj62onAqG
Tl3cBVnZnIsrkS8sysRfybL27uO+9fClMaLF1mJ4i1RkX6amzrZu7OExPctv3ZUuWE2zt42alDUT
zt6tZl9RmeesnQCmYbFwDgsL4mBfwaOwnO4zybmI/zHJvUmudMXxSl3UVxojkabtF3NsSFnIBhox
pXSPWdw4T7knyDxyqx6+Utt4624oeWWjLNUd3PEv7Lb92ZA2RlGj+U1U5Rd/HMkRwayjuRkW3mWx
MDDx7bTaTamm4A3JSP88G4tL/hAVW6+JIHDOIB7lwbwSOyMPT+F1UY3jF8j8tbmxJo5m29ZoWuwJ
F3bozFfeun5Xbjl+DuZlWHik+cIolQ1I8lpbE34hEE5H13qb2/DNVD0pwsCOykcliao3Ba0RPtSr
PXp4GIkLjdWFzxpH8pvJ8YBUloXsqhbaq0taSXCPtyCgFSRhQto8+xCz5jzyG9CF4NJxbpv0GHjh
eKMtoFX2TJGw6cXtaN+1V+JtEGkVr3sl38orMVctHF1ltrtsYe0OC39XLUze6crpXdi9PTRfWHTJ
TX6l/tqzTQxfH1mYRQf9lB0hIWaERLXoKlaaULe71nWire+g2ufEa20b2SHt8xFRW9ILPglVTu6q
m4+V6RuHuGuTfR6wveM+ZOzciPI2NKdxV4kM6Is4xc8axcWmzJrxGKQ+qB4eiUsLlGIHF4pVrjL3
AiiNLY2Hxp7cxnIdDLlYZ03Z3GY5Yroa1tB+EG26HqwyvhsHQqvWfTbPdD9M98ZFYXEHW9d4HYlh
6Itjb5JeXRatBCyMawplwyl3mTx6k/5sQyTb1BTQN5oMj63Lf3UsXLO+swqnod0kDNJMGuysgcYJ
+/FvcvC+/2HvTJqrVtZ0/Vdu1Fw71KakQQ1qtbaXbcAYNjBRGAzqu8xU++vryWW4B8y+Js4dn0lV
cOxtSanUl1/zNkQq2b/xII7eR0GUwWwkM8kCFGG2S7cuxwTUCXKyVVmivYicuj+H0wkSFvKYcoTV
ExVk+0M2o64YywPdvLOm4W21pss3uigwjGnAH7IgxVUTObkBQo76gh4b/kIhFiabTDTOrnXt4RKG
ZEULK5HXeTV84mARh0lX40Wz9hNfKYobK/TjaRLG0FR/cRtOm33oh+rar5GQH1Pnbcpo5MKz0MGj
M9ptZRMVxyrE7QYU3oVC2mLjcMDuG2Q28b2wxgsMHexLewmxBIvL7FJM/owpFhIYQk/wjVsZHVQH
kXAInfg0N2FOo666S4yTRKjS8EiyjoYNyoHfBnpPRvopAuveEXsnZ6xom7s97R7cTTaMG/qdPXuv
pdMa1zTXKCP6y03WpaSDuF9sy6pDP2Et412AXvnVovvkMA39CTmffo+YlXoEPI5GZN1NjAcqOBEe
LfJ18LNLucafIwC6l2kg6ZZiPjqU02fklYe9Tcdsj/zHu9aR2WUkVXqBBrG3g2d+OzrJnVYNbje1
iybNMAZvIBbXB2kp3FiKu8FW1pspK17PrOtVMgcuX2N1i2jUephFidEGZPzA3ohRiUOwAqn0EUhr
QFMOOJbS4Xjnl/TjpoF1veuHPBVXNBZpuC3KTts9FCUU+N2zayM9nQXvMH8yfo5otaz2PktiimHk
EmLrw6RQg9vlsCRWQ4E2rI2zUeRcOhWW7yEoOyMbk74tyzYsMK1bSWVUWfmMM2h3baGGeRu00KFH
2A6sggWlu2CD6Hz/ym1dK9t1hVz/9pBj+7tu7fkqhOl7GvpGHfvFmvR2rMNZbBEpGBn3lBOhv2pY
AwCCF0tt49pQEzGj0hIPC8JM1BZDcQUFYfA2AYIjdwhO5Ve10cXELngfUpofFpSHHpGZtY4KIupr
tUT9ASF/5+AhHNRs6obwWtLzksi9Am3I7DR9jx0CMqSFIdF3NE1g4nhoDsgVv2x7hcw6wZqZNpxu
8JVbv/NOshuQxtGu7JDRdZchxnyqGO1DoDjbNtGSRcVWhWjDrCWF9qKcBmGLSI0D8hvAkqustC7h
5goSvwSZEEYFfvzKCSyht61e+/xQBnSc2yhm3Jh5A4pZaW8jSolF5w7fz+JNlMn+jubxpBivLTkC
g3GA4l5CBQvK4mJ1shlUdjmP9sZeZAieUS767yqO412iYue6LqLayM/My4fVy/0DmmhHD8FA1M9W
PTAVaiamf/Tu8KBFlTHFDhCXhFyhDjFb+FgspoglA0LFqhYuE67ct//G2snwwbFzxawVEcMDeqkN
lKJS27h6af2B4L3uPRbpBIXvM/R4dMdCSswNbxTwbVUahY4YWuN+0kOxbOQQuFutwY1ufZHVr5pe
AesXZYZsY5DddMGEnxZiXNfTEAaXIos6hPi8KHijKjmUe0Vv+ugD2N/HvLSraFAAtKvGXx7nJMo+
xeTc79xFhKfEzxpGt8sYXiuMRcQuSZ00vqntwNu6S/hB4wf995LQJRJp4ONFsKZbdw7sS8kIFXcL
7Cw+ep3PKBjMN4hVwBacJW58UxXL8tXFi5yuYO48EE/zq3yyHFoIvvgwjqVatqWsw+RgYcUY7bSN
kmSqa2DyjfbuwG17+0BMzaZlfrtnuBYfwZAP+wBZGXoq44Q1WDrdKZRHUD2egIMHqJ20+Cg8YOY1
9xu3bf2DkyPbivZRB6LWHTWGxAhleonu95bIxMEd7fAR4NJ8DSRpvY36tXvbTWBGtsTzAslXB13K
xq4+pI5dpTApivgKjm5yBSXHvrK7BJwT+/Vk96l4460aM0G7ay9dGsd7azXyW6Hf7Rdclsn9bXyJ
ggTOGfSektBcN4dJdMGxqKzmcrYhVXQYON63ML+YEsq97nqspFOm1YUB1RcGXk+QGHd8gHwsIYpG
aiTyeUaoPTPQ/NKA9JczXr800P3WgPjLM5wfiYB9VaNZnRqwf3bG/YdnCoAhA4y6nR4xqoAh0Bmy
wHjmDUyGQnAuav9T//+x/j8DKF6o/3P1pW1U/ivAU5z/q++1fyT+OsPEKPxR84hiG+jL99o/dv+i
oSWA1NERAKxhsH8/av/wLxtcM4ZG/MSFXw746AfKE2OiGIw749EzChiIx7/BYH8OvIkhIOIYCWqe
v+b8ZsoAMDErUaUVT8MmWeMhGzi4LazLQtdTS0afPzVI/gHp+U8XpBkCztPgboTzDFVV8tSd29XB
yQvcaOeMU35cDXpNVBHbnJPnDxC2X1sbwLd4wNAXrBfwSiQEniGL4kJQ0gCXPYVtJh4KM1o8D6tU
AJv55UczYLifsTdcilcNJDAIYJnCJfgVxCTRTkyH0vFPpZnB50geXgR6pTUpYELfajSE3oclbmjS
DGpfvvQ/POWT9xVKocBonzdwpp7IYVvSPykXWFoTwfHZUIbS4GZ8Vv8Bh+c8h4/yoOxAxC1J4oFz
PAcZzW1Fn2jO/dPUAuZlBMxEAlFGm2HYqEMO2gYYTnaFWRDjzkUyJKcH2jK2nKscWAMJ+x+wer8/
Pr2wSAiAXOg6wAr4deVx1mHOnSb+KZooqnGbh5hsA6c9/n9eCz4nwGu2MBvn2YZKaf0gkbP4J09N
4Al8Sz1SW893gxmrvfxWzYb5dUMJcHv05YLQZms9R3rmTONoPw/+aUyyb09EZxfA3ssX+ae1Iwg5
0BlwgAmewxwBtvmhdiv/tKI5cyqikWFmJKhAHGZvf0I7O2Z1nj+SB6XXhebCEj4HlEaJ54wrjryn
ws0Zrp0BlGiJMX07s7OjvmQiKhY+UgM4XTKNuP+IWfTLz/wPOxh2NmHPNp+qGTL8umESF6JKIkr/
NGMKduWVDZ273oxGOkuxQxl81vuydJnVLesAkvn88cKqz49EkD8h0P/pDfi+B33dvGkw8L/eTFnF
Yq6RUT4p9D3uznOqs7gDk8x4//KD/9OlYBhFIGg5WtznO2ruIkbsYe+d8oDljc+qFlZlfHciQ/d/
+WK/hnrCN+LcsR3GPicLpfLzi3U4BOCB3FlXaCExIbQs+jmNB9BlPZP8EQ2L/rCXjXHgT9vLXBJR
w9CovrCb/d/A/F25+i6A9/jKphQ/ovbAoE9JhTvNZIGVVhjukM8zDaTgAVWQoh1Qgx48hVbDOA/m
MJa7PcffOYI8QT2WFTQFnt8WShm5gWW8vEioz/x6zxz8mLaiHkMr30PoRjx7/chFFf5MAXelKrtG
6QgF/zYX1iF1VDlsWrtewBQzLJQtXPyiW8Te4Y+9kYArzgx9Js8QXYm9SZDqx9Wr9ePslmzdp6m2
C4Yx2zEZAoUROIx5N5QKINbM0LMSyDbYBf+ZNEiaEEq7hArsImjhFv1HbVCr0IWxdC9YwA20/eU1
jiVgiaCtxO+RybeKbRYnvXPhqIA/jamGnHZ1nCF2WUlUVzcpHHpxrJqeaxiAytm1vu+N34k/+kjn
0a1E+yRr2SGdzwgVzJ5ejxYjN3F1xuYqndbg8KTTZFdUp/oRFGn/MewYUFzVjqFd0cF9bbnaQrED
vlP+yVliXlm4eoKCbQIf8r5HifZjo0vxUOYuu92nJ/2wODEAuTOJSowAt2pgUl+6NXEvxj7s76TQ
NRR9xt5hnuK556oYBdQpRpqdBgAAA4vBwAlMA5jfBJiCN/usKHDh94vv5sczQP4MHT9PqDVCIwAI
0Dy4g9i/vndHoGVdbOAAZwssZ5bqsaxTF7lFD7bhqhLI79Ei4/dDh0Q0qNvFu4yThr9Sm7H7qlk3
n84MdBFzoiLxGR2QWas8JjSZLAzVC52+JQzNoDoTPshEeuDhVWYSkzNG/wy+s5HCuCtB087IDFjA
hs4AqT7HG2FH1zR4CFE8BMVUFB3tjxaZo+1oJ6G4Oo+SLfAtSOf7IxBxdzYEEC8IS+RvNeeiaJEe
ZwenS7qv18i5zSyAr7slqIFkAOgDuYAkBOeNLhmObpzGYy+PjHzfK/j5UBj1EO1obM6vOyfiLNJ0
443ZA+fyBkwt8/3OS9ebNaTJuHVyINxj2wcPAjQtlJ1GxhXFnyPfpt7qXqyIQIc7NxX+p2Ycm/sI
LcYbBPyqHZ3y1tmACXAiSk9bXuVVi+VXZaCEqppnpHZW9GNtlQjQOWs+bWwBLnYTYr94G9k0CWs/
QzSyLuN4S1OKljrjLEjr63JfxnYAcz3rOgQEkCBs2JPIr1K0vwEygrRhkQw1gAGpv0X+2l7SJRpu
YxEgPIyAAnqYQ0lk2q4G1UWVCrNaQ/j4IKpSqoMKFvEFfy80wnEYvAbqLNODIXJMOMx0cPaLtsED
aWhvY8YUiB+vKvuUGgRu2Gq65xTTR3CIyclZdNgfIzWJjx0IG4p53A8wSGuvPL9GamGe/PUTVOSS
Wthdt4qWptxFUH22ZTk1nwqmUxrJWyDfpS3Do0lG6eDMYJ53hmKw78kBNyPoq0MdoX5AYAIFiP70
3UD36hI6S3dZSMyQl2BYvqKWOeH3lFuYirb1h7wc/S3ux4jMNnkJNg3vGNoHD6H2+T4Auu0SF4m9
YZTOoaaML2RkgT8DsMzYM2lR+pAo5NJkBn+KxIEZeeCmTW83bc2b76ZrMt3oAp2cJdg1+ThtfNSd
AQpXcbJDH4FeKTRq/IKRilrbhdFN3Q7v0IhEVXNs1GFgXgVSzP5SoRf/Ia5yd5PHznxQFprTQ8V9
xImu33AqrVg5Ed6vhd9PGKrbvNEQFsI1+IPmNZSvDqNsZlVbS5CRPZxhg5Zb8EkoA+3ct53GX0XM
BkbCFBEMHdFWP6bSJiC1a+zcL/bKlrU1SFYZDnBOooGmz77MMywNdNvbYMiB4q5boP8t+o4AZs+I
l3CBt6oZvYDFGALU6dHkRj1MVuavOXOHTdSZhwdTwng5Y8FnzdRRCqcKTMoZnN6Pnc+nP2QB9lqz
Dy/sDD7tOrat6XmY8TFYnY9u26fkc9kAPcZr3ZZvPlN4NdMnjLpvSzf6BlqM+3eFDNa+KfzpK5yU
PkVU1Qr+Bs+PPUkWq4uKdk62aeY0Z2LmFNlnNeqHAljVPvDzNN0myKSoD6hxDtbbfO3w04vcjDY3
aJmtQF9zn01Tj3+VWA9L1HTvYDKgURuH/vSOmXJ9B0Txm1vhfYNf2atSuwBXRIWzthvjWu4jzvKY
6ix9XPN8epsOIW+OL77Y9+CyYqCIITqsY5Ybp9lKhVdYtat2N0+oauI9TRzflgNdsAsdz/bJ79vl
plc0z8Q659ZG1ljHbARvoWDmBsoU+aq52c+ORo9cSv8VKlfVqx5Vl7s6j/qtbB3GKCPq5DRivc9t
LMaTFh1tuSBxc/ymIi/fMqNHCHZYJ6SD+opwEScBQs6RfwVd4XOCYOfbSaclPLrBvpG08j+VkyjT
rUTmgrMSgY8NGLYUV7Qlv5HMuq6seIqxABlT9eDmU3eCtR7vG8QNTo6wLXgXWtXy6BDyEB9qBrQ3
HddNNrmPhSL+KI13L1DjvxgbjG+7PEuu7WVY3+gM14x4TKePQ6V7ZhZK+fnVnM9zsI1aODaIaOCQ
cytmAG7HOBsURjCNdV2Ea/sO+0HcGKwSMSjT6bVLcFHRdDtxwn9zxl7dDF03HtH+Wk4QpWvk2+Ms
YfroUF5kBLcj7kBODqS8A2ydjuH4JnVHuspNkQQd+7KSH8tZe6AQquB6zl3CKCiAWG/7bmymnYut
S8IgtnVvdLhg0AWDyon2URX6BEQH2yxXDMkhtnr0uDvwXb7fo75aCZSvhjC/U5gLvBucRb2PkPHa
jzMWmShsgooMcbjybWBvmIQV4c7rphAd5WTN0JDWnEPaXsZtYo0o0vss1etxpU7BFDaUqNck+Sv4
YfM7W07WTZBrJkW513uHyPIk6htdExx6FQb4sLh5rI4De/cbQKX57y7y9JcpSMLHSWiRH2yA3moL
+BXUZdFWodwkEbi91bT/dzKDzXQR6u5bkGH6oApoBZs1V/rKm2bEfNsWc+Rszvtl40NB25aczq8s
3OT3ri0SjScEOXu6LjjkQN4x9nwDmnKncsC+BzPA8UMGXh1aTboWr8CFhfYmYZL7qkHmVINUmS2I
wx5vDdkEBwOCbqrm4f2MGxp6+ed8/T+90D/2QumS/VTa7B70w/95kgG9fai//vd//Q0/CLb7Ly6U
4vzffO+EOsaGPaD4F9BmaTUYPNMPqrvj8COD2f6/Nuw/GqEBvrS2C/zJp4uH2gIV349GqP0XPb0Q
wlsEfZt61v13GqG/9lpoRdoBvRbEHBzXh13vmcr5JwhUMkxOHiT9dDvUj6mqEJH9/NNqvH7qcfxM
cWexfi5Nf7uAKQN/uoCcvaruZi4QFQTOCCvx+CEfb/MYkPbjy5c6V9b/6rLwMDRW6K4AZ/ZjJAGe
dxQWRzlVQJqMsgnOaEZGBx1AW+AIFrllH3xSxZxGX/COjTS8rs5V1oq2TQA/4QoGYJ/WjzC7Iny5
kZbI7Dg8JjI1YMRm+JqT8Ob19SB9hcgX1N/1slJxkUg8au3lhC5Hm9wvvT7Q4AmuFOPT1wVoHIzO
iqRv9Ja5DShYT2Ia4I7CYh44jV6M3lVV91n5FsGedIR8xxwuJD9rI2acOZhKLBwH90pSrL1b4Hif
qqQfcDlDs2c61EQ+rz6F2KHvAoSQbyOnDKZPVoulYWmlNbKGTD63SIr43ivfCrv1VGjE4N9OSB76
zd4b0ySGe4aHFfaSGMLJXD21hv8TNf4QNfjmaWf8vwco/1PBWmOC8BRILh//+7+e/osfIcON/wK5
DRYoCmF+02r+ETKIHn/RXkLalyZWfEZA/pidhM5f8Gz59RD6M1xxM1b5HjICfhQweiDOeHRugWL+
OyHDe9YH53ZgFABxoQvOcwKi/PWTBm631PVg+18ze+2Kb8hkJJ6NEDbClHqndeEu7yFg5/qgFj5+
GANLEHyZcU1vrnF0BX9z6CxGrIz3Iwtl7iZOGEVjTlNm8ztp11axAJ7oxCo2DMrT0cKgbez9cetV
w4KNItwP5b5yKPA5jFObLO5dpg2jqYIUAmXdpw3iIhE10Fw+egqbkwCcRhHEcovFlhUlh2YsFK58
aLUl5Dw/vch/iHfPW720s0C1OLA9HcGH5T5fHTyYHEDea/C1U9MI2q5Ow6wqN9L3vPImTpHJtMCe
5U39rRcyX+59Iz4hEcEbJM/TOFM6v3v5ltxn3WcRg6hw4H2jF00TNH4+JjGqn3WrZPqIJFFQ3uAp
mpZXqz9QUx4zS+QTxtVhDkURjl8XDeDnZli5mFd0bfnQYmfW95twINW/QrVX2dl+TdIVe6lq5lXs
Nf2w9X0mRWIBHoLiJ27XtWTCtq9jX6GJhzr+gG3hyw/168Hl0+w0exAqkB1g78y38OsmTLKSsoHq
6qs9wWF9GyBl2d7VoKTW1y9f6JnuBRcCk8LRKFDMY/GeSwksBOh4pfx8BODsOt6+g4bk2xvX5guf
vbDwX02qDcj70OGqLL3tnDQc78o8aIpvL9/Jsy62uZMAai3MfZq9Rgbq10d2UH+047kQjyNGo+I2
wMNRA4WpLXAMVzDJcOj6dxeZti1Nc7Bw4LFZhWc9WstJLRCoofelGnrZIuC/dNaI92S0Jsv0h2uZ
qPGvw9u8UAKX78QeGz6Cy//sheIsUpXIxLmPs5MC/v3qAgfNMBfqBvYdIppmiatFDMOfhgO/7SQz
Y0IXQaBEQSv9ubAUvE0lYY2oLzPwFswAAHVG413iWjmr+/IbdH5/hagega4H/M6Oip9nKEXbOuU0
uvWjwkSuDi+wkGreVa4mRm01pN60ezXHa2LX120uG2HvgzEr1/eFCrvO29QVARE6DgqP8RvALMzP
sd9s3Oq6hHcfLSDbfL/+05zmtxcTRE4QU3TzduzfZ+VOXOJZ7NrNF6QfJHeBUlBZfBudxYLX3tYC
X4YEl2id/Gmxfn8xdAmZDDDbNVpBz8NWYjn23MnA+gw4xaH/FodBTi0WRl0m7a3jYX9SAdP1y/AB
lRJ4urteShl32xphjfE+r9cJqwMa/qv+nOLmFh882EPLKYCOBqX05Vf7nE3gwyEA1H7+TEgnf5fW
CNKpk/Ug289ZlDNC3mCDodfXSsySTbUutIPHY6xoVd9aXpLzNanG9zkMGoEVHwZupZ8uX9iAdfFN
KJuV4fiDLom4vuOD73kKwH7SEV2CeUjFB5XG9NgMNq9kp4KfV7ydBqVYjuGGgSNvBJCvCdEWqqRc
0CWHjN4kWafnj+tiUogNJl74l+6ABnoEeSQ9RF8cXL8P+L77bEJdsgPbXX8V0+DgVQX2TK2v+fzj
4EMDVW59LzEX4R6RjYkRgXSawfnAQLUrcJdBoXV9v2ovHO9H2Yvxjvy74nezpiCCbDKIirwzN0NY
q99QOdM52hZeZ/GhJzhT8jAtVuw4lSF3IZpgo6bC5TeFw4AF7QIRqlocg3HO9BuNcxGH2dJjCKW3
ChRRuuyLNObSFnZM/PqKWQtXs9KlE7dw2/L+Yx/lwXiR0MTPbyof9t5xctTcnLLeWoarYR5m9tIc
oTkH9BL5n+UUjfj3AQNMtDkz+4gWrLzool6DyGxx2sQM6vsDBAUGJdOmAaAhip2NTxILGtgN20/N
qQliVR3aVr3vaa/z/yBELTVgxA7s+o+/0Xc9IycvT1CQ3LLlWsyNvGwNWIPBy3G2QzSZSdTV4rU8
U/q0qj6taVYuiIA+Gv438K0r9PkGlDCdLDZX9CgFCrqO8HRhzS4hnbgdgd5slzbWnFpe2TZsmiIR
RX3XYLwCgLnwjIjXpgsKIMOYD8d0TXepCy1/YQJk8wfpvztJeNCpBuxyZflzvnzp63lkDduZ6QZK
nARGJ3kbVaBJwKjCqK2mS0RhR3hv6Qq9MtoVzuzxswWvBvMQRYzKx03vJWOT7ltLmvceuiNRYC9X
GO94sjLQ5k6k1/v8K43o8YxXsULNuNi1S+vzKcDNjPiXlWoYuiietJpbwuHaXGgaCnMvKOF6vtiK
EIPdLyBRS3aKtwrhX4wi8ri9gqajyduSEdHwWwX+JviAhCn/2MbeEnJbhR+bNe7HmhUc5mlgOVfk
+/lLFSmgf0GRRRfwkNrCbFGTWo/3XdTwf+mXVXzAYQHF/JbUER7j3p9yvvNFLqsJHhmiEg9F70nz
Sfux+aPS9h3eRKDIG+lyd4433oc5ggf1nk5Sp5aLcbZpSN2MFMT8wV5imAFHklzM7Grcy6TedSUQ
5OBijjBpRjDHvo+zII/HHaSp0ESmrMqK9UBn8wBPMO28gy6X1IdalOFlAFHH7tbXwbLMbP9IYR2P
WyfGuUtDogBG5lYE6MpKVJ911dtbkRRe/qp1YIhjA1EM5g0zeFhs5+DyLY/WZa7A0jB2kT3Mq+1c
KWVNpzJRIfcIWIJ30/sRXNqHBqQuD9MkxZK2b5laJ35z22JmC4xc2DkcqD2BmHCzp/FXLDA4O8y+
sZ8ibwdwixKKzi4SrxiClKq8JMyKL+vE9CozwXbhmeMCdACkKZnNWYYPZ5sNTnir51iZzYP7t9mJ
2G313aFcErMv7WFW7KHEy/syPWH0tPIzcJyDRPMo8AiVqkeuBWxSyfsAOg7veuhvGT65hNwCl1re
UoO+EWdBu9QTfwvZLxMFGbXE7Fw7x715PNhwAPhNSpien2mZmLhU2mM9v4GnbTLCjPEN4anzZxoN
J51ZRIeRVeRbcFyt2FBjLz2EMHj7/RKcImQU/IuoUis3ns3WwKV9hxFJdyBcchyNSxdyytc0hPny
Ir8yh6zWQ892nGnzt5DVI7kQHyAyWf6rGSwzHF9CVOBfdD1aatkekSNkktbaNSmWMa1avtRRTzXy
vQ4h6pvFmdrea+MjVqoRyOo0KyYEgg0fBG/VKPLSXZ9MTbL3bYDIb2G38/A4d1ZEeyNeyB2HBQZd
4wFRn5APuxhW0umLCCIeK/h9W9f5ZH6GHI3Hxl1xROLO8YQx4V5ZEYeWY7Ervb0XSqMpTCaa2nyf
FvBqvfUZAIY42WWI19y6yBgCd49LBr9M3p1FfEL2A7l8u56r+9h1Y5znpGSsfCWaboTp3Y5D96Wr
OWPQIahxE8S8FTZS23R5/ykn5q6HMmza6tHH4kRi6oIn4MO0OtX0ao2xmdrgoQCeACbu1MFZQGkA
OZ/eh2c+HKYpiMZb2WMoaCT07dq5RjWDuQ8Nr9HZ9rwjYO/tDHQY1gouAD50ClxwTUq/ymlBT4KZ
mBtvAGAt+iNKrIP/VlRoCKVQdvwSse+4cpekBfzL8yfs0yTVlzrjJKuwiammFUpeXq22PCTuCp98
5uMYNkKXN8glOd1hjMMUqwgStPU+xW+s5eBDM/ZKLcsQbTxfu852gauJ27pItYp3gAjCgh5WSCcr
Dar0InQ9TYPMntZTAtrZPjqTk7kHRP8dZqWamTj44sQLrNdd2db+O8DkOPzS7QuXrt/HkBvm+1nP
nr6xmB5bd77lq/W9hrGNCrYUQr4Dr53CtKo0zKDuiEciIj8be0TxZRfPa1Uek1xDQV+xgKsZ2+CD
4WbbUK6qjz47APabx8ztUEjblUIv/de4CLwBk5+wa0MGmCqg96iTpg+i3VDaQSWOCRKY4hYxJKss
j6OgL1llXzP0tDX27i0UULfdofFtiHxgJDzLKFHxMMXr79m3vSD/7tyhStIycZza3ByoXe1Bz3uH
g1vX+bsumWSC2o1tp+QoAOgDsrEEKl93kPNick0I1Ui2H6U3j+ZYiQkkfNx9ZNJHyQHO55D5wkS4
OrBNhokCI85Nh4JWJMRYHqybotPapxYpaZD1I0dPkNUFpwyYhdRdj0Ay+JsMjluT/UH5NpVDWIC3
oxXjj3UVH4e+zsUHPEUAHx+dDu53fEwtTa+hG/qAMAm9kMzeEE069+i7cB0/TDa5mwWlcuqIZUWU
m0MjsaYEcz6vhk2+H51GrN5F7LsVKVHjUmdbl/VQIxBs4A9I4CCXD+2QgAgbgDN6ijyf1ATVO80C
dU1oTk5gGzN3KtMs5NpDiMAyUhV+AM5o26Khxx+zixYHn42Cp8T90x42cbL0w4pfcQsn5o6apFOO
fIhlbPLVGGcfMDF6kOIzo9mmRQmiCJtr7H1GjkXdYfvnXTVdaFIWlO/NGkHmFdr5hkgt2oU7HHjG
AbAXIBLbAZKazKxtbKMaUt8QwxeTIp3bPULV5pT6foKBS2Udy9Y2HQsoiebuHS+xWEhmdEXcHpcc
v/dvFQqjJK4R5wp3MCgrY/v8WIm15xPaDJ23kpEiBcpfbGstoE6XTrNEqAjBNWbJcuCI1Cz1nAQf
kDSk9/T0GjkwHec95d+g76M+QQXm4DF05R0NjMOxXmzScpwyQ1y1k/jjWII8KS+yTqT1dAnOWoz3
K5hrnspZO9N8khKvpuyysyHbOhyUaJFM6IssppCPBLSHDzX9Omfe5hN4DQ1byyVLSd3EZPNj20kZ
XGAtq8boNR6qbptfC2Zu3A8+5OY78Dxp86gjvKTxvlK++URgMpqGF/IG/EIy+iZRcypK47x3zAbz
kiHv3WPvhkzvd+nT6ZqNY8qhObQTierW8zqyQOFJk29qYfZjgokTmbXNChTf4Is3/IP/3fw2WYlc
X09VFHJcOhn35W6zDFtmGqpiSE0y73Xmbp8+j1IHvJdqmFpeKpBAT9fX3kzv/9MYTSkqGmAmGbXi
SMpeqCDXkBMUB1/6Zu9WjRs3N/XkpPCk0wpWD+YD+GB4JLUw1Xi3gzXWXKtZJY9gG28qmhWOSa1j
xLbGOwacuXwYJXC4GobR0GmCyzL53rU/ObpsNkngss8QnjBFIFgGKjawF+aFKB/+22sKT96zXoJ1
OXlouzFrCeNlZqLten35MGbOzKIkT5mPSu2RXEO1keRp8znGHWP/vSKO1iYmMZjT1Kb6atLe418p
NYvcI7BnzV+8cejX17Y12vYWdbiMcmTMZKqsC3DB3nCPV7iHJ5Y1Oay/BXfT5OwiMlkY2jWmyIcB
ahL5FOTFeJ+oJOWt6ZqGLjAI2OqgpOQYNOQocdCu71l1E3FXp6fmveyZvyOUT/3AdhIBl6e1l6wm
VHbEZHHRhcGsM7ibM1v/AvBfRqlSRuRRT59eM1YmtaqsGgkQpO1Aq/c7PY7YhmEDM5n+EdCcxWzJ
0I6m5pWNln7TsyCrqbiD2NIsJHwi84lTLafdjQAqbAQ7pyI9JlmDEjaCLau6BF/jVBeRcqkpONgs
n/wAZA422AcQWi1/Jva1JFYVfWMyUTP8Is5MT1UjiktAcy57sFkEKRL+QWwVnSu32sfpaKrAp8Ki
SlZz0+06T0u65Stb4BToaKXi9ceoYKNTJNns/ilrGl5pDqWfWx8QlU3r/ZwNidZ7a8ZY+ibsaI7w
i+vCjgLtaQKW5jVa+OKWKs8bfNJytTIZyLymfPDa2VToy1PkiGdlEt3aKc2ufLlr9LwfSM8IiWEo
Ggx0QoSpnzVYo7kFpgmR6vOcaFNnjiAHs2Bn+QgZxBs1SJ73D5d83lUzl6Q8RQQWvGBE4vRrF3np
miaytdCfAzGZ6c3T1kBNwXR2X3663y+FvAY5LloCLs1zIyry8+zXRfWTUaXXfgb/YuITjHcPAcmZ
YE3sevla527gz/1jmMu0qaHPhJB6fp9KKRsljKkqvc+zVyMmehqyGo/NbaD9jM8wg+PDWbiKlqAx
oKqnaKKMVR9VW/Bl1N10IcxkI6bkNbHnKTJ/n300MjUlQhMGijMhFP3Ev16+/d+WyqMtTGLrQCF1
cI0xP/9pTD5L9CXSKQwedO7M3AcHlCkLOVwpoV6+1G97DtUT8AbITMb0VaPn/W7SqNxtSKAesP/x
huUiWRBjfe+soflERJJOf9xyz0coDi8mFC4MIbqm7m+0A9krL0rp3z9gGWlilEYRcn095ET2u9RF
WmLZJTH5PsnEwr+/VpjWyFdEuzr4AwPi+TIzNQ3QTDdTVT43ZMR/XWb0O+ZxilPvEz0JSkd0nehS
RQ1I9ewPL/T5KrvQy3haD0ZUyATpefO6JDGMPKdwPqHaEGIt1FWmNM8LKrULpEZM1vjya/0VaMHQ
BEn2J1+QgAkf7aNfH00X0UowWeQn2TAnyvYSSxDCHEFx4b0msq8QWMtytKziLTxQ9Ov2L9/Amej1
8xdIqgX83QbpjHYPj/48svhpVjld2HxCX3hJmz2zrBV2L+5FcXF8SltGmZnUGIcHE7+/N8Ut6GKU
F7XAczm7nJ4Wpy5AuNGvCqyFr7gFukK1sFbAFg2xfUIWdRd52oqmTe6UmmgdToE5LCGZthh7ZYnN
h48KIzP0YqfDgeaRM8l5yknfaNHtI5J5V+NAM/Zw6tvSMrmVGsF2LggUIt1KGxkwOO9MdDm5Taiw
D+IsRp2b2wqfGvSK1J6oCWXGJE0FsBJzvLqOSZaToi6IJDaQR9Y/SgtJZ9IdZ8CSp6wpacu+vPy/
bTgIYLhWBIAjAe3+trUHKosMf+zlY5v1Hjlr2mlTAsWrNhnA95b1y5c0X8svL5xQG59nNDAa0Yp/
BgRgUIZIg4qmj3EqTI9xyGNR3sAHdUvr1lY2d2DwxANF1AzckBfxv9ydyW7byBaGXyXoPQXOw+L2
QlZsJ7EzdGynOxtBsRSR4iRx0vD09yuSSkTasfu6siAu0UAjsVMkD6vO/P8H7IZ4mqcfo//mwEdA
3MAm5vHaFN57RjRheNGWb+n/E0JlEL8N4qyIb/Vwq2dXel48A6zsaxAD50wMIjBtIKpg1Hqb3NZU
SKLXef61YrTl4c5aOWJbgBIQntXT7yUazU7ly+pMO4A9BmwfdoFur+6RXm53ahQllX6bwAboTqak
L4vlOVC8gEg3WG2xDmMK3jH/c0jYsC93FhSLBGsW3JRr0rqkYAh5RP1+vWWwFnmEgykc9WBJhOLD
TLOnHWrli7TWThFpAJfhyBzCyrVFmjiMqY7cVADXeDkltLBFyyX4D9RKBfc5UZXG3InNG0VBj0bn
9LYvzeunhdCTNzJg1o+hck5Nx3hYMbUA93ixDX1dGa+EZZ6mlCrCsbJNiZyfvpVoquvKGwVmgUtC
J2AWH8CotumanKpmTm9cM63vVVqkTsOK2Z+YJlQ9KqipvUc06SCFZJeILGn7p6wqRYZAob/K+tsy
HZHPJBZco+n0GGLy7RslXJXK4SrnqNpUsNZxuL2A2pmA6TVzywiPA2h3CUvawh/VIlFEUiA85uwc
XBWGr/MqhWuD0avWirswvhN32GlSE3TbihyvYvniS640vJbt2AGiwncvskAkltsSGieSvbui5oHd
m8IwwIJ7Ld6SAnlapG738zmOmFOuq+CpPQtb+KAlb8MbVC7cA/dRZTh/rzLgK+c65dFLO3TXJjl+
vzgHseO927tBNJ2szWlyGTOb+K6C3LsaJ26ZUDRdGmNP2bv52PaLze2U+DWnhT+v/DPfrfTLwFt9
iim13Yt+fHDHGTy3Z9Ry7A+VNU3f+fAGXmOR/INgsq7CiZKvjC8H6sgVg2EZLAVPsKeaMMhb4Z1y
UAqCA4bQwRLhZR9NrBJ85fDqXjv7rJoU6/3mNTXx6M6nhg+bpU6VYLUuSOel4ZYSXqFFX+masJgE
WpOcHjaqRvNy5tzo2OfZ2k81C8Yc2yeFsczzC32VMF7cMcq7wDB8+qBUxUwmjHCDoLIEqRUp6+yz
beY5btG0vFztytU5ZYL9mqnVFJfPdluP/vnSjKu3dGG/LrYeWA7XX62+lECHyZpPy3BSML735rAq
SYmZzH4j26eYZ6qtfjKLvfpN3xf5V4Aa5q1fWkwo3tnxu9DJg9dmsA+eA/51zhgbgrIyyszCVRAI
/347TUr6x9lYy2TO99p9hCU/CV/bUcpsdTtT7dtntt8jN2OECQ1ZOkPcuWVXgTITDdcu85I5wPWY
HqGdeqMl5FfHcRxeV6ZREv8t0/gTJUInfMYfe7Dz69ekV4eSDUq83wdWWrmXhmYWzzdJQuAKABQQ
V2xoNL49/ZL1Sj/NcC1SsLz05zBLSuBpe2Zip8ehXtErM9e2KWfG0DEX45SAh/mkfuT8lejxVIBA
lfVYjSxvDfx4HUQXVQDf4A7ebcbaB4X9IbMz722ibJxb7C1oI/KKxV0c47zoRRJDe11o5idw08n3
GNaYq4T07KdK3+tfvBVx6lhLNZVRqeHygwEQ0h8rTmyTvQmpxWmgBy/VzNvPV+myoJRQZufa0lJn
KsCCswPf7xlfqNeEh0iEG4AbhFwAXOt9l0BTmHdquvvD3CyF8P3A8C+MdBVd7g67WaJ50T+G4u0m
pb6k6LEBbn5pMuM1mTz9ZSwh+c6XcUSzpkk/CFgqzHjPQdLCaUz5wHfmy5LCAem0LBzvXDrCJzlV
kmJSmRA9OnEBeTaEbzHVnjS+TMlbXTPeoirGkbNUPhy0pXlpHCBihPfR+wr3F3M1slC5DvaJc7U3
9heJERs35ECjD6nCRxvbFMb2Z4diR9lllebTM2ftOQzKJPg+h+Dq+95eBe8NB7pbcGvWJURq6w+x
VUQFrM95+W0f+eUtuObwk5K4GAh7p23PDb3YlmMDlMzNNvIgEPI3cNdX/o653FWxpATgrDYrCiHY
xM+mpbhXgb83v2hktZlDG4bW7plt321L4hMjW5PsAv3xRLNOH8BfkhLmuzvT+SYwrfcKI1Du1oGx
h0F2k6jvta2gvHz6c2rdxtf6lvgGhDi0mNOC158NR8N+lMWYzgXIP/MtaTOY1ablXnlHonJ1TiGi
QNMzS2W+hizhLljuiqsg8NRPSuUZ508/Sw2P7m4tXE3Up+5CK2Br/WbAbBtbubtMksVyR4GBuD2d
fk2zg19NNoLDb6PS8T4u4xSAKVTL/n4CI6F16dMOOyFP4nnMVVCYT5altvN3AM2cSP2SQk+U3L8O
7SC/3BjG7r1d+iDXLGdpjoHr6dtxDjrUJ8PJYO1xxkzNMxcu6fWFgljOV2GhXHu2VvELW4dJ8bm/
/7gHRJlMVlawPl9usd5QYAXhVUyZF4/SgKdjHG2ihJYS2DBfVxQ976yK0BRfJP9c6LsEnsLIyGAG
p12GnUi56Mwm6/fR8IKEkisddTsqmtSVCjuKltBgOevrLax0IJyCtU1fraun2hsBDs0uVCiSvxRZ
GvxdMkL6uxlAxgDCaTV9LvH1UP/AuwdbCL47HBMMJeqpZEOnEhrutuECflsViN3WW32jy2NP1ZBP
RkzlzA95OX1jJ8q3fbWCOWpvV+v4BRsWYhncZoPOVSYj9tIddErlcQ5OeDGN7X05qT+IfSj9CIpB
uwB0X3k3G8ZknoOJnb5ee9PdP76bVWv2CejGp3dsL0FXnx7XFLllVAe9lv2OXdg7t1UKC/5i6aj2
542t5X8x8kiZOCR232EXy/dltCnerqEyeRPtDO26SBwMmRMVu48Bo4xoSE621VWglMZ3Ouc31thl
EsHnZ56yGwOIp7TpdwUUo9MzTVDZExljofaxtzHLBVnvzfIWz8KCqFQHRl4yUeK9blchNaX8YLsT
N7PS7/5BdQC4TvX19sJw0vzO8qLllepsw1s9M0sqJFiB82yVRYh7uXLOzA3l3uZD/9/gLNoXEeCp
10kRFPtP5SLb/7XIsUb5kcZJ/LQelHmTvuyXnl6oBVvc7Negtu7TMinEEzAooMNipYusVge4UT9S
/bxPrRCRmC3KOUsb3sgSOTCx1evL+ONVlCa4UPWPFY9JpiTDMVp0r4urueGJiH4lhKffr5Hm07/T
eYPZHODaBDBiFtwXp1gU0ALs+n8jhN4SP4VgaiNLePrE040QMKWnQgDG4hiiS1YnmcOdBvT2AOv4
YlJvb/B2NAei5ejwFldvCwhyNJOEDi5qswVImA9MCHDyyArBHNWBF/FP85Jkt063gAb4ESGRtabz
XlxskaEJwWqeqZnP/UM/PVQGvzwHhjmCio0SHx309cXBOhUCXHhEbBDXgEGor8EdB4sHl90Jzki3
TJv0bHscesqAyt0IHgjhJ0HHJa6h7QQGJBN+yOkEF9iua1nQbjVfui8EVYyxhsbJbrTPgDQiQCtA
xtKvT9mRXU4mu75YsH8Q4HtkEDXnRVyNvAckBbpLpbWBGGJOSp9hQ81LstFPheBYI8CeFMEZo1Zf
g9MGFFhEEk3qJOjuyCIbTAzde30XZeiCWQL+1eyRwZ0ECvOirir1+jgHpAOhbCO4qK+eInANEL44
jyBrhyoFsE6yLpJpjghJVdI2rcrvGUZNM5kQQ0cH0WIt8AFpAgJqkW2S2gWmw1emrgUd4aOqgL2B
LhCJ61Y+g7OJZBMeTAn6Raz0S/fIVEe0oGgmZrGRQm8XuN6I2wij8FNhIvYB7QUez5VViESMuEYU
KFohCP/n1CwQLhApkT/22mBqcBEjiXbBSSl3IkxcYZu9QPhZX/14gRMB+Bm1KXKdQ9sFZKBl318f
MQOe/g1KBvXVCxo9g7yCqpL1bX8+OA+JNLQu7SK5+AA0M0FZ0EihZx09F7tB/oQMy49dMrC9IDo2
JPeC4YzoY6RCKprzOqrAQhUwrkw/qorBuUjgtFvf/eVRM86BKxLokBs9bhYsskfw71DvbH4+vKPg
4cTKbgKIngSMnBGxzVv2zIKnkVsQ/bVuuxkGpxap8BuyRwEXgX52C0anx9OpBA1gqPEQhusoMeZQ
WgoW5D4iW3ai9k71gu2N4JuhzkS/TX0Nby+oxHayJ4IcitCLVu8kODZ7QCPbeEypD08rqnABSb69
qY9IkhEYovvqq2caIYCCxYS0civnAXnJOv6hrJds2hyBusGljYt7r++ZYjioQX6iudOgXt9SZV9f
1BTgR6CvujUGvTNAqEQiHeAATQ/1NTibKLqSZTWACBgN4iRY/pq3RKynetAha4CIgFK0UhqeHmQm
AJ9OLlRiTA6VNSaePB4q0G1JjokMG9Mm6lsN6SzAsCT9/lQXqRYY1Oof3QWUWHGcCCKovNTX8FJI
oj4ouwvQ93SvMH2n3eu9WAF7AGUZaQNqbPU1PKuItm4+zctjBZInNGqbeEaPp5CAu6EYLYwiohBX
E6EO6UQADmoe6uVSwDfA+2GcFTXl+uJbd/SixV4RnFHHYuwArQMBneyJMEZArgiXjl0HfSmIrgTK
LxiQRkrD8xQM6OEkpUDNGbY0IHcQBz+2F8DIjOhrwoy6AzwLAIVk359CqiFGyxw1AtuqcxZIKoNO
o/m9lc/wzoJJLPMbpABNBQnFZhMIvXcqBY8UE5sABuk23doY5SHpRZOjLCkF00AvguWhft8aya4U
SKSN6L0AnDa4owDeq22OerlZMCwajXCD1Nb2iSjkdBNQWRCspaZ9oiqGlU2FKFGXPQoEDa5H+0nr
DNYuwKkUHGcEs6srUs7NJmlKGQM6CqK+IptCMjgKUA0IIs1HzYIrpETRmb6sRgqDU4ugqOW70jTK
qgK5eZRCXy3iTuJEsRfa1rzh7QUTSlRJtSicZjJJuEKtdejphbo3zyG1rNvD2wXkUmRdJAoM0N4L
MoC+h0hzBuIF/9mW5QcXOYKck44cRXkJ7g+PjqwfCq+jEN2R0JaM521VwQClAHuJ5CEQLRgYfgDz
vyg4176BqOa1PWvDcxGI6Rr9JOEi8K1hghJzRJq90POWMQs2wQTRwk+zMSwXgamXAnYsl1Ejb8iJ
52wdC6s9R8mj4kiqhY6kH8ZzaFJ4OKjmf27HIYtA5yWjQtuMUS+jRE4Nb1kj2aK2YqrF/q8cpX/x
Sz+QIGd+EM1rDEiwyB+DivzqF47oh4c/b5EPYtSGgHh0flFAQpp7L2pwivjzn52epbrj6OSHxw6k
+j7tP29f8OGtO/c6vtXxLy+DRTbL7n1oyAQupn3MZrQQU0K+zeLZKTSDM4jF+vkk//mj85wnp+CZ
hR8fP/Lj9V+4bhaAX+s+cA0kkH7gLITTd5YfX72emMLMouOfG1DPS0RxNouC72mWBJ2nbpreZZ+a
2UFpNpunx6cUT910ksuvDErwvgjuy6KzeA3ckV18sohm21m2OF25aX6WXrkFG71Kv79COGX8rSt2
ZiMQ5cje5RypB/PO92zblmVXvlik2bL7yG1HsOzKl0g8CI7vXm9vg3Le8S9evr/fzGd+ZwNqTfOu
7AO/iaIgSYPuiWw6QqWXTubBrKdFmi5L6ZXTbXdbgMzH3ZFd9t1D3dR0wkkvzALlfbg/PmK9L5r2
Mtmlr9IyyB+Iuelakl37ehYkHe1BXV50wMivy4zJWTI/riTEQcH7d3zC61mez+4ZnLkois6e1pvG
DelHD+6hVpt1oaZNp5z80tiCPC06O7ttuJBfO88D/luvO7oJQJDIJP6O1dMy6y8tOkWkl06ToqdD
9KbwLrvy+8W3rD+8jRY8UdOWX7qade0W7XOiQCq/8PbV5Sxe537QNeusL4puv2P9t4ssX3Q0Vdvv
8TsWv17sgvuOGWNxUSj7HYv/k2bhcaVapTT1WOml06zwX53NshRL2T2ctLlrxzu+3LS/r28wmYX9
s9/AU2Sf/4MfdCXeNHNKLxtGeCTdqIY+UVHvkl46Wyz7aP66hCS78MdFkuT7qJr1woS2OCG7/F9+
Ol+8epM/sG1Nk4js8p/T8hcbsS0r/J4bPNyILSpEdvkbpL+A3qzjUrTVMfm1d92osq0xyK57W8z8
44YWOoXmXZG0l132bpHFWLbjQvXKTTpceuWAyKa3vdtUs+zSX2bYHaY3dY8mHdsigyu9+CIvXt09
9vBNblR6/SC/T5k20fHc2oyj9Nq/Hh39ZCLmsUzTD1Dcw/zTkRjksX/WTa6J37iPFrPsz/8CAAD/
/w==</cx:binary>
              </cx:geoCache>
            </cx:geography>
          </cx:layoutPr>
          <cx:valueColors>
            <cx:minColor>
              <a:srgbClr val="269999"/>
            </cx:minColor>
            <cx:midColor>
              <a:schemeClr val="bg1"/>
            </cx:midColor>
            <cx:maxColor>
              <a:srgbClr val="FF5050"/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pin" dx="31" fmlaLink="$A$1" max="10" min="1" page="10" val="8"/>
</file>

<file path=xl/ctrlProps/ctrlProp2.xml><?xml version="1.0" encoding="utf-8"?>
<formControlPr xmlns="http://schemas.microsoft.com/office/spreadsheetml/2009/9/main" objectType="Radio" checked="Checked" firstButton="1" fmlaLink="$A$2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1.png"/><Relationship Id="rId5" Type="http://schemas.microsoft.com/office/2014/relationships/chartEx" Target="../charts/chartEx2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69232</xdr:colOff>
      <xdr:row>21</xdr:row>
      <xdr:rowOff>182057</xdr:rowOff>
    </xdr:from>
    <xdr:to>
      <xdr:col>3</xdr:col>
      <xdr:colOff>971255</xdr:colOff>
      <xdr:row>46</xdr:row>
      <xdr:rowOff>44680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16556</xdr:colOff>
      <xdr:row>22</xdr:row>
      <xdr:rowOff>7750</xdr:rowOff>
    </xdr:from>
    <xdr:to>
      <xdr:col>7</xdr:col>
      <xdr:colOff>807180</xdr:colOff>
      <xdr:row>35</xdr:row>
      <xdr:rowOff>71931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616291</xdr:colOff>
      <xdr:row>18</xdr:row>
      <xdr:rowOff>155801</xdr:rowOff>
    </xdr:from>
    <xdr:to>
      <xdr:col>17</xdr:col>
      <xdr:colOff>24380</xdr:colOff>
      <xdr:row>32</xdr:row>
      <xdr:rowOff>45357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625361</xdr:colOff>
      <xdr:row>8</xdr:row>
      <xdr:rowOff>1586</xdr:rowOff>
    </xdr:from>
    <xdr:to>
      <xdr:col>17</xdr:col>
      <xdr:colOff>33450</xdr:colOff>
      <xdr:row>18</xdr:row>
      <xdr:rowOff>163286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591037</xdr:colOff>
      <xdr:row>33</xdr:row>
      <xdr:rowOff>127977</xdr:rowOff>
    </xdr:from>
    <xdr:to>
      <xdr:col>17</xdr:col>
      <xdr:colOff>24422</xdr:colOff>
      <xdr:row>48</xdr:row>
      <xdr:rowOff>86947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61857" y="6163017"/>
              <a:ext cx="4546405" cy="2702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898628</xdr:colOff>
      <xdr:row>21</xdr:row>
      <xdr:rowOff>32658</xdr:rowOff>
    </xdr:from>
    <xdr:to>
      <xdr:col>5</xdr:col>
      <xdr:colOff>427520</xdr:colOff>
      <xdr:row>29</xdr:row>
      <xdr:rowOff>52916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888652</xdr:colOff>
      <xdr:row>29</xdr:row>
      <xdr:rowOff>52918</xdr:rowOff>
    </xdr:from>
    <xdr:to>
      <xdr:col>5</xdr:col>
      <xdr:colOff>427520</xdr:colOff>
      <xdr:row>37</xdr:row>
      <xdr:rowOff>128512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3</xdr:col>
      <xdr:colOff>1099711</xdr:colOff>
      <xdr:row>8</xdr:row>
      <xdr:rowOff>152402</xdr:rowOff>
    </xdr:from>
    <xdr:to>
      <xdr:col>5</xdr:col>
      <xdr:colOff>569336</xdr:colOff>
      <xdr:row>17</xdr:row>
      <xdr:rowOff>120952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200135</xdr:colOff>
      <xdr:row>8</xdr:row>
      <xdr:rowOff>151189</xdr:rowOff>
    </xdr:from>
    <xdr:to>
      <xdr:col>3</xdr:col>
      <xdr:colOff>851226</xdr:colOff>
      <xdr:row>36</xdr:row>
      <xdr:rowOff>78154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577851</xdr:colOff>
      <xdr:row>0</xdr:row>
      <xdr:rowOff>46265</xdr:rowOff>
    </xdr:from>
    <xdr:to>
      <xdr:col>7</xdr:col>
      <xdr:colOff>444500</xdr:colOff>
      <xdr:row>3</xdr:row>
      <xdr:rowOff>33565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77851" y="46265"/>
          <a:ext cx="8510587" cy="534988"/>
        </a:xfrm>
        <a:prstGeom prst="rect">
          <a:avLst/>
        </a:prstGeom>
        <a:solidFill>
          <a:schemeClr val="lt1"/>
        </a:solidFill>
        <a:ln w="381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2400" b="1">
              <a:solidFill>
                <a:schemeClr val="tx1">
                  <a:lumMod val="75000"/>
                  <a:lumOff val="25000"/>
                </a:schemeClr>
              </a:solidFill>
            </a:rPr>
            <a:t>WHAT</a:t>
          </a:r>
          <a:r>
            <a:rPr lang="en-US" sz="2400" b="1" baseline="0">
              <a:solidFill>
                <a:schemeClr val="tx1">
                  <a:lumMod val="75000"/>
                  <a:lumOff val="25000"/>
                </a:schemeClr>
              </a:solidFill>
            </a:rPr>
            <a:t> DO </a:t>
          </a:r>
          <a:r>
            <a:rPr lang="en-US" sz="2400" b="1" baseline="0">
              <a:solidFill>
                <a:srgbClr val="269999"/>
              </a:solidFill>
            </a:rPr>
            <a:t>WAGE</a:t>
          </a:r>
          <a:r>
            <a:rPr lang="en-US" sz="2400" b="1" baseline="0">
              <a:solidFill>
                <a:schemeClr val="accent2">
                  <a:lumMod val="60000"/>
                  <a:lumOff val="40000"/>
                </a:schemeClr>
              </a:solidFill>
            </a:rPr>
            <a:t> </a:t>
          </a:r>
          <a:r>
            <a:rPr lang="en-US" sz="2400" b="1" baseline="0">
              <a:solidFill>
                <a:schemeClr val="tx1">
                  <a:lumMod val="75000"/>
                  <a:lumOff val="25000"/>
                </a:schemeClr>
              </a:solidFill>
            </a:rPr>
            <a:t>AND </a:t>
          </a:r>
          <a:r>
            <a:rPr lang="en-US" sz="2400" b="1" baseline="0">
              <a:solidFill>
                <a:srgbClr val="FF5050"/>
              </a:solidFill>
            </a:rPr>
            <a:t>EMPLOYMENT</a:t>
          </a:r>
          <a:r>
            <a:rPr lang="en-US" sz="2400" b="1" baseline="0">
              <a:solidFill>
                <a:schemeClr val="tx1">
                  <a:lumMod val="75000"/>
                  <a:lumOff val="25000"/>
                </a:schemeClr>
              </a:solidFill>
            </a:rPr>
            <a:t> LOOK LIKE BY INDUSTRY  ?</a:t>
          </a:r>
          <a:endParaRPr lang="en-US" sz="24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724341</xdr:colOff>
      <xdr:row>6</xdr:row>
      <xdr:rowOff>16716</xdr:rowOff>
    </xdr:from>
    <xdr:to>
      <xdr:col>2</xdr:col>
      <xdr:colOff>310630</xdr:colOff>
      <xdr:row>7</xdr:row>
      <xdr:rowOff>155309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335529" y="1262904"/>
          <a:ext cx="2205664" cy="4084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Average Annual</a:t>
          </a:r>
          <a:r>
            <a:rPr lang="en-US" sz="1600" b="1" baseline="0"/>
            <a:t> </a:t>
          </a:r>
          <a:r>
            <a:rPr lang="en-US" sz="1600" b="1">
              <a:solidFill>
                <a:srgbClr val="269999"/>
              </a:solidFill>
            </a:rPr>
            <a:t>Wage</a:t>
          </a:r>
        </a:p>
      </xdr:txBody>
    </xdr:sp>
    <xdr:clientData/>
  </xdr:twoCellAnchor>
  <xdr:twoCellAnchor>
    <xdr:from>
      <xdr:col>3</xdr:col>
      <xdr:colOff>1190409</xdr:colOff>
      <xdr:row>6</xdr:row>
      <xdr:rowOff>25110</xdr:rowOff>
    </xdr:from>
    <xdr:to>
      <xdr:col>5</xdr:col>
      <xdr:colOff>104280</xdr:colOff>
      <xdr:row>7</xdr:row>
      <xdr:rowOff>146916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032159" y="1271298"/>
          <a:ext cx="2493684" cy="3916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Shares</a:t>
          </a:r>
          <a:r>
            <a:rPr lang="en-US" sz="1600" b="1" baseline="0"/>
            <a:t> of Total </a:t>
          </a:r>
          <a:r>
            <a:rPr lang="en-US" sz="1600" b="1" baseline="0">
              <a:solidFill>
                <a:srgbClr val="FF5050"/>
              </a:solidFill>
            </a:rPr>
            <a:t>Employees</a:t>
          </a:r>
          <a:endParaRPr lang="en-US" sz="1600" b="1">
            <a:solidFill>
              <a:srgbClr val="FF5050"/>
            </a:solidFill>
          </a:endParaRPr>
        </a:p>
      </xdr:txBody>
    </xdr:sp>
    <xdr:clientData/>
  </xdr:twoCellAnchor>
  <xdr:twoCellAnchor>
    <xdr:from>
      <xdr:col>3</xdr:col>
      <xdr:colOff>1207423</xdr:colOff>
      <xdr:row>18</xdr:row>
      <xdr:rowOff>117186</xdr:rowOff>
    </xdr:from>
    <xdr:to>
      <xdr:col>5</xdr:col>
      <xdr:colOff>52277</xdr:colOff>
      <xdr:row>20</xdr:row>
      <xdr:rowOff>105833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051290" y="3698586"/>
          <a:ext cx="2417787" cy="361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269999"/>
              </a:solidFill>
            </a:rPr>
            <a:t>Wage</a:t>
          </a:r>
          <a:r>
            <a:rPr lang="en-US" sz="1600" b="1" baseline="0"/>
            <a:t> &amp; </a:t>
          </a:r>
          <a:r>
            <a:rPr lang="en-US" sz="1600" b="1" baseline="0">
              <a:solidFill>
                <a:srgbClr val="FF5050"/>
              </a:solidFill>
            </a:rPr>
            <a:t>Employee </a:t>
          </a:r>
          <a:r>
            <a:rPr lang="en-US" sz="1600" b="1" baseline="0"/>
            <a:t>Trends</a:t>
          </a:r>
          <a:endParaRPr lang="en-US" sz="1600" b="1"/>
        </a:p>
      </xdr:txBody>
    </xdr:sp>
    <xdr:clientData/>
  </xdr:twoCellAnchor>
  <xdr:twoCellAnchor>
    <xdr:from>
      <xdr:col>5</xdr:col>
      <xdr:colOff>472689</xdr:colOff>
      <xdr:row>11</xdr:row>
      <xdr:rowOff>77387</xdr:rowOff>
    </xdr:from>
    <xdr:to>
      <xdr:col>11</xdr:col>
      <xdr:colOff>185615</xdr:colOff>
      <xdr:row>34</xdr:row>
      <xdr:rowOff>175847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6909" y="2317667"/>
              <a:ext cx="5351726" cy="430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2658389</xdr:colOff>
      <xdr:row>11</xdr:row>
      <xdr:rowOff>53813</xdr:rowOff>
    </xdr:from>
    <xdr:to>
      <xdr:col>5</xdr:col>
      <xdr:colOff>86101</xdr:colOff>
      <xdr:row>15</xdr:row>
      <xdr:rowOff>43050</xdr:rowOff>
    </xdr:to>
    <xdr:sp macro="" textlink="'Data Prep'!I20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6511440" y="2303220"/>
          <a:ext cx="1011695" cy="7211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6D7A94-11DD-4588-8F5E-6EA94CC10846}" type="TxLink">
            <a:rPr lang="en-US" sz="3600" b="1" i="0" u="none" strike="noStrike">
              <a:solidFill>
                <a:srgbClr val="FF5050"/>
              </a:solidFill>
              <a:latin typeface="Calibri"/>
              <a:ea typeface="Calibri"/>
              <a:cs typeface="Calibri"/>
            </a:rPr>
            <a:pPr algn="ctr"/>
            <a:t>17%</a:t>
          </a:fld>
          <a:endParaRPr lang="en-US" sz="3600" b="1">
            <a:solidFill>
              <a:srgbClr val="FF505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60960</xdr:colOff>
          <xdr:row>3</xdr:row>
          <xdr:rowOff>182880</xdr:rowOff>
        </xdr:from>
        <xdr:to>
          <xdr:col>2</xdr:col>
          <xdr:colOff>403860</xdr:colOff>
          <xdr:row>4</xdr:row>
          <xdr:rowOff>327660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6</xdr:row>
          <xdr:rowOff>114300</xdr:rowOff>
        </xdr:from>
        <xdr:to>
          <xdr:col>7</xdr:col>
          <xdr:colOff>960120</xdr:colOff>
          <xdr:row>7</xdr:row>
          <xdr:rowOff>60960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3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Avg. Wages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1905000</xdr:colOff>
          <xdr:row>6</xdr:row>
          <xdr:rowOff>114300</xdr:rowOff>
        </xdr:from>
        <xdr:to>
          <xdr:col>9</xdr:col>
          <xdr:colOff>274320</xdr:colOff>
          <xdr:row>7</xdr:row>
          <xdr:rowOff>60960</xdr:rowOff>
        </xdr:to>
        <xdr:sp macro="" textlink="">
          <xdr:nvSpPr>
            <xdr:cNvPr id="2052" name="Option 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3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1000 Capita</a:t>
              </a:r>
            </a:p>
          </xdr:txBody>
        </xdr:sp>
        <xdr:clientData/>
      </xdr:twoCellAnchor>
    </mc:Choice>
    <mc:Fallback/>
  </mc:AlternateContent>
  <xdr:twoCellAnchor>
    <xdr:from>
      <xdr:col>7</xdr:col>
      <xdr:colOff>201884</xdr:colOff>
      <xdr:row>6</xdr:row>
      <xdr:rowOff>25110</xdr:rowOff>
    </xdr:from>
    <xdr:to>
      <xdr:col>7</xdr:col>
      <xdr:colOff>1420812</xdr:colOff>
      <xdr:row>7</xdr:row>
      <xdr:rowOff>146916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8845822" y="1271298"/>
          <a:ext cx="1218928" cy="3916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/>
            <a:t>Avg.</a:t>
          </a:r>
          <a:r>
            <a:rPr lang="en-US" sz="1600" b="1" baseline="0"/>
            <a:t> </a:t>
          </a:r>
          <a:r>
            <a:rPr lang="en-US" sz="1600" b="1" baseline="0">
              <a:solidFill>
                <a:srgbClr val="269999"/>
              </a:solidFill>
            </a:rPr>
            <a:t>Wages</a:t>
          </a:r>
          <a:endParaRPr lang="en-US" sz="1600" b="1">
            <a:solidFill>
              <a:srgbClr val="269999"/>
            </a:solidFill>
          </a:endParaRPr>
        </a:p>
      </xdr:txBody>
    </xdr:sp>
    <xdr:clientData/>
  </xdr:twoCellAnchor>
  <xdr:twoCellAnchor>
    <xdr:from>
      <xdr:col>7</xdr:col>
      <xdr:colOff>2098945</xdr:colOff>
      <xdr:row>6</xdr:row>
      <xdr:rowOff>25110</xdr:rowOff>
    </xdr:from>
    <xdr:to>
      <xdr:col>11</xdr:col>
      <xdr:colOff>76192</xdr:colOff>
      <xdr:row>7</xdr:row>
      <xdr:rowOff>146916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10742883" y="1271298"/>
          <a:ext cx="2493684" cy="3916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 baseline="0">
              <a:solidFill>
                <a:srgbClr val="FF5050"/>
              </a:solidFill>
            </a:rPr>
            <a:t>Employees</a:t>
          </a:r>
          <a:r>
            <a:rPr lang="en-US" sz="1600" b="1" baseline="0"/>
            <a:t> Per 1000 Capita</a:t>
          </a:r>
          <a:endParaRPr lang="en-US" sz="1600" b="1"/>
        </a:p>
      </xdr:txBody>
    </xdr:sp>
    <xdr:clientData/>
  </xdr:twoCellAnchor>
  <xdr:twoCellAnchor editAs="oneCell">
    <xdr:from>
      <xdr:col>8</xdr:col>
      <xdr:colOff>239486</xdr:colOff>
      <xdr:row>0</xdr:row>
      <xdr:rowOff>0</xdr:rowOff>
    </xdr:from>
    <xdr:to>
      <xdr:col>11</xdr:col>
      <xdr:colOff>506185</xdr:colOff>
      <xdr:row>4</xdr:row>
      <xdr:rowOff>291192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0" y="0"/>
          <a:ext cx="2062842" cy="10314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528A3E-9521-4651-BB5D-24ED3CFB4BD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53deeec-9676-46ce-ad29-19395d9cbda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EAC6-8327-47F8-AD59-08D1190A0736}">
  <dimension ref="B2:C40"/>
  <sheetViews>
    <sheetView tabSelected="1" topLeftCell="A9" zoomScale="92" zoomScaleNormal="92" workbookViewId="0">
      <selection activeCell="C25" sqref="C25"/>
    </sheetView>
  </sheetViews>
  <sheetFormatPr defaultRowHeight="14.4" x14ac:dyDescent="0.3"/>
  <cols>
    <col min="1" max="1" width="3.33203125" customWidth="1"/>
    <col min="2" max="2" width="32.44140625" customWidth="1"/>
    <col min="3" max="3" width="96.33203125" customWidth="1"/>
    <col min="4" max="4" width="59.21875" customWidth="1"/>
    <col min="5" max="5" width="51.88671875" customWidth="1"/>
  </cols>
  <sheetData>
    <row r="2" spans="2:3" ht="22.8" x14ac:dyDescent="0.4">
      <c r="B2" s="31" t="s">
        <v>87</v>
      </c>
    </row>
    <row r="4" spans="2:3" ht="17.399999999999999" x14ac:dyDescent="0.3">
      <c r="B4" s="32" t="s">
        <v>88</v>
      </c>
    </row>
    <row r="5" spans="2:3" x14ac:dyDescent="0.3">
      <c r="B5" s="34" t="s">
        <v>89</v>
      </c>
      <c r="C5" s="33" t="s">
        <v>90</v>
      </c>
    </row>
    <row r="6" spans="2:3" x14ac:dyDescent="0.3">
      <c r="B6" s="34" t="s">
        <v>91</v>
      </c>
      <c r="C6" s="33" t="s">
        <v>92</v>
      </c>
    </row>
    <row r="7" spans="2:3" x14ac:dyDescent="0.3">
      <c r="B7" s="34" t="s">
        <v>93</v>
      </c>
      <c r="C7" s="33" t="s">
        <v>94</v>
      </c>
    </row>
    <row r="8" spans="2:3" x14ac:dyDescent="0.3">
      <c r="B8" s="34" t="s">
        <v>95</v>
      </c>
      <c r="C8" s="33" t="s">
        <v>96</v>
      </c>
    </row>
    <row r="10" spans="2:3" ht="17.399999999999999" x14ac:dyDescent="0.3">
      <c r="B10" s="32" t="s">
        <v>97</v>
      </c>
    </row>
    <row r="11" spans="2:3" x14ac:dyDescent="0.3">
      <c r="B11" s="34" t="s">
        <v>98</v>
      </c>
    </row>
    <row r="12" spans="2:3" x14ac:dyDescent="0.3">
      <c r="B12" s="34" t="s">
        <v>99</v>
      </c>
    </row>
    <row r="13" spans="2:3" x14ac:dyDescent="0.3">
      <c r="B13" s="34" t="s">
        <v>100</v>
      </c>
    </row>
    <row r="14" spans="2:3" x14ac:dyDescent="0.3">
      <c r="B14" s="34" t="s">
        <v>101</v>
      </c>
    </row>
    <row r="15" spans="2:3" x14ac:dyDescent="0.3">
      <c r="B15" s="34" t="s">
        <v>102</v>
      </c>
    </row>
    <row r="17" spans="2:3" ht="17.399999999999999" x14ac:dyDescent="0.3">
      <c r="B17" s="32" t="s">
        <v>103</v>
      </c>
    </row>
    <row r="18" spans="2:3" x14ac:dyDescent="0.3">
      <c r="B18" s="34" t="s">
        <v>104</v>
      </c>
      <c r="C18" s="33" t="s">
        <v>105</v>
      </c>
    </row>
    <row r="19" spans="2:3" x14ac:dyDescent="0.3">
      <c r="B19" s="34" t="s">
        <v>83</v>
      </c>
      <c r="C19" s="33" t="s">
        <v>106</v>
      </c>
    </row>
    <row r="20" spans="2:3" x14ac:dyDescent="0.3">
      <c r="B20" s="34" t="s">
        <v>84</v>
      </c>
      <c r="C20" s="33" t="s">
        <v>107</v>
      </c>
    </row>
    <row r="21" spans="2:3" x14ac:dyDescent="0.3">
      <c r="B21" s="34" t="s">
        <v>85</v>
      </c>
      <c r="C21" s="33" t="s">
        <v>108</v>
      </c>
    </row>
    <row r="22" spans="2:3" x14ac:dyDescent="0.3">
      <c r="B22" s="34" t="s">
        <v>86</v>
      </c>
      <c r="C22" s="33" t="s">
        <v>109</v>
      </c>
    </row>
    <row r="24" spans="2:3" ht="17.399999999999999" x14ac:dyDescent="0.3">
      <c r="B24" s="32" t="s">
        <v>110</v>
      </c>
    </row>
    <row r="25" spans="2:3" x14ac:dyDescent="0.3">
      <c r="B25" s="34" t="s">
        <v>111</v>
      </c>
      <c r="C25" s="33" t="s">
        <v>112</v>
      </c>
    </row>
    <row r="26" spans="2:3" x14ac:dyDescent="0.3">
      <c r="B26" s="34" t="s">
        <v>113</v>
      </c>
      <c r="C26" s="33" t="s">
        <v>114</v>
      </c>
    </row>
    <row r="27" spans="2:3" x14ac:dyDescent="0.3">
      <c r="B27" s="34" t="s">
        <v>115</v>
      </c>
      <c r="C27" s="33" t="s">
        <v>116</v>
      </c>
    </row>
    <row r="28" spans="2:3" x14ac:dyDescent="0.3">
      <c r="B28" s="34" t="s">
        <v>117</v>
      </c>
      <c r="C28" s="33" t="s">
        <v>118</v>
      </c>
    </row>
    <row r="29" spans="2:3" x14ac:dyDescent="0.3">
      <c r="B29" s="34" t="s">
        <v>119</v>
      </c>
      <c r="C29" s="33" t="s">
        <v>120</v>
      </c>
    </row>
    <row r="30" spans="2:3" x14ac:dyDescent="0.3">
      <c r="B30" s="34" t="s">
        <v>121</v>
      </c>
      <c r="C30" s="33" t="s">
        <v>122</v>
      </c>
    </row>
    <row r="31" spans="2:3" x14ac:dyDescent="0.3">
      <c r="B31" s="34" t="s">
        <v>123</v>
      </c>
      <c r="C31" s="33" t="s">
        <v>124</v>
      </c>
    </row>
    <row r="32" spans="2:3" x14ac:dyDescent="0.3">
      <c r="B32" s="34" t="s">
        <v>136</v>
      </c>
      <c r="C32" s="33" t="s">
        <v>137</v>
      </c>
    </row>
    <row r="33" spans="2:3" x14ac:dyDescent="0.3">
      <c r="B33" s="34"/>
      <c r="C33" s="33"/>
    </row>
    <row r="34" spans="2:3" ht="17.399999999999999" x14ac:dyDescent="0.3">
      <c r="B34" s="32" t="s">
        <v>125</v>
      </c>
    </row>
    <row r="35" spans="2:3" x14ac:dyDescent="0.3">
      <c r="B35" s="34" t="s">
        <v>126</v>
      </c>
      <c r="C35" s="35" t="s">
        <v>127</v>
      </c>
    </row>
    <row r="36" spans="2:3" x14ac:dyDescent="0.3">
      <c r="B36" s="34" t="s">
        <v>128</v>
      </c>
      <c r="C36" s="35" t="s">
        <v>129</v>
      </c>
    </row>
    <row r="37" spans="2:3" x14ac:dyDescent="0.3">
      <c r="B37" s="34" t="s">
        <v>130</v>
      </c>
      <c r="C37" s="35" t="s">
        <v>131</v>
      </c>
    </row>
    <row r="38" spans="2:3" x14ac:dyDescent="0.3">
      <c r="B38" s="34" t="s">
        <v>132</v>
      </c>
      <c r="C38" s="35" t="s">
        <v>133</v>
      </c>
    </row>
    <row r="39" spans="2:3" x14ac:dyDescent="0.3">
      <c r="B39" s="34" t="s">
        <v>134</v>
      </c>
      <c r="C39" s="35" t="s">
        <v>135</v>
      </c>
    </row>
    <row r="40" spans="2:3" x14ac:dyDescent="0.3">
      <c r="B40" s="34" t="s">
        <v>138</v>
      </c>
      <c r="C40" s="3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sheetPr codeName="Sheet1"/>
  <dimension ref="A1:F1919"/>
  <sheetViews>
    <sheetView workbookViewId="0">
      <selection activeCell="C29" sqref="C29"/>
    </sheetView>
  </sheetViews>
  <sheetFormatPr defaultRowHeight="14.4" x14ac:dyDescent="0.3"/>
  <cols>
    <col min="1" max="1" width="9.109375" customWidth="1"/>
    <col min="2" max="2" width="21.6640625" customWidth="1"/>
    <col min="3" max="3" width="18.6640625" customWidth="1"/>
    <col min="4" max="4" width="15.5546875" customWidth="1"/>
    <col min="5" max="5" width="11.77734375" customWidth="1"/>
    <col min="6" max="6" width="17.33203125" customWidth="1"/>
    <col min="7" max="18" width="9.109375" customWidth="1"/>
  </cols>
  <sheetData>
    <row r="1" spans="1:6" x14ac:dyDescent="0.3">
      <c r="A1" s="12" t="s">
        <v>50</v>
      </c>
      <c r="B1" s="11" t="s">
        <v>49</v>
      </c>
      <c r="C1" s="11" t="s">
        <v>0</v>
      </c>
      <c r="D1" s="11" t="s">
        <v>61</v>
      </c>
      <c r="E1" s="11" t="s">
        <v>62</v>
      </c>
      <c r="F1" s="13" t="s">
        <v>63</v>
      </c>
    </row>
    <row r="2" spans="1:6" x14ac:dyDescent="0.3">
      <c r="A2" s="7">
        <v>2020</v>
      </c>
      <c r="B2" s="8" t="s">
        <v>55</v>
      </c>
      <c r="C2" s="8" t="s">
        <v>1</v>
      </c>
      <c r="D2" s="14">
        <v>1829</v>
      </c>
      <c r="E2" s="14">
        <v>18051</v>
      </c>
      <c r="F2" s="15">
        <v>58872</v>
      </c>
    </row>
    <row r="3" spans="1:6" x14ac:dyDescent="0.3">
      <c r="A3" s="7">
        <v>2020</v>
      </c>
      <c r="B3" s="8" t="s">
        <v>55</v>
      </c>
      <c r="C3" s="8" t="s">
        <v>2</v>
      </c>
      <c r="D3" s="14">
        <v>1354</v>
      </c>
      <c r="E3" s="14">
        <v>35607</v>
      </c>
      <c r="F3" s="15">
        <v>55216</v>
      </c>
    </row>
    <row r="4" spans="1:6" x14ac:dyDescent="0.3">
      <c r="A4" s="7">
        <v>2020</v>
      </c>
      <c r="B4" s="8" t="s">
        <v>55</v>
      </c>
      <c r="C4" s="8" t="s">
        <v>3</v>
      </c>
      <c r="D4" s="14">
        <v>2565</v>
      </c>
      <c r="E4" s="14">
        <v>15961</v>
      </c>
      <c r="F4" s="15">
        <v>49909</v>
      </c>
    </row>
    <row r="5" spans="1:6" x14ac:dyDescent="0.3">
      <c r="A5" s="7">
        <v>2020</v>
      </c>
      <c r="B5" s="8" t="s">
        <v>55</v>
      </c>
      <c r="C5" s="8" t="s">
        <v>4</v>
      </c>
      <c r="D5" s="14">
        <v>17651</v>
      </c>
      <c r="E5" s="14">
        <v>425665</v>
      </c>
      <c r="F5" s="15">
        <v>42534</v>
      </c>
    </row>
    <row r="6" spans="1:6" x14ac:dyDescent="0.3">
      <c r="A6" s="7">
        <v>2020</v>
      </c>
      <c r="B6" s="8" t="s">
        <v>55</v>
      </c>
      <c r="C6" s="8" t="s">
        <v>5</v>
      </c>
      <c r="D6" s="14">
        <v>3312</v>
      </c>
      <c r="E6" s="14">
        <v>41633</v>
      </c>
      <c r="F6" s="15">
        <v>91879</v>
      </c>
    </row>
    <row r="7" spans="1:6" x14ac:dyDescent="0.3">
      <c r="A7" s="7">
        <v>2020</v>
      </c>
      <c r="B7" s="8" t="s">
        <v>55</v>
      </c>
      <c r="C7" s="8" t="s">
        <v>6</v>
      </c>
      <c r="D7" s="8">
        <v>467</v>
      </c>
      <c r="E7" s="14">
        <v>5260</v>
      </c>
      <c r="F7" s="15">
        <v>43142</v>
      </c>
    </row>
    <row r="8" spans="1:6" x14ac:dyDescent="0.3">
      <c r="A8" s="7">
        <v>2020</v>
      </c>
      <c r="B8" s="8" t="s">
        <v>55</v>
      </c>
      <c r="C8" s="8" t="s">
        <v>7</v>
      </c>
      <c r="D8" s="8">
        <v>186</v>
      </c>
      <c r="E8" s="14">
        <v>1317</v>
      </c>
      <c r="F8" s="15">
        <v>43290</v>
      </c>
    </row>
    <row r="9" spans="1:6" x14ac:dyDescent="0.3">
      <c r="A9" s="7">
        <v>2020</v>
      </c>
      <c r="B9" s="8" t="s">
        <v>55</v>
      </c>
      <c r="C9" s="8" t="s">
        <v>8</v>
      </c>
      <c r="D9" s="14">
        <v>5394</v>
      </c>
      <c r="E9" s="14">
        <v>71107</v>
      </c>
      <c r="F9" s="15">
        <v>37717</v>
      </c>
    </row>
    <row r="10" spans="1:6" x14ac:dyDescent="0.3">
      <c r="A10" s="7">
        <v>2020</v>
      </c>
      <c r="B10" s="8" t="s">
        <v>55</v>
      </c>
      <c r="C10" s="8" t="s">
        <v>9</v>
      </c>
      <c r="D10" s="14">
        <v>2794</v>
      </c>
      <c r="E10" s="14">
        <v>29309</v>
      </c>
      <c r="F10" s="15">
        <v>45978</v>
      </c>
    </row>
    <row r="11" spans="1:6" x14ac:dyDescent="0.3">
      <c r="A11" s="7">
        <v>2020</v>
      </c>
      <c r="B11" s="8" t="s">
        <v>55</v>
      </c>
      <c r="C11" s="8" t="s">
        <v>10</v>
      </c>
      <c r="D11" s="14">
        <v>2531</v>
      </c>
      <c r="E11" s="14">
        <v>27020</v>
      </c>
      <c r="F11" s="15">
        <v>42820</v>
      </c>
    </row>
    <row r="12" spans="1:6" x14ac:dyDescent="0.3">
      <c r="A12" s="7">
        <v>2020</v>
      </c>
      <c r="B12" s="8" t="s">
        <v>55</v>
      </c>
      <c r="C12" s="8" t="s">
        <v>11</v>
      </c>
      <c r="D12" s="14">
        <v>2818</v>
      </c>
      <c r="E12" s="14">
        <v>24933</v>
      </c>
      <c r="F12" s="15">
        <v>52259</v>
      </c>
    </row>
    <row r="13" spans="1:6" x14ac:dyDescent="0.3">
      <c r="A13" s="7">
        <v>2020</v>
      </c>
      <c r="B13" s="8" t="s">
        <v>55</v>
      </c>
      <c r="C13" s="8" t="s">
        <v>12</v>
      </c>
      <c r="D13" s="14">
        <v>2302</v>
      </c>
      <c r="E13" s="14">
        <v>20872</v>
      </c>
      <c r="F13" s="15">
        <v>50732</v>
      </c>
    </row>
    <row r="14" spans="1:6" x14ac:dyDescent="0.3">
      <c r="A14" s="7">
        <v>2020</v>
      </c>
      <c r="B14" s="8" t="s">
        <v>55</v>
      </c>
      <c r="C14" s="8" t="s">
        <v>13</v>
      </c>
      <c r="D14" s="14">
        <v>2911</v>
      </c>
      <c r="E14" s="14">
        <v>22868</v>
      </c>
      <c r="F14" s="15">
        <v>45588</v>
      </c>
    </row>
    <row r="15" spans="1:6" x14ac:dyDescent="0.3">
      <c r="A15" s="7">
        <v>2020</v>
      </c>
      <c r="B15" s="8" t="s">
        <v>55</v>
      </c>
      <c r="C15" s="8" t="s">
        <v>14</v>
      </c>
      <c r="D15" s="14">
        <v>2613</v>
      </c>
      <c r="E15" s="14">
        <v>18607</v>
      </c>
      <c r="F15" s="15">
        <v>47721</v>
      </c>
    </row>
    <row r="16" spans="1:6" x14ac:dyDescent="0.3">
      <c r="A16" s="7">
        <v>2020</v>
      </c>
      <c r="B16" s="8" t="s">
        <v>55</v>
      </c>
      <c r="C16" s="8" t="s">
        <v>15</v>
      </c>
      <c r="D16" s="14">
        <v>1632</v>
      </c>
      <c r="E16" s="14">
        <v>16061</v>
      </c>
      <c r="F16" s="15">
        <v>54605</v>
      </c>
    </row>
    <row r="17" spans="1:6" x14ac:dyDescent="0.3">
      <c r="A17" s="7">
        <v>2020</v>
      </c>
      <c r="B17" s="8" t="s">
        <v>55</v>
      </c>
      <c r="C17" s="8" t="s">
        <v>16</v>
      </c>
      <c r="D17" s="14">
        <v>3143</v>
      </c>
      <c r="E17" s="14">
        <v>37751</v>
      </c>
      <c r="F17" s="15">
        <v>86727</v>
      </c>
    </row>
    <row r="18" spans="1:6" x14ac:dyDescent="0.3">
      <c r="A18" s="7">
        <v>2020</v>
      </c>
      <c r="B18" s="8" t="s">
        <v>55</v>
      </c>
      <c r="C18" s="8" t="s">
        <v>17</v>
      </c>
      <c r="D18" s="14">
        <v>1581</v>
      </c>
      <c r="E18" s="14">
        <v>7787</v>
      </c>
      <c r="F18" s="15">
        <v>41422</v>
      </c>
    </row>
    <row r="19" spans="1:6" x14ac:dyDescent="0.3">
      <c r="A19" s="7">
        <v>2020</v>
      </c>
      <c r="B19" s="8" t="s">
        <v>55</v>
      </c>
      <c r="C19" s="8" t="s">
        <v>18</v>
      </c>
      <c r="D19" s="8">
        <v>720</v>
      </c>
      <c r="E19" s="14">
        <v>7112</v>
      </c>
      <c r="F19" s="15">
        <v>46887</v>
      </c>
    </row>
    <row r="20" spans="1:6" x14ac:dyDescent="0.3">
      <c r="A20" s="7">
        <v>2020</v>
      </c>
      <c r="B20" s="8" t="s">
        <v>55</v>
      </c>
      <c r="C20" s="8" t="s">
        <v>19</v>
      </c>
      <c r="D20" s="8">
        <v>999</v>
      </c>
      <c r="E20" s="14">
        <v>11134</v>
      </c>
      <c r="F20" s="15">
        <v>64628</v>
      </c>
    </row>
    <row r="21" spans="1:6" x14ac:dyDescent="0.3">
      <c r="A21" s="7">
        <v>2020</v>
      </c>
      <c r="B21" s="8" t="s">
        <v>55</v>
      </c>
      <c r="C21" s="8" t="s">
        <v>20</v>
      </c>
      <c r="D21" s="14">
        <v>3574</v>
      </c>
      <c r="E21" s="14">
        <v>34897</v>
      </c>
      <c r="F21" s="15">
        <v>43309</v>
      </c>
    </row>
    <row r="22" spans="1:6" x14ac:dyDescent="0.3">
      <c r="A22" s="7">
        <v>2020</v>
      </c>
      <c r="B22" s="8" t="s">
        <v>55</v>
      </c>
      <c r="C22" s="8" t="s">
        <v>21</v>
      </c>
      <c r="D22" s="14">
        <v>3175</v>
      </c>
      <c r="E22" s="14">
        <v>28204</v>
      </c>
      <c r="F22" s="15">
        <v>51276</v>
      </c>
    </row>
    <row r="23" spans="1:6" x14ac:dyDescent="0.3">
      <c r="A23" s="7">
        <v>2020</v>
      </c>
      <c r="B23" s="8" t="s">
        <v>55</v>
      </c>
      <c r="C23" s="8" t="s">
        <v>22</v>
      </c>
      <c r="D23" s="14">
        <v>2070</v>
      </c>
      <c r="E23" s="14">
        <v>14561</v>
      </c>
      <c r="F23" s="15">
        <v>50525</v>
      </c>
    </row>
    <row r="24" spans="1:6" x14ac:dyDescent="0.3">
      <c r="A24" s="7">
        <v>2020</v>
      </c>
      <c r="B24" s="8" t="s">
        <v>55</v>
      </c>
      <c r="C24" s="8" t="s">
        <v>23</v>
      </c>
      <c r="D24" s="14">
        <v>2123</v>
      </c>
      <c r="E24" s="14">
        <v>16963</v>
      </c>
      <c r="F24" s="15">
        <v>46677</v>
      </c>
    </row>
    <row r="25" spans="1:6" x14ac:dyDescent="0.3">
      <c r="A25" s="7">
        <v>2020</v>
      </c>
      <c r="B25" s="8" t="s">
        <v>55</v>
      </c>
      <c r="C25" s="8" t="s">
        <v>24</v>
      </c>
      <c r="D25" s="14">
        <v>1847</v>
      </c>
      <c r="E25" s="14">
        <v>12449</v>
      </c>
      <c r="F25" s="15">
        <v>65945</v>
      </c>
    </row>
    <row r="26" spans="1:6" x14ac:dyDescent="0.3">
      <c r="A26" s="7">
        <v>2020</v>
      </c>
      <c r="B26" s="8" t="s">
        <v>55</v>
      </c>
      <c r="C26" s="8" t="s">
        <v>25</v>
      </c>
      <c r="D26" s="14">
        <v>2469</v>
      </c>
      <c r="E26" s="14">
        <v>16054</v>
      </c>
      <c r="F26" s="15">
        <v>44449</v>
      </c>
    </row>
    <row r="27" spans="1:6" x14ac:dyDescent="0.3">
      <c r="A27" s="7">
        <v>2020</v>
      </c>
      <c r="B27" s="8" t="s">
        <v>55</v>
      </c>
      <c r="C27" s="8" t="s">
        <v>26</v>
      </c>
      <c r="D27" s="8">
        <v>598</v>
      </c>
      <c r="E27" s="14">
        <v>19509</v>
      </c>
      <c r="F27" s="15">
        <v>88060</v>
      </c>
    </row>
    <row r="28" spans="1:6" x14ac:dyDescent="0.3">
      <c r="A28" s="7">
        <v>2020</v>
      </c>
      <c r="B28" s="8" t="s">
        <v>55</v>
      </c>
      <c r="C28" s="8" t="s">
        <v>27</v>
      </c>
      <c r="D28" s="8">
        <v>350</v>
      </c>
      <c r="E28" s="14">
        <v>2671</v>
      </c>
      <c r="F28" s="15">
        <v>48051</v>
      </c>
    </row>
    <row r="29" spans="1:6" x14ac:dyDescent="0.3">
      <c r="A29" s="7">
        <v>2020</v>
      </c>
      <c r="B29" s="8" t="s">
        <v>55</v>
      </c>
      <c r="C29" s="8" t="s">
        <v>28</v>
      </c>
      <c r="D29" s="8">
        <v>999</v>
      </c>
      <c r="E29" s="14">
        <v>11868</v>
      </c>
      <c r="F29" s="15">
        <v>44634</v>
      </c>
    </row>
    <row r="30" spans="1:6" x14ac:dyDescent="0.3">
      <c r="A30" s="7">
        <v>2020</v>
      </c>
      <c r="B30" s="8" t="s">
        <v>55</v>
      </c>
      <c r="C30" s="8" t="s">
        <v>29</v>
      </c>
      <c r="D30" s="14">
        <v>2064</v>
      </c>
      <c r="E30" s="14">
        <v>30471</v>
      </c>
      <c r="F30" s="15">
        <v>65885</v>
      </c>
    </row>
    <row r="31" spans="1:6" x14ac:dyDescent="0.3">
      <c r="A31" s="7">
        <v>2020</v>
      </c>
      <c r="B31" s="8" t="s">
        <v>55</v>
      </c>
      <c r="C31" s="8" t="s">
        <v>30</v>
      </c>
      <c r="D31" s="14">
        <v>3335</v>
      </c>
      <c r="E31" s="14">
        <v>31214</v>
      </c>
      <c r="F31" s="15">
        <v>44384</v>
      </c>
    </row>
    <row r="32" spans="1:6" x14ac:dyDescent="0.3">
      <c r="A32" s="7">
        <v>2020</v>
      </c>
      <c r="B32" s="8" t="s">
        <v>55</v>
      </c>
      <c r="C32" s="8" t="s">
        <v>31</v>
      </c>
      <c r="D32" s="14">
        <v>3428</v>
      </c>
      <c r="E32" s="14">
        <v>29560</v>
      </c>
      <c r="F32" s="15">
        <v>42720</v>
      </c>
    </row>
    <row r="33" spans="1:6" x14ac:dyDescent="0.3">
      <c r="A33" s="7">
        <v>2020</v>
      </c>
      <c r="B33" s="8" t="s">
        <v>55</v>
      </c>
      <c r="C33" s="8" t="s">
        <v>32</v>
      </c>
      <c r="D33" s="14">
        <v>1830</v>
      </c>
      <c r="E33" s="14">
        <v>19954</v>
      </c>
      <c r="F33" s="15">
        <v>92355</v>
      </c>
    </row>
    <row r="34" spans="1:6" x14ac:dyDescent="0.3">
      <c r="A34" s="7">
        <v>2020</v>
      </c>
      <c r="B34" s="8" t="s">
        <v>55</v>
      </c>
      <c r="C34" s="8" t="s">
        <v>33</v>
      </c>
      <c r="D34" s="14">
        <v>2541</v>
      </c>
      <c r="E34" s="14">
        <v>25841</v>
      </c>
      <c r="F34" s="15">
        <v>51404</v>
      </c>
    </row>
    <row r="35" spans="1:6" x14ac:dyDescent="0.3">
      <c r="A35" s="7">
        <v>2020</v>
      </c>
      <c r="B35" s="8" t="s">
        <v>55</v>
      </c>
      <c r="C35" s="8" t="s">
        <v>34</v>
      </c>
      <c r="D35" s="14">
        <v>4355</v>
      </c>
      <c r="E35" s="14">
        <v>40722</v>
      </c>
      <c r="F35" s="15">
        <v>90660</v>
      </c>
    </row>
    <row r="36" spans="1:6" x14ac:dyDescent="0.3">
      <c r="A36" s="7">
        <v>2020</v>
      </c>
      <c r="B36" s="8" t="s">
        <v>55</v>
      </c>
      <c r="C36" s="8" t="s">
        <v>35</v>
      </c>
      <c r="D36" s="14">
        <v>4739</v>
      </c>
      <c r="E36" s="14">
        <v>54360</v>
      </c>
      <c r="F36" s="15">
        <v>40689</v>
      </c>
    </row>
    <row r="37" spans="1:6" x14ac:dyDescent="0.3">
      <c r="A37" s="7">
        <v>2020</v>
      </c>
      <c r="B37" s="8" t="s">
        <v>55</v>
      </c>
      <c r="C37" s="8" t="s">
        <v>36</v>
      </c>
      <c r="D37" s="14">
        <v>3629</v>
      </c>
      <c r="E37" s="14">
        <v>47789</v>
      </c>
      <c r="F37" s="15">
        <v>61949</v>
      </c>
    </row>
    <row r="38" spans="1:6" x14ac:dyDescent="0.3">
      <c r="A38" s="7">
        <v>2020</v>
      </c>
      <c r="B38" s="8" t="s">
        <v>55</v>
      </c>
      <c r="C38" s="8" t="s">
        <v>37</v>
      </c>
      <c r="D38" s="8">
        <v>205</v>
      </c>
      <c r="E38" s="14">
        <v>1128</v>
      </c>
      <c r="F38" s="15">
        <v>42071</v>
      </c>
    </row>
    <row r="39" spans="1:6" x14ac:dyDescent="0.3">
      <c r="A39" s="7">
        <v>2020</v>
      </c>
      <c r="B39" s="8" t="s">
        <v>55</v>
      </c>
      <c r="C39" s="8" t="s">
        <v>38</v>
      </c>
      <c r="D39" s="14">
        <v>1375</v>
      </c>
      <c r="E39" s="14">
        <v>12442</v>
      </c>
      <c r="F39" s="15">
        <v>44990</v>
      </c>
    </row>
    <row r="40" spans="1:6" x14ac:dyDescent="0.3">
      <c r="A40" s="7">
        <v>2020</v>
      </c>
      <c r="B40" s="8" t="s">
        <v>55</v>
      </c>
      <c r="C40" s="8" t="s">
        <v>39</v>
      </c>
      <c r="D40" s="14">
        <v>1099</v>
      </c>
      <c r="E40" s="14">
        <v>7137</v>
      </c>
      <c r="F40" s="15">
        <v>45582</v>
      </c>
    </row>
    <row r="41" spans="1:6" x14ac:dyDescent="0.3">
      <c r="A41" s="7">
        <v>2020</v>
      </c>
      <c r="B41" s="8" t="s">
        <v>55</v>
      </c>
      <c r="C41" s="8" t="s">
        <v>40</v>
      </c>
      <c r="D41" s="14">
        <v>1130</v>
      </c>
      <c r="E41" s="14">
        <v>11134</v>
      </c>
      <c r="F41" s="15">
        <v>48930</v>
      </c>
    </row>
    <row r="42" spans="1:6" x14ac:dyDescent="0.3">
      <c r="A42" s="7">
        <v>2020</v>
      </c>
      <c r="B42" s="8" t="s">
        <v>55</v>
      </c>
      <c r="C42" s="8" t="s">
        <v>41</v>
      </c>
      <c r="D42" s="14">
        <v>19698</v>
      </c>
      <c r="E42" s="14">
        <v>249859</v>
      </c>
      <c r="F42" s="15">
        <v>117086</v>
      </c>
    </row>
    <row r="43" spans="1:6" x14ac:dyDescent="0.3">
      <c r="A43" s="7">
        <v>2020</v>
      </c>
      <c r="B43" s="8" t="s">
        <v>55</v>
      </c>
      <c r="C43" s="8" t="s">
        <v>42</v>
      </c>
      <c r="D43" s="14">
        <v>1066</v>
      </c>
      <c r="E43" s="14">
        <v>14648</v>
      </c>
      <c r="F43" s="15">
        <v>65747</v>
      </c>
    </row>
    <row r="44" spans="1:6" x14ac:dyDescent="0.3">
      <c r="A44" s="7">
        <v>2020</v>
      </c>
      <c r="B44" s="8" t="s">
        <v>55</v>
      </c>
      <c r="C44" s="8" t="s">
        <v>43</v>
      </c>
      <c r="D44" s="8">
        <v>571</v>
      </c>
      <c r="E44" s="14">
        <v>4095</v>
      </c>
      <c r="F44" s="15">
        <v>41096</v>
      </c>
    </row>
    <row r="45" spans="1:6" x14ac:dyDescent="0.3">
      <c r="A45" s="7">
        <v>2020</v>
      </c>
      <c r="B45" s="8" t="s">
        <v>55</v>
      </c>
      <c r="C45" s="8" t="s">
        <v>44</v>
      </c>
      <c r="D45" s="14">
        <v>2073</v>
      </c>
      <c r="E45" s="14">
        <v>17603</v>
      </c>
      <c r="F45" s="15">
        <v>48671</v>
      </c>
    </row>
    <row r="46" spans="1:6" x14ac:dyDescent="0.3">
      <c r="A46" s="7">
        <v>2020</v>
      </c>
      <c r="B46" s="8" t="s">
        <v>55</v>
      </c>
      <c r="C46" s="8" t="s">
        <v>45</v>
      </c>
      <c r="D46" s="14">
        <v>6971</v>
      </c>
      <c r="E46" s="14">
        <v>101358</v>
      </c>
      <c r="F46" s="15">
        <v>36964</v>
      </c>
    </row>
    <row r="47" spans="1:6" x14ac:dyDescent="0.3">
      <c r="A47" s="7">
        <v>2020</v>
      </c>
      <c r="B47" s="8" t="s">
        <v>55</v>
      </c>
      <c r="C47" s="8" t="s">
        <v>46</v>
      </c>
      <c r="D47" s="14">
        <v>1117</v>
      </c>
      <c r="E47" s="14">
        <v>18455</v>
      </c>
      <c r="F47" s="15">
        <v>78059</v>
      </c>
    </row>
    <row r="48" spans="1:6" x14ac:dyDescent="0.3">
      <c r="A48" s="7">
        <v>2020</v>
      </c>
      <c r="B48" s="8" t="s">
        <v>55</v>
      </c>
      <c r="C48" s="8" t="s">
        <v>47</v>
      </c>
      <c r="D48" s="14">
        <v>2872</v>
      </c>
      <c r="E48" s="14">
        <v>30781</v>
      </c>
      <c r="F48" s="15">
        <v>41928</v>
      </c>
    </row>
    <row r="49" spans="1:6" x14ac:dyDescent="0.3">
      <c r="A49" s="7">
        <v>2020</v>
      </c>
      <c r="B49" s="8" t="s">
        <v>55</v>
      </c>
      <c r="C49" s="8" t="s">
        <v>48</v>
      </c>
      <c r="D49" s="14">
        <v>1440</v>
      </c>
      <c r="E49" s="14">
        <v>19091</v>
      </c>
      <c r="F49" s="15">
        <v>83063</v>
      </c>
    </row>
    <row r="50" spans="1:6" x14ac:dyDescent="0.3">
      <c r="A50" s="7">
        <v>2020</v>
      </c>
      <c r="B50" s="8" t="s">
        <v>51</v>
      </c>
      <c r="C50" s="8" t="s">
        <v>1</v>
      </c>
      <c r="D50" s="14">
        <v>10335</v>
      </c>
      <c r="E50" s="14">
        <v>92772</v>
      </c>
      <c r="F50" s="15">
        <v>59279</v>
      </c>
    </row>
    <row r="51" spans="1:6" x14ac:dyDescent="0.3">
      <c r="A51" s="7">
        <v>2020</v>
      </c>
      <c r="B51" s="8" t="s">
        <v>51</v>
      </c>
      <c r="C51" s="8" t="s">
        <v>2</v>
      </c>
      <c r="D51" s="14">
        <v>14006</v>
      </c>
      <c r="E51" s="14">
        <v>173852</v>
      </c>
      <c r="F51" s="15">
        <v>63056</v>
      </c>
    </row>
    <row r="52" spans="1:6" x14ac:dyDescent="0.3">
      <c r="A52" s="7">
        <v>2020</v>
      </c>
      <c r="B52" s="8" t="s">
        <v>51</v>
      </c>
      <c r="C52" s="8" t="s">
        <v>3</v>
      </c>
      <c r="D52" s="14">
        <v>7277</v>
      </c>
      <c r="E52" s="14">
        <v>53142</v>
      </c>
      <c r="F52" s="15">
        <v>52247</v>
      </c>
    </row>
    <row r="53" spans="1:6" x14ac:dyDescent="0.3">
      <c r="A53" s="7">
        <v>2020</v>
      </c>
      <c r="B53" s="8" t="s">
        <v>51</v>
      </c>
      <c r="C53" s="8" t="s">
        <v>4</v>
      </c>
      <c r="D53" s="14">
        <v>86322</v>
      </c>
      <c r="E53" s="14">
        <v>855879</v>
      </c>
      <c r="F53" s="15">
        <v>76740</v>
      </c>
    </row>
    <row r="54" spans="1:6" x14ac:dyDescent="0.3">
      <c r="A54" s="7">
        <v>2020</v>
      </c>
      <c r="B54" s="8" t="s">
        <v>51</v>
      </c>
      <c r="C54" s="8" t="s">
        <v>5</v>
      </c>
      <c r="D54" s="14">
        <v>21025</v>
      </c>
      <c r="E54" s="14">
        <v>174730</v>
      </c>
      <c r="F54" s="15">
        <v>68209</v>
      </c>
    </row>
    <row r="55" spans="1:6" x14ac:dyDescent="0.3">
      <c r="A55" s="7">
        <v>2020</v>
      </c>
      <c r="B55" s="8" t="s">
        <v>51</v>
      </c>
      <c r="C55" s="8" t="s">
        <v>6</v>
      </c>
      <c r="D55" s="14">
        <v>9415</v>
      </c>
      <c r="E55" s="14">
        <v>56915</v>
      </c>
      <c r="F55" s="15">
        <v>75591</v>
      </c>
    </row>
    <row r="56" spans="1:6" x14ac:dyDescent="0.3">
      <c r="A56" s="7">
        <v>2020</v>
      </c>
      <c r="B56" s="8" t="s">
        <v>51</v>
      </c>
      <c r="C56" s="8" t="s">
        <v>7</v>
      </c>
      <c r="D56" s="14">
        <v>3106</v>
      </c>
      <c r="E56" s="14">
        <v>22403</v>
      </c>
      <c r="F56" s="15">
        <v>64977</v>
      </c>
    </row>
    <row r="57" spans="1:6" x14ac:dyDescent="0.3">
      <c r="A57" s="7">
        <v>2020</v>
      </c>
      <c r="B57" s="8" t="s">
        <v>51</v>
      </c>
      <c r="C57" s="8" t="s">
        <v>8</v>
      </c>
      <c r="D57" s="14">
        <v>76308</v>
      </c>
      <c r="E57" s="14">
        <v>561991</v>
      </c>
      <c r="F57" s="15">
        <v>55910</v>
      </c>
    </row>
    <row r="58" spans="1:6" x14ac:dyDescent="0.3">
      <c r="A58" s="7">
        <v>2020</v>
      </c>
      <c r="B58" s="8" t="s">
        <v>51</v>
      </c>
      <c r="C58" s="8" t="s">
        <v>9</v>
      </c>
      <c r="D58" s="14">
        <v>22906</v>
      </c>
      <c r="E58" s="14">
        <v>200710</v>
      </c>
      <c r="F58" s="15">
        <v>66214</v>
      </c>
    </row>
    <row r="59" spans="1:6" x14ac:dyDescent="0.3">
      <c r="A59" s="7">
        <v>2020</v>
      </c>
      <c r="B59" s="8" t="s">
        <v>51</v>
      </c>
      <c r="C59" s="8" t="s">
        <v>10</v>
      </c>
      <c r="D59" s="14">
        <v>9159</v>
      </c>
      <c r="E59" s="14">
        <v>53385</v>
      </c>
      <c r="F59" s="15">
        <v>48649</v>
      </c>
    </row>
    <row r="60" spans="1:6" x14ac:dyDescent="0.3">
      <c r="A60" s="7">
        <v>2020</v>
      </c>
      <c r="B60" s="8" t="s">
        <v>51</v>
      </c>
      <c r="C60" s="8" t="s">
        <v>11</v>
      </c>
      <c r="D60" s="14">
        <v>32538</v>
      </c>
      <c r="E60" s="14">
        <v>216664</v>
      </c>
      <c r="F60" s="15">
        <v>76581</v>
      </c>
    </row>
    <row r="61" spans="1:6" x14ac:dyDescent="0.3">
      <c r="A61" s="7">
        <v>2020</v>
      </c>
      <c r="B61" s="8" t="s">
        <v>51</v>
      </c>
      <c r="C61" s="8" t="s">
        <v>12</v>
      </c>
      <c r="D61" s="14">
        <v>15617</v>
      </c>
      <c r="E61" s="14">
        <v>144001</v>
      </c>
      <c r="F61" s="15">
        <v>62619</v>
      </c>
    </row>
    <row r="62" spans="1:6" x14ac:dyDescent="0.3">
      <c r="A62" s="7">
        <v>2020</v>
      </c>
      <c r="B62" s="8" t="s">
        <v>51</v>
      </c>
      <c r="C62" s="8" t="s">
        <v>13</v>
      </c>
      <c r="D62" s="14">
        <v>9434</v>
      </c>
      <c r="E62" s="14">
        <v>76561</v>
      </c>
      <c r="F62" s="15">
        <v>61831</v>
      </c>
    </row>
    <row r="63" spans="1:6" x14ac:dyDescent="0.3">
      <c r="A63" s="7">
        <v>2020</v>
      </c>
      <c r="B63" s="8" t="s">
        <v>51</v>
      </c>
      <c r="C63" s="8" t="s">
        <v>14</v>
      </c>
      <c r="D63" s="14">
        <v>7355</v>
      </c>
      <c r="E63" s="14">
        <v>63118</v>
      </c>
      <c r="F63" s="15">
        <v>59126</v>
      </c>
    </row>
    <row r="64" spans="1:6" x14ac:dyDescent="0.3">
      <c r="A64" s="7">
        <v>2020</v>
      </c>
      <c r="B64" s="8" t="s">
        <v>51</v>
      </c>
      <c r="C64" s="8" t="s">
        <v>15</v>
      </c>
      <c r="D64" s="14">
        <v>9832</v>
      </c>
      <c r="E64" s="14">
        <v>77924</v>
      </c>
      <c r="F64" s="15">
        <v>58484</v>
      </c>
    </row>
    <row r="65" spans="1:6" x14ac:dyDescent="0.3">
      <c r="A65" s="7">
        <v>2020</v>
      </c>
      <c r="B65" s="8" t="s">
        <v>51</v>
      </c>
      <c r="C65" s="8" t="s">
        <v>16</v>
      </c>
      <c r="D65" s="14">
        <v>11349</v>
      </c>
      <c r="E65" s="14">
        <v>121521</v>
      </c>
      <c r="F65" s="15">
        <v>65354</v>
      </c>
    </row>
    <row r="66" spans="1:6" x14ac:dyDescent="0.3">
      <c r="A66" s="7">
        <v>2020</v>
      </c>
      <c r="B66" s="8" t="s">
        <v>51</v>
      </c>
      <c r="C66" s="8" t="s">
        <v>17</v>
      </c>
      <c r="D66" s="14">
        <v>5732</v>
      </c>
      <c r="E66" s="14">
        <v>30344</v>
      </c>
      <c r="F66" s="15">
        <v>55607</v>
      </c>
    </row>
    <row r="67" spans="1:6" x14ac:dyDescent="0.3">
      <c r="A67" s="7">
        <v>2020</v>
      </c>
      <c r="B67" s="8" t="s">
        <v>51</v>
      </c>
      <c r="C67" s="8" t="s">
        <v>18</v>
      </c>
      <c r="D67" s="14">
        <v>16346</v>
      </c>
      <c r="E67" s="14">
        <v>160039</v>
      </c>
      <c r="F67" s="15">
        <v>70642</v>
      </c>
    </row>
    <row r="68" spans="1:6" x14ac:dyDescent="0.3">
      <c r="A68" s="7">
        <v>2020</v>
      </c>
      <c r="B68" s="8" t="s">
        <v>51</v>
      </c>
      <c r="C68" s="8" t="s">
        <v>19</v>
      </c>
      <c r="D68" s="14">
        <v>21102</v>
      </c>
      <c r="E68" s="14">
        <v>152366</v>
      </c>
      <c r="F68" s="15">
        <v>84958</v>
      </c>
    </row>
    <row r="69" spans="1:6" x14ac:dyDescent="0.3">
      <c r="A69" s="7">
        <v>2020</v>
      </c>
      <c r="B69" s="8" t="s">
        <v>51</v>
      </c>
      <c r="C69" s="8" t="s">
        <v>20</v>
      </c>
      <c r="D69" s="14">
        <v>21646</v>
      </c>
      <c r="E69" s="14">
        <v>164028</v>
      </c>
      <c r="F69" s="15">
        <v>67631</v>
      </c>
    </row>
    <row r="70" spans="1:6" x14ac:dyDescent="0.3">
      <c r="A70" s="7">
        <v>2020</v>
      </c>
      <c r="B70" s="8" t="s">
        <v>51</v>
      </c>
      <c r="C70" s="8" t="s">
        <v>21</v>
      </c>
      <c r="D70" s="14">
        <v>16952</v>
      </c>
      <c r="E70" s="14">
        <v>123866</v>
      </c>
      <c r="F70" s="15">
        <v>72942</v>
      </c>
    </row>
    <row r="71" spans="1:6" x14ac:dyDescent="0.3">
      <c r="A71" s="7">
        <v>2020</v>
      </c>
      <c r="B71" s="8" t="s">
        <v>51</v>
      </c>
      <c r="C71" s="8" t="s">
        <v>22</v>
      </c>
      <c r="D71" s="14">
        <v>5839</v>
      </c>
      <c r="E71" s="14">
        <v>43888</v>
      </c>
      <c r="F71" s="15">
        <v>53779</v>
      </c>
    </row>
    <row r="72" spans="1:6" x14ac:dyDescent="0.3">
      <c r="A72" s="7">
        <v>2020</v>
      </c>
      <c r="B72" s="8" t="s">
        <v>51</v>
      </c>
      <c r="C72" s="8" t="s">
        <v>23</v>
      </c>
      <c r="D72" s="14">
        <v>15735</v>
      </c>
      <c r="E72" s="14">
        <v>126375</v>
      </c>
      <c r="F72" s="15">
        <v>64664</v>
      </c>
    </row>
    <row r="73" spans="1:6" x14ac:dyDescent="0.3">
      <c r="A73" s="7">
        <v>2020</v>
      </c>
      <c r="B73" s="8" t="s">
        <v>51</v>
      </c>
      <c r="C73" s="8" t="s">
        <v>24</v>
      </c>
      <c r="D73" s="14">
        <v>6813</v>
      </c>
      <c r="E73" s="14">
        <v>30793</v>
      </c>
      <c r="F73" s="15">
        <v>55897</v>
      </c>
    </row>
    <row r="74" spans="1:6" x14ac:dyDescent="0.3">
      <c r="A74" s="7">
        <v>2020</v>
      </c>
      <c r="B74" s="8" t="s">
        <v>51</v>
      </c>
      <c r="C74" s="8" t="s">
        <v>25</v>
      </c>
      <c r="D74" s="14">
        <v>7000</v>
      </c>
      <c r="E74" s="14">
        <v>55249</v>
      </c>
      <c r="F74" s="15">
        <v>56548</v>
      </c>
    </row>
    <row r="75" spans="1:6" x14ac:dyDescent="0.3">
      <c r="A75" s="7">
        <v>2020</v>
      </c>
      <c r="B75" s="8" t="s">
        <v>51</v>
      </c>
      <c r="C75" s="8" t="s">
        <v>26</v>
      </c>
      <c r="D75" s="14">
        <v>5757</v>
      </c>
      <c r="E75" s="14">
        <v>93450</v>
      </c>
      <c r="F75" s="15">
        <v>67902</v>
      </c>
    </row>
    <row r="76" spans="1:6" x14ac:dyDescent="0.3">
      <c r="A76" s="7">
        <v>2020</v>
      </c>
      <c r="B76" s="8" t="s">
        <v>51</v>
      </c>
      <c r="C76" s="8" t="s">
        <v>27</v>
      </c>
      <c r="D76" s="14">
        <v>4901</v>
      </c>
      <c r="E76" s="14">
        <v>27866</v>
      </c>
      <c r="F76" s="15">
        <v>68870</v>
      </c>
    </row>
    <row r="77" spans="1:6" x14ac:dyDescent="0.3">
      <c r="A77" s="7">
        <v>2020</v>
      </c>
      <c r="B77" s="8" t="s">
        <v>51</v>
      </c>
      <c r="C77" s="8" t="s">
        <v>28</v>
      </c>
      <c r="D77" s="14">
        <v>22711</v>
      </c>
      <c r="E77" s="14">
        <v>151469</v>
      </c>
      <c r="F77" s="15">
        <v>77924</v>
      </c>
    </row>
    <row r="78" spans="1:6" x14ac:dyDescent="0.3">
      <c r="A78" s="7">
        <v>2020</v>
      </c>
      <c r="B78" s="8" t="s">
        <v>51</v>
      </c>
      <c r="C78" s="8" t="s">
        <v>29</v>
      </c>
      <c r="D78" s="14">
        <v>5485</v>
      </c>
      <c r="E78" s="14">
        <v>48577</v>
      </c>
      <c r="F78" s="15">
        <v>53439</v>
      </c>
    </row>
    <row r="79" spans="1:6" x14ac:dyDescent="0.3">
      <c r="A79" s="7">
        <v>2020</v>
      </c>
      <c r="B79" s="8" t="s">
        <v>51</v>
      </c>
      <c r="C79" s="8" t="s">
        <v>30</v>
      </c>
      <c r="D79" s="14">
        <v>50929</v>
      </c>
      <c r="E79" s="14">
        <v>361821</v>
      </c>
      <c r="F79" s="15">
        <v>78199</v>
      </c>
    </row>
    <row r="80" spans="1:6" x14ac:dyDescent="0.3">
      <c r="A80" s="7">
        <v>2020</v>
      </c>
      <c r="B80" s="8" t="s">
        <v>51</v>
      </c>
      <c r="C80" s="8" t="s">
        <v>31</v>
      </c>
      <c r="D80" s="14">
        <v>29231</v>
      </c>
      <c r="E80" s="14">
        <v>229369</v>
      </c>
      <c r="F80" s="15">
        <v>59177</v>
      </c>
    </row>
    <row r="81" spans="1:6" x14ac:dyDescent="0.3">
      <c r="A81" s="7">
        <v>2020</v>
      </c>
      <c r="B81" s="8" t="s">
        <v>51</v>
      </c>
      <c r="C81" s="8" t="s">
        <v>32</v>
      </c>
      <c r="D81" s="14">
        <v>3669</v>
      </c>
      <c r="E81" s="14">
        <v>25364</v>
      </c>
      <c r="F81" s="15">
        <v>66729</v>
      </c>
    </row>
    <row r="82" spans="1:6" x14ac:dyDescent="0.3">
      <c r="A82" s="7">
        <v>2020</v>
      </c>
      <c r="B82" s="8" t="s">
        <v>51</v>
      </c>
      <c r="C82" s="8" t="s">
        <v>33</v>
      </c>
      <c r="D82" s="14">
        <v>23650</v>
      </c>
      <c r="E82" s="14">
        <v>218531</v>
      </c>
      <c r="F82" s="15">
        <v>65104</v>
      </c>
    </row>
    <row r="83" spans="1:6" x14ac:dyDescent="0.3">
      <c r="A83" s="7">
        <v>2020</v>
      </c>
      <c r="B83" s="8" t="s">
        <v>51</v>
      </c>
      <c r="C83" s="8" t="s">
        <v>34</v>
      </c>
      <c r="D83" s="14">
        <v>9855</v>
      </c>
      <c r="E83" s="14">
        <v>78772</v>
      </c>
      <c r="F83" s="15">
        <v>55099</v>
      </c>
    </row>
    <row r="84" spans="1:6" x14ac:dyDescent="0.3">
      <c r="A84" s="7">
        <v>2020</v>
      </c>
      <c r="B84" s="8" t="s">
        <v>51</v>
      </c>
      <c r="C84" s="8" t="s">
        <v>35</v>
      </c>
      <c r="D84" s="14">
        <v>14899</v>
      </c>
      <c r="E84" s="14">
        <v>107568</v>
      </c>
      <c r="F84" s="15">
        <v>66876</v>
      </c>
    </row>
    <row r="85" spans="1:6" x14ac:dyDescent="0.3">
      <c r="A85" s="7">
        <v>2020</v>
      </c>
      <c r="B85" s="8" t="s">
        <v>51</v>
      </c>
      <c r="C85" s="8" t="s">
        <v>36</v>
      </c>
      <c r="D85" s="14">
        <v>29345</v>
      </c>
      <c r="E85" s="14">
        <v>241570</v>
      </c>
      <c r="F85" s="15">
        <v>70639</v>
      </c>
    </row>
    <row r="86" spans="1:6" x14ac:dyDescent="0.3">
      <c r="A86" s="7">
        <v>2020</v>
      </c>
      <c r="B86" s="8" t="s">
        <v>51</v>
      </c>
      <c r="C86" s="8" t="s">
        <v>37</v>
      </c>
      <c r="D86" s="14">
        <v>3878</v>
      </c>
      <c r="E86" s="14">
        <v>18924</v>
      </c>
      <c r="F86" s="15">
        <v>66955</v>
      </c>
    </row>
    <row r="87" spans="1:6" x14ac:dyDescent="0.3">
      <c r="A87" s="7">
        <v>2020</v>
      </c>
      <c r="B87" s="8" t="s">
        <v>51</v>
      </c>
      <c r="C87" s="8" t="s">
        <v>38</v>
      </c>
      <c r="D87" s="14">
        <v>13348</v>
      </c>
      <c r="E87" s="14">
        <v>103647</v>
      </c>
      <c r="F87" s="15">
        <v>57906</v>
      </c>
    </row>
    <row r="88" spans="1:6" x14ac:dyDescent="0.3">
      <c r="A88" s="7">
        <v>2020</v>
      </c>
      <c r="B88" s="8" t="s">
        <v>51</v>
      </c>
      <c r="C88" s="8" t="s">
        <v>39</v>
      </c>
      <c r="D88" s="14">
        <v>3954</v>
      </c>
      <c r="E88" s="14">
        <v>24410</v>
      </c>
      <c r="F88" s="15">
        <v>54005</v>
      </c>
    </row>
    <row r="89" spans="1:6" x14ac:dyDescent="0.3">
      <c r="A89" s="7">
        <v>2020</v>
      </c>
      <c r="B89" s="8" t="s">
        <v>51</v>
      </c>
      <c r="C89" s="8" t="s">
        <v>40</v>
      </c>
      <c r="D89" s="14">
        <v>12894</v>
      </c>
      <c r="E89" s="14">
        <v>130050</v>
      </c>
      <c r="F89" s="15">
        <v>62259</v>
      </c>
    </row>
    <row r="90" spans="1:6" x14ac:dyDescent="0.3">
      <c r="A90" s="7">
        <v>2020</v>
      </c>
      <c r="B90" s="8" t="s">
        <v>51</v>
      </c>
      <c r="C90" s="8" t="s">
        <v>41</v>
      </c>
      <c r="D90" s="14">
        <v>55014</v>
      </c>
      <c r="E90" s="14">
        <v>737125</v>
      </c>
      <c r="F90" s="15">
        <v>68929</v>
      </c>
    </row>
    <row r="91" spans="1:6" x14ac:dyDescent="0.3">
      <c r="A91" s="7">
        <v>2020</v>
      </c>
      <c r="B91" s="8" t="s">
        <v>51</v>
      </c>
      <c r="C91" s="8" t="s">
        <v>42</v>
      </c>
      <c r="D91" s="14">
        <v>12932</v>
      </c>
      <c r="E91" s="14">
        <v>115416</v>
      </c>
      <c r="F91" s="15">
        <v>57474</v>
      </c>
    </row>
    <row r="92" spans="1:6" x14ac:dyDescent="0.3">
      <c r="A92" s="7">
        <v>2020</v>
      </c>
      <c r="B92" s="8" t="s">
        <v>51</v>
      </c>
      <c r="C92" s="8" t="s">
        <v>43</v>
      </c>
      <c r="D92" s="14">
        <v>2839</v>
      </c>
      <c r="E92" s="14">
        <v>14269</v>
      </c>
      <c r="F92" s="15">
        <v>55130</v>
      </c>
    </row>
    <row r="93" spans="1:6" x14ac:dyDescent="0.3">
      <c r="A93" s="7">
        <v>2020</v>
      </c>
      <c r="B93" s="8" t="s">
        <v>51</v>
      </c>
      <c r="C93" s="8" t="s">
        <v>44</v>
      </c>
      <c r="D93" s="14">
        <v>21412</v>
      </c>
      <c r="E93" s="14">
        <v>201137</v>
      </c>
      <c r="F93" s="15">
        <v>63521</v>
      </c>
    </row>
    <row r="94" spans="1:6" x14ac:dyDescent="0.3">
      <c r="A94" s="7">
        <v>2020</v>
      </c>
      <c r="B94" s="8" t="s">
        <v>51</v>
      </c>
      <c r="C94" s="8" t="s">
        <v>45</v>
      </c>
      <c r="D94" s="14">
        <v>27072</v>
      </c>
      <c r="E94" s="14">
        <v>199964</v>
      </c>
      <c r="F94" s="15">
        <v>69827</v>
      </c>
    </row>
    <row r="95" spans="1:6" x14ac:dyDescent="0.3">
      <c r="A95" s="7">
        <v>2020</v>
      </c>
      <c r="B95" s="8" t="s">
        <v>51</v>
      </c>
      <c r="C95" s="8" t="s">
        <v>46</v>
      </c>
      <c r="D95" s="14">
        <v>4300</v>
      </c>
      <c r="E95" s="14">
        <v>29583</v>
      </c>
      <c r="F95" s="15">
        <v>60489</v>
      </c>
    </row>
    <row r="96" spans="1:6" x14ac:dyDescent="0.3">
      <c r="A96" s="7">
        <v>2020</v>
      </c>
      <c r="B96" s="8" t="s">
        <v>51</v>
      </c>
      <c r="C96" s="8" t="s">
        <v>47</v>
      </c>
      <c r="D96" s="14">
        <v>14760</v>
      </c>
      <c r="E96" s="14">
        <v>123846</v>
      </c>
      <c r="F96" s="15">
        <v>66423</v>
      </c>
    </row>
    <row r="97" spans="1:6" x14ac:dyDescent="0.3">
      <c r="A97" s="7">
        <v>2020</v>
      </c>
      <c r="B97" s="8" t="s">
        <v>51</v>
      </c>
      <c r="C97" s="8" t="s">
        <v>48</v>
      </c>
      <c r="D97" s="14">
        <v>3478</v>
      </c>
      <c r="E97" s="14">
        <v>21200</v>
      </c>
      <c r="F97" s="15">
        <v>56640</v>
      </c>
    </row>
    <row r="98" spans="1:6" x14ac:dyDescent="0.3">
      <c r="A98" s="7">
        <v>2020</v>
      </c>
      <c r="B98" s="8" t="s">
        <v>52</v>
      </c>
      <c r="C98" s="8" t="s">
        <v>1</v>
      </c>
      <c r="D98" s="14">
        <v>5773</v>
      </c>
      <c r="E98" s="14">
        <v>258328</v>
      </c>
      <c r="F98" s="15">
        <v>60387</v>
      </c>
    </row>
    <row r="99" spans="1:6" x14ac:dyDescent="0.3">
      <c r="A99" s="7">
        <v>2020</v>
      </c>
      <c r="B99" s="8" t="s">
        <v>52</v>
      </c>
      <c r="C99" s="8" t="s">
        <v>2</v>
      </c>
      <c r="D99" s="14">
        <v>5213</v>
      </c>
      <c r="E99" s="14">
        <v>177110</v>
      </c>
      <c r="F99" s="15">
        <v>82375</v>
      </c>
    </row>
    <row r="100" spans="1:6" x14ac:dyDescent="0.3">
      <c r="A100" s="7">
        <v>2020</v>
      </c>
      <c r="B100" s="8" t="s">
        <v>52</v>
      </c>
      <c r="C100" s="8" t="s">
        <v>3</v>
      </c>
      <c r="D100" s="14">
        <v>2961</v>
      </c>
      <c r="E100" s="14">
        <v>154922</v>
      </c>
      <c r="F100" s="15">
        <v>51570</v>
      </c>
    </row>
    <row r="101" spans="1:6" x14ac:dyDescent="0.3">
      <c r="A101" s="7">
        <v>2020</v>
      </c>
      <c r="B101" s="8" t="s">
        <v>52</v>
      </c>
      <c r="C101" s="8" t="s">
        <v>4</v>
      </c>
      <c r="D101" s="14">
        <v>44156</v>
      </c>
      <c r="E101" s="14">
        <v>1263780</v>
      </c>
      <c r="F101" s="15">
        <v>109888</v>
      </c>
    </row>
    <row r="102" spans="1:6" x14ac:dyDescent="0.3">
      <c r="A102" s="7">
        <v>2020</v>
      </c>
      <c r="B102" s="8" t="s">
        <v>52</v>
      </c>
      <c r="C102" s="8" t="s">
        <v>5</v>
      </c>
      <c r="D102" s="14">
        <v>5888</v>
      </c>
      <c r="E102" s="14">
        <v>146473</v>
      </c>
      <c r="F102" s="15">
        <v>77207</v>
      </c>
    </row>
    <row r="103" spans="1:6" x14ac:dyDescent="0.3">
      <c r="A103" s="7">
        <v>2020</v>
      </c>
      <c r="B103" s="8" t="s">
        <v>52</v>
      </c>
      <c r="C103" s="8" t="s">
        <v>6</v>
      </c>
      <c r="D103" s="14">
        <v>4386</v>
      </c>
      <c r="E103" s="14">
        <v>153812</v>
      </c>
      <c r="F103" s="15">
        <v>87706</v>
      </c>
    </row>
    <row r="104" spans="1:6" x14ac:dyDescent="0.3">
      <c r="A104" s="7">
        <v>2020</v>
      </c>
      <c r="B104" s="8" t="s">
        <v>52</v>
      </c>
      <c r="C104" s="8" t="s">
        <v>7</v>
      </c>
      <c r="D104" s="8">
        <v>678</v>
      </c>
      <c r="E104" s="14">
        <v>25520</v>
      </c>
      <c r="F104" s="15">
        <v>68049</v>
      </c>
    </row>
    <row r="105" spans="1:6" x14ac:dyDescent="0.3">
      <c r="A105" s="7">
        <v>2020</v>
      </c>
      <c r="B105" s="8" t="s">
        <v>52</v>
      </c>
      <c r="C105" s="8" t="s">
        <v>8</v>
      </c>
      <c r="D105" s="14">
        <v>21275</v>
      </c>
      <c r="E105" s="14">
        <v>376070</v>
      </c>
      <c r="F105" s="15">
        <v>66758</v>
      </c>
    </row>
    <row r="106" spans="1:6" x14ac:dyDescent="0.3">
      <c r="A106" s="7">
        <v>2020</v>
      </c>
      <c r="B106" s="8" t="s">
        <v>52</v>
      </c>
      <c r="C106" s="8" t="s">
        <v>9</v>
      </c>
      <c r="D106" s="14">
        <v>10646</v>
      </c>
      <c r="E106" s="14">
        <v>382938</v>
      </c>
      <c r="F106" s="15">
        <v>60184</v>
      </c>
    </row>
    <row r="107" spans="1:6" x14ac:dyDescent="0.3">
      <c r="A107" s="7">
        <v>2020</v>
      </c>
      <c r="B107" s="8" t="s">
        <v>52</v>
      </c>
      <c r="C107" s="8" t="s">
        <v>10</v>
      </c>
      <c r="D107" s="14">
        <v>2886</v>
      </c>
      <c r="E107" s="14">
        <v>67700</v>
      </c>
      <c r="F107" s="15">
        <v>65603</v>
      </c>
    </row>
    <row r="108" spans="1:6" x14ac:dyDescent="0.3">
      <c r="A108" s="7">
        <v>2020</v>
      </c>
      <c r="B108" s="8" t="s">
        <v>52</v>
      </c>
      <c r="C108" s="8" t="s">
        <v>11</v>
      </c>
      <c r="D108" s="14">
        <v>18033</v>
      </c>
      <c r="E108" s="14">
        <v>554712</v>
      </c>
      <c r="F108" s="15">
        <v>74855</v>
      </c>
    </row>
    <row r="109" spans="1:6" x14ac:dyDescent="0.3">
      <c r="A109" s="7">
        <v>2020</v>
      </c>
      <c r="B109" s="8" t="s">
        <v>52</v>
      </c>
      <c r="C109" s="8" t="s">
        <v>12</v>
      </c>
      <c r="D109" s="14">
        <v>9255</v>
      </c>
      <c r="E109" s="14">
        <v>504460</v>
      </c>
      <c r="F109" s="15">
        <v>65092</v>
      </c>
    </row>
    <row r="110" spans="1:6" x14ac:dyDescent="0.3">
      <c r="A110" s="7">
        <v>2020</v>
      </c>
      <c r="B110" s="8" t="s">
        <v>52</v>
      </c>
      <c r="C110" s="8" t="s">
        <v>13</v>
      </c>
      <c r="D110" s="14">
        <v>4099</v>
      </c>
      <c r="E110" s="14">
        <v>216615</v>
      </c>
      <c r="F110" s="15">
        <v>63103</v>
      </c>
    </row>
    <row r="111" spans="1:6" x14ac:dyDescent="0.3">
      <c r="A111" s="7">
        <v>2020</v>
      </c>
      <c r="B111" s="8" t="s">
        <v>52</v>
      </c>
      <c r="C111" s="8" t="s">
        <v>14</v>
      </c>
      <c r="D111" s="14">
        <v>3109</v>
      </c>
      <c r="E111" s="14">
        <v>158784</v>
      </c>
      <c r="F111" s="15">
        <v>62958</v>
      </c>
    </row>
    <row r="112" spans="1:6" x14ac:dyDescent="0.3">
      <c r="A112" s="7">
        <v>2020</v>
      </c>
      <c r="B112" s="8" t="s">
        <v>52</v>
      </c>
      <c r="C112" s="8" t="s">
        <v>15</v>
      </c>
      <c r="D112" s="14">
        <v>4978</v>
      </c>
      <c r="E112" s="14">
        <v>235564</v>
      </c>
      <c r="F112" s="15">
        <v>62902</v>
      </c>
    </row>
    <row r="113" spans="1:6" x14ac:dyDescent="0.3">
      <c r="A113" s="7">
        <v>2020</v>
      </c>
      <c r="B113" s="8" t="s">
        <v>52</v>
      </c>
      <c r="C113" s="8" t="s">
        <v>16</v>
      </c>
      <c r="D113" s="14">
        <v>4501</v>
      </c>
      <c r="E113" s="14">
        <v>131430</v>
      </c>
      <c r="F113" s="15">
        <v>78183</v>
      </c>
    </row>
    <row r="114" spans="1:6" x14ac:dyDescent="0.3">
      <c r="A114" s="7">
        <v>2020</v>
      </c>
      <c r="B114" s="8" t="s">
        <v>52</v>
      </c>
      <c r="C114" s="8" t="s">
        <v>17</v>
      </c>
      <c r="D114" s="14">
        <v>1863</v>
      </c>
      <c r="E114" s="14">
        <v>50166</v>
      </c>
      <c r="F114" s="15">
        <v>61682</v>
      </c>
    </row>
    <row r="115" spans="1:6" x14ac:dyDescent="0.3">
      <c r="A115" s="7">
        <v>2020</v>
      </c>
      <c r="B115" s="8" t="s">
        <v>52</v>
      </c>
      <c r="C115" s="8" t="s">
        <v>18</v>
      </c>
      <c r="D115" s="14">
        <v>4168</v>
      </c>
      <c r="E115" s="14">
        <v>108500</v>
      </c>
      <c r="F115" s="15">
        <v>85426</v>
      </c>
    </row>
    <row r="116" spans="1:6" x14ac:dyDescent="0.3">
      <c r="A116" s="7">
        <v>2020</v>
      </c>
      <c r="B116" s="8" t="s">
        <v>52</v>
      </c>
      <c r="C116" s="8" t="s">
        <v>19</v>
      </c>
      <c r="D116" s="14">
        <v>6616</v>
      </c>
      <c r="E116" s="14">
        <v>229741</v>
      </c>
      <c r="F116" s="15">
        <v>96190</v>
      </c>
    </row>
    <row r="117" spans="1:6" x14ac:dyDescent="0.3">
      <c r="A117" s="7">
        <v>2020</v>
      </c>
      <c r="B117" s="8" t="s">
        <v>52</v>
      </c>
      <c r="C117" s="8" t="s">
        <v>20</v>
      </c>
      <c r="D117" s="14">
        <v>17437</v>
      </c>
      <c r="E117" s="14">
        <v>554767</v>
      </c>
      <c r="F117" s="15">
        <v>70769</v>
      </c>
    </row>
    <row r="118" spans="1:6" x14ac:dyDescent="0.3">
      <c r="A118" s="7">
        <v>2020</v>
      </c>
      <c r="B118" s="8" t="s">
        <v>52</v>
      </c>
      <c r="C118" s="8" t="s">
        <v>21</v>
      </c>
      <c r="D118" s="14">
        <v>8284</v>
      </c>
      <c r="E118" s="14">
        <v>309006</v>
      </c>
      <c r="F118" s="15">
        <v>70870</v>
      </c>
    </row>
    <row r="119" spans="1:6" x14ac:dyDescent="0.3">
      <c r="A119" s="7">
        <v>2020</v>
      </c>
      <c r="B119" s="8" t="s">
        <v>52</v>
      </c>
      <c r="C119" s="8" t="s">
        <v>22</v>
      </c>
      <c r="D119" s="14">
        <v>2375</v>
      </c>
      <c r="E119" s="14">
        <v>139480</v>
      </c>
      <c r="F119" s="15">
        <v>51918</v>
      </c>
    </row>
    <row r="120" spans="1:6" x14ac:dyDescent="0.3">
      <c r="A120" s="7">
        <v>2020</v>
      </c>
      <c r="B120" s="8" t="s">
        <v>52</v>
      </c>
      <c r="C120" s="8" t="s">
        <v>23</v>
      </c>
      <c r="D120" s="14">
        <v>6859</v>
      </c>
      <c r="E120" s="14">
        <v>266452</v>
      </c>
      <c r="F120" s="15">
        <v>61836</v>
      </c>
    </row>
    <row r="121" spans="1:6" x14ac:dyDescent="0.3">
      <c r="A121" s="7">
        <v>2020</v>
      </c>
      <c r="B121" s="8" t="s">
        <v>52</v>
      </c>
      <c r="C121" s="8" t="s">
        <v>24</v>
      </c>
      <c r="D121" s="14">
        <v>1672</v>
      </c>
      <c r="E121" s="14">
        <v>20421</v>
      </c>
      <c r="F121" s="15">
        <v>54178</v>
      </c>
    </row>
    <row r="122" spans="1:6" x14ac:dyDescent="0.3">
      <c r="A122" s="7">
        <v>2020</v>
      </c>
      <c r="B122" s="8" t="s">
        <v>52</v>
      </c>
      <c r="C122" s="8" t="s">
        <v>25</v>
      </c>
      <c r="D122" s="14">
        <v>1949</v>
      </c>
      <c r="E122" s="14">
        <v>97530</v>
      </c>
      <c r="F122" s="15">
        <v>56492</v>
      </c>
    </row>
    <row r="123" spans="1:6" x14ac:dyDescent="0.3">
      <c r="A123" s="7">
        <v>2020</v>
      </c>
      <c r="B123" s="8" t="s">
        <v>52</v>
      </c>
      <c r="C123" s="8" t="s">
        <v>26</v>
      </c>
      <c r="D123" s="14">
        <v>2054</v>
      </c>
      <c r="E123" s="14">
        <v>55673</v>
      </c>
      <c r="F123" s="15">
        <v>66821</v>
      </c>
    </row>
    <row r="124" spans="1:6" x14ac:dyDescent="0.3">
      <c r="A124" s="7">
        <v>2020</v>
      </c>
      <c r="B124" s="8" t="s">
        <v>52</v>
      </c>
      <c r="C124" s="8" t="s">
        <v>27</v>
      </c>
      <c r="D124" s="14">
        <v>2001</v>
      </c>
      <c r="E124" s="14">
        <v>67282</v>
      </c>
      <c r="F124" s="15">
        <v>77769</v>
      </c>
    </row>
    <row r="125" spans="1:6" x14ac:dyDescent="0.3">
      <c r="A125" s="7">
        <v>2020</v>
      </c>
      <c r="B125" s="8" t="s">
        <v>52</v>
      </c>
      <c r="C125" s="8" t="s">
        <v>28</v>
      </c>
      <c r="D125" s="14">
        <v>8964</v>
      </c>
      <c r="E125" s="14">
        <v>235850</v>
      </c>
      <c r="F125" s="15">
        <v>86277</v>
      </c>
    </row>
    <row r="126" spans="1:6" x14ac:dyDescent="0.3">
      <c r="A126" s="7">
        <v>2020</v>
      </c>
      <c r="B126" s="8" t="s">
        <v>52</v>
      </c>
      <c r="C126" s="8" t="s">
        <v>29</v>
      </c>
      <c r="D126" s="14">
        <v>1776</v>
      </c>
      <c r="E126" s="14">
        <v>27201</v>
      </c>
      <c r="F126" s="15">
        <v>58794</v>
      </c>
    </row>
    <row r="127" spans="1:6" x14ac:dyDescent="0.3">
      <c r="A127" s="7">
        <v>2020</v>
      </c>
      <c r="B127" s="8" t="s">
        <v>52</v>
      </c>
      <c r="C127" s="8" t="s">
        <v>30</v>
      </c>
      <c r="D127" s="14">
        <v>16292</v>
      </c>
      <c r="E127" s="14">
        <v>399337</v>
      </c>
      <c r="F127" s="15">
        <v>73103</v>
      </c>
    </row>
    <row r="128" spans="1:6" x14ac:dyDescent="0.3">
      <c r="A128" s="7">
        <v>2020</v>
      </c>
      <c r="B128" s="8" t="s">
        <v>52</v>
      </c>
      <c r="C128" s="8" t="s">
        <v>31</v>
      </c>
      <c r="D128" s="14">
        <v>10303</v>
      </c>
      <c r="E128" s="14">
        <v>452637</v>
      </c>
      <c r="F128" s="15">
        <v>63281</v>
      </c>
    </row>
    <row r="129" spans="1:6" x14ac:dyDescent="0.3">
      <c r="A129" s="7">
        <v>2020</v>
      </c>
      <c r="B129" s="8" t="s">
        <v>52</v>
      </c>
      <c r="C129" s="8" t="s">
        <v>32</v>
      </c>
      <c r="D129" s="8">
        <v>799</v>
      </c>
      <c r="E129" s="14">
        <v>25259</v>
      </c>
      <c r="F129" s="15">
        <v>57695</v>
      </c>
    </row>
    <row r="130" spans="1:6" x14ac:dyDescent="0.3">
      <c r="A130" s="7">
        <v>2020</v>
      </c>
      <c r="B130" s="8" t="s">
        <v>52</v>
      </c>
      <c r="C130" s="8" t="s">
        <v>33</v>
      </c>
      <c r="D130" s="14">
        <v>15453</v>
      </c>
      <c r="E130" s="14">
        <v>653028</v>
      </c>
      <c r="F130" s="15">
        <v>64995</v>
      </c>
    </row>
    <row r="131" spans="1:6" x14ac:dyDescent="0.3">
      <c r="A131" s="7">
        <v>2020</v>
      </c>
      <c r="B131" s="8" t="s">
        <v>52</v>
      </c>
      <c r="C131" s="8" t="s">
        <v>34</v>
      </c>
      <c r="D131" s="14">
        <v>4178</v>
      </c>
      <c r="E131" s="14">
        <v>131206</v>
      </c>
      <c r="F131" s="15">
        <v>60915</v>
      </c>
    </row>
    <row r="132" spans="1:6" x14ac:dyDescent="0.3">
      <c r="A132" s="7">
        <v>2020</v>
      </c>
      <c r="B132" s="8" t="s">
        <v>52</v>
      </c>
      <c r="C132" s="8" t="s">
        <v>35</v>
      </c>
      <c r="D132" s="14">
        <v>6354</v>
      </c>
      <c r="E132" s="14">
        <v>184947</v>
      </c>
      <c r="F132" s="15">
        <v>74927</v>
      </c>
    </row>
    <row r="133" spans="1:6" x14ac:dyDescent="0.3">
      <c r="A133" s="7">
        <v>2020</v>
      </c>
      <c r="B133" s="8" t="s">
        <v>52</v>
      </c>
      <c r="C133" s="8" t="s">
        <v>36</v>
      </c>
      <c r="D133" s="14">
        <v>14363</v>
      </c>
      <c r="E133" s="14">
        <v>537402</v>
      </c>
      <c r="F133" s="15">
        <v>66931</v>
      </c>
    </row>
    <row r="134" spans="1:6" x14ac:dyDescent="0.3">
      <c r="A134" s="7">
        <v>2020</v>
      </c>
      <c r="B134" s="8" t="s">
        <v>52</v>
      </c>
      <c r="C134" s="8" t="s">
        <v>37</v>
      </c>
      <c r="D134" s="14">
        <v>1516</v>
      </c>
      <c r="E134" s="14">
        <v>37411</v>
      </c>
      <c r="F134" s="15">
        <v>63645</v>
      </c>
    </row>
    <row r="135" spans="1:6" x14ac:dyDescent="0.3">
      <c r="A135" s="7">
        <v>2020</v>
      </c>
      <c r="B135" s="8" t="s">
        <v>52</v>
      </c>
      <c r="C135" s="8" t="s">
        <v>38</v>
      </c>
      <c r="D135" s="14">
        <v>6655</v>
      </c>
      <c r="E135" s="14">
        <v>244395</v>
      </c>
      <c r="F135" s="15">
        <v>61779</v>
      </c>
    </row>
    <row r="136" spans="1:6" x14ac:dyDescent="0.3">
      <c r="A136" s="7">
        <v>2020</v>
      </c>
      <c r="B136" s="8" t="s">
        <v>52</v>
      </c>
      <c r="C136" s="8" t="s">
        <v>39</v>
      </c>
      <c r="D136" s="14">
        <v>1072</v>
      </c>
      <c r="E136" s="14">
        <v>43135</v>
      </c>
      <c r="F136" s="15">
        <v>53285</v>
      </c>
    </row>
    <row r="137" spans="1:6" x14ac:dyDescent="0.3">
      <c r="A137" s="7">
        <v>2020</v>
      </c>
      <c r="B137" s="8" t="s">
        <v>52</v>
      </c>
      <c r="C137" s="8" t="s">
        <v>40</v>
      </c>
      <c r="D137" s="14">
        <v>7620</v>
      </c>
      <c r="E137" s="14">
        <v>334972</v>
      </c>
      <c r="F137" s="15">
        <v>63122</v>
      </c>
    </row>
    <row r="138" spans="1:6" x14ac:dyDescent="0.3">
      <c r="A138" s="7">
        <v>2020</v>
      </c>
      <c r="B138" s="8" t="s">
        <v>52</v>
      </c>
      <c r="C138" s="8" t="s">
        <v>41</v>
      </c>
      <c r="D138" s="14">
        <v>26257</v>
      </c>
      <c r="E138" s="14">
        <v>867807</v>
      </c>
      <c r="F138" s="15">
        <v>81206</v>
      </c>
    </row>
    <row r="139" spans="1:6" x14ac:dyDescent="0.3">
      <c r="A139" s="7">
        <v>2020</v>
      </c>
      <c r="B139" s="8" t="s">
        <v>52</v>
      </c>
      <c r="C139" s="8" t="s">
        <v>42</v>
      </c>
      <c r="D139" s="14">
        <v>4616</v>
      </c>
      <c r="E139" s="14">
        <v>135571</v>
      </c>
      <c r="F139" s="15">
        <v>61796</v>
      </c>
    </row>
    <row r="140" spans="1:6" x14ac:dyDescent="0.3">
      <c r="A140" s="7">
        <v>2020</v>
      </c>
      <c r="B140" s="8" t="s">
        <v>52</v>
      </c>
      <c r="C140" s="8" t="s">
        <v>43</v>
      </c>
      <c r="D140" s="14">
        <v>1107</v>
      </c>
      <c r="E140" s="14">
        <v>28176</v>
      </c>
      <c r="F140" s="15">
        <v>62352</v>
      </c>
    </row>
    <row r="141" spans="1:6" x14ac:dyDescent="0.3">
      <c r="A141" s="7">
        <v>2020</v>
      </c>
      <c r="B141" s="8" t="s">
        <v>52</v>
      </c>
      <c r="C141" s="8" t="s">
        <v>44</v>
      </c>
      <c r="D141" s="14">
        <v>7023</v>
      </c>
      <c r="E141" s="14">
        <v>232300</v>
      </c>
      <c r="F141" s="15">
        <v>63958</v>
      </c>
    </row>
    <row r="142" spans="1:6" x14ac:dyDescent="0.3">
      <c r="A142" s="7">
        <v>2020</v>
      </c>
      <c r="B142" s="8" t="s">
        <v>52</v>
      </c>
      <c r="C142" s="8" t="s">
        <v>45</v>
      </c>
      <c r="D142" s="14">
        <v>7882</v>
      </c>
      <c r="E142" s="14">
        <v>268553</v>
      </c>
      <c r="F142" s="15">
        <v>82000</v>
      </c>
    </row>
    <row r="143" spans="1:6" x14ac:dyDescent="0.3">
      <c r="A143" s="7">
        <v>2020</v>
      </c>
      <c r="B143" s="8" t="s">
        <v>52</v>
      </c>
      <c r="C143" s="8" t="s">
        <v>46</v>
      </c>
      <c r="D143" s="14">
        <v>1261</v>
      </c>
      <c r="E143" s="14">
        <v>44429</v>
      </c>
      <c r="F143" s="15">
        <v>62359</v>
      </c>
    </row>
    <row r="144" spans="1:6" x14ac:dyDescent="0.3">
      <c r="A144" s="7">
        <v>2020</v>
      </c>
      <c r="B144" s="8" t="s">
        <v>52</v>
      </c>
      <c r="C144" s="8" t="s">
        <v>47</v>
      </c>
      <c r="D144" s="14">
        <v>9214</v>
      </c>
      <c r="E144" s="14">
        <v>458262</v>
      </c>
      <c r="F144" s="15">
        <v>61039</v>
      </c>
    </row>
    <row r="145" spans="1:6" x14ac:dyDescent="0.3">
      <c r="A145" s="7">
        <v>2020</v>
      </c>
      <c r="B145" s="8" t="s">
        <v>52</v>
      </c>
      <c r="C145" s="8" t="s">
        <v>48</v>
      </c>
      <c r="D145" s="8">
        <v>620</v>
      </c>
      <c r="E145" s="14">
        <v>9580</v>
      </c>
      <c r="F145" s="15">
        <v>70308</v>
      </c>
    </row>
    <row r="146" spans="1:6" x14ac:dyDescent="0.3">
      <c r="A146" s="7">
        <v>2020</v>
      </c>
      <c r="B146" s="8" t="s">
        <v>54</v>
      </c>
      <c r="C146" s="8" t="s">
        <v>1</v>
      </c>
      <c r="D146" s="14">
        <v>32424</v>
      </c>
      <c r="E146" s="14">
        <v>372620</v>
      </c>
      <c r="F146" s="15">
        <v>45853</v>
      </c>
    </row>
    <row r="147" spans="1:6" x14ac:dyDescent="0.3">
      <c r="A147" s="7">
        <v>2020</v>
      </c>
      <c r="B147" s="8" t="s">
        <v>54</v>
      </c>
      <c r="C147" s="8" t="s">
        <v>2</v>
      </c>
      <c r="D147" s="14">
        <v>33859</v>
      </c>
      <c r="E147" s="14">
        <v>546143</v>
      </c>
      <c r="F147" s="15">
        <v>51498</v>
      </c>
    </row>
    <row r="148" spans="1:6" x14ac:dyDescent="0.3">
      <c r="A148" s="7">
        <v>2020</v>
      </c>
      <c r="B148" s="8" t="s">
        <v>54</v>
      </c>
      <c r="C148" s="8" t="s">
        <v>3</v>
      </c>
      <c r="D148" s="14">
        <v>21836</v>
      </c>
      <c r="E148" s="14">
        <v>244074</v>
      </c>
      <c r="F148" s="15">
        <v>45673</v>
      </c>
    </row>
    <row r="149" spans="1:6" x14ac:dyDescent="0.3">
      <c r="A149" s="7">
        <v>2020</v>
      </c>
      <c r="B149" s="8" t="s">
        <v>54</v>
      </c>
      <c r="C149" s="8" t="s">
        <v>4</v>
      </c>
      <c r="D149" s="14">
        <v>200632</v>
      </c>
      <c r="E149" s="14">
        <v>2888684</v>
      </c>
      <c r="F149" s="15">
        <v>58800</v>
      </c>
    </row>
    <row r="150" spans="1:6" x14ac:dyDescent="0.3">
      <c r="A150" s="7">
        <v>2020</v>
      </c>
      <c r="B150" s="8" t="s">
        <v>54</v>
      </c>
      <c r="C150" s="8" t="s">
        <v>5</v>
      </c>
      <c r="D150" s="14">
        <v>36421</v>
      </c>
      <c r="E150" s="14">
        <v>465887</v>
      </c>
      <c r="F150" s="15">
        <v>55719</v>
      </c>
    </row>
    <row r="151" spans="1:6" x14ac:dyDescent="0.3">
      <c r="A151" s="7">
        <v>2020</v>
      </c>
      <c r="B151" s="8" t="s">
        <v>54</v>
      </c>
      <c r="C151" s="8" t="s">
        <v>6</v>
      </c>
      <c r="D151" s="14">
        <v>24725</v>
      </c>
      <c r="E151" s="14">
        <v>276491</v>
      </c>
      <c r="F151" s="15">
        <v>55859</v>
      </c>
    </row>
    <row r="152" spans="1:6" x14ac:dyDescent="0.3">
      <c r="A152" s="7">
        <v>2020</v>
      </c>
      <c r="B152" s="8" t="s">
        <v>54</v>
      </c>
      <c r="C152" s="8" t="s">
        <v>7</v>
      </c>
      <c r="D152" s="14">
        <v>7050</v>
      </c>
      <c r="E152" s="14">
        <v>76267</v>
      </c>
      <c r="F152" s="15">
        <v>45667</v>
      </c>
    </row>
    <row r="153" spans="1:6" x14ac:dyDescent="0.3">
      <c r="A153" s="7">
        <v>2020</v>
      </c>
      <c r="B153" s="8" t="s">
        <v>54</v>
      </c>
      <c r="C153" s="8" t="s">
        <v>8</v>
      </c>
      <c r="D153" s="14">
        <v>142700</v>
      </c>
      <c r="E153" s="14">
        <v>1739110</v>
      </c>
      <c r="F153" s="15">
        <v>49391</v>
      </c>
    </row>
    <row r="154" spans="1:6" x14ac:dyDescent="0.3">
      <c r="A154" s="7">
        <v>2020</v>
      </c>
      <c r="B154" s="8" t="s">
        <v>54</v>
      </c>
      <c r="C154" s="8" t="s">
        <v>9</v>
      </c>
      <c r="D154" s="14">
        <v>64380</v>
      </c>
      <c r="E154" s="14">
        <v>913981</v>
      </c>
      <c r="F154" s="15">
        <v>52104</v>
      </c>
    </row>
    <row r="155" spans="1:6" x14ac:dyDescent="0.3">
      <c r="A155" s="7">
        <v>2020</v>
      </c>
      <c r="B155" s="8" t="s">
        <v>54</v>
      </c>
      <c r="C155" s="8" t="s">
        <v>10</v>
      </c>
      <c r="D155" s="14">
        <v>12742</v>
      </c>
      <c r="E155" s="14">
        <v>143264</v>
      </c>
      <c r="F155" s="15">
        <v>44610</v>
      </c>
    </row>
    <row r="156" spans="1:6" x14ac:dyDescent="0.3">
      <c r="A156" s="7">
        <v>2020</v>
      </c>
      <c r="B156" s="8" t="s">
        <v>54</v>
      </c>
      <c r="C156" s="8" t="s">
        <v>11</v>
      </c>
      <c r="D156" s="14">
        <v>78196</v>
      </c>
      <c r="E156" s="14">
        <v>1140749</v>
      </c>
      <c r="F156" s="15">
        <v>55780</v>
      </c>
    </row>
    <row r="157" spans="1:6" x14ac:dyDescent="0.3">
      <c r="A157" s="7">
        <v>2020</v>
      </c>
      <c r="B157" s="8" t="s">
        <v>54</v>
      </c>
      <c r="C157" s="8" t="s">
        <v>12</v>
      </c>
      <c r="D157" s="14">
        <v>40846</v>
      </c>
      <c r="E157" s="14">
        <v>583686</v>
      </c>
      <c r="F157" s="15">
        <v>45931</v>
      </c>
    </row>
    <row r="158" spans="1:6" x14ac:dyDescent="0.3">
      <c r="A158" s="7">
        <v>2020</v>
      </c>
      <c r="B158" s="8" t="s">
        <v>54</v>
      </c>
      <c r="C158" s="8" t="s">
        <v>13</v>
      </c>
      <c r="D158" s="14">
        <v>23479</v>
      </c>
      <c r="E158" s="14">
        <v>298376</v>
      </c>
      <c r="F158" s="15">
        <v>44146</v>
      </c>
    </row>
    <row r="159" spans="1:6" x14ac:dyDescent="0.3">
      <c r="A159" s="7">
        <v>2020</v>
      </c>
      <c r="B159" s="8" t="s">
        <v>54</v>
      </c>
      <c r="C159" s="8" t="s">
        <v>14</v>
      </c>
      <c r="D159" s="14">
        <v>19497</v>
      </c>
      <c r="E159" s="14">
        <v>255575</v>
      </c>
      <c r="F159" s="15">
        <v>46012</v>
      </c>
    </row>
    <row r="160" spans="1:6" x14ac:dyDescent="0.3">
      <c r="A160" s="7">
        <v>2020</v>
      </c>
      <c r="B160" s="8" t="s">
        <v>54</v>
      </c>
      <c r="C160" s="8" t="s">
        <v>15</v>
      </c>
      <c r="D160" s="14">
        <v>28266</v>
      </c>
      <c r="E160" s="14">
        <v>393361</v>
      </c>
      <c r="F160" s="15">
        <v>46839</v>
      </c>
    </row>
    <row r="161" spans="1:6" x14ac:dyDescent="0.3">
      <c r="A161" s="7">
        <v>2020</v>
      </c>
      <c r="B161" s="8" t="s">
        <v>54</v>
      </c>
      <c r="C161" s="8" t="s">
        <v>16</v>
      </c>
      <c r="D161" s="14">
        <v>31210</v>
      </c>
      <c r="E161" s="14">
        <v>358336</v>
      </c>
      <c r="F161" s="15">
        <v>46029</v>
      </c>
    </row>
    <row r="162" spans="1:6" x14ac:dyDescent="0.3">
      <c r="A162" s="7">
        <v>2020</v>
      </c>
      <c r="B162" s="8" t="s">
        <v>54</v>
      </c>
      <c r="C162" s="8" t="s">
        <v>17</v>
      </c>
      <c r="D162" s="14">
        <v>10546</v>
      </c>
      <c r="E162" s="14">
        <v>111483</v>
      </c>
      <c r="F162" s="15">
        <v>43084</v>
      </c>
    </row>
    <row r="163" spans="1:6" x14ac:dyDescent="0.3">
      <c r="A163" s="7">
        <v>2020</v>
      </c>
      <c r="B163" s="8" t="s">
        <v>54</v>
      </c>
      <c r="C163" s="8" t="s">
        <v>18</v>
      </c>
      <c r="D163" s="14">
        <v>31685</v>
      </c>
      <c r="E163" s="14">
        <v>441680</v>
      </c>
      <c r="F163" s="15">
        <v>50800</v>
      </c>
    </row>
    <row r="164" spans="1:6" x14ac:dyDescent="0.3">
      <c r="A164" s="7">
        <v>2020</v>
      </c>
      <c r="B164" s="8" t="s">
        <v>54</v>
      </c>
      <c r="C164" s="8" t="s">
        <v>19</v>
      </c>
      <c r="D164" s="14">
        <v>40751</v>
      </c>
      <c r="E164" s="14">
        <v>526726</v>
      </c>
      <c r="F164" s="15">
        <v>61082</v>
      </c>
    </row>
    <row r="165" spans="1:6" x14ac:dyDescent="0.3">
      <c r="A165" s="7">
        <v>2020</v>
      </c>
      <c r="B165" s="8" t="s">
        <v>54</v>
      </c>
      <c r="C165" s="8" t="s">
        <v>20</v>
      </c>
      <c r="D165" s="14">
        <v>55149</v>
      </c>
      <c r="E165" s="14">
        <v>745824</v>
      </c>
      <c r="F165" s="15">
        <v>51869</v>
      </c>
    </row>
    <row r="166" spans="1:6" x14ac:dyDescent="0.3">
      <c r="A166" s="7">
        <v>2020</v>
      </c>
      <c r="B166" s="8" t="s">
        <v>54</v>
      </c>
      <c r="C166" s="8" t="s">
        <v>21</v>
      </c>
      <c r="D166" s="14">
        <v>37255</v>
      </c>
      <c r="E166" s="14">
        <v>499190</v>
      </c>
      <c r="F166" s="15">
        <v>53843</v>
      </c>
    </row>
    <row r="167" spans="1:6" x14ac:dyDescent="0.3">
      <c r="A167" s="7">
        <v>2020</v>
      </c>
      <c r="B167" s="8" t="s">
        <v>54</v>
      </c>
      <c r="C167" s="8" t="s">
        <v>22</v>
      </c>
      <c r="D167" s="14">
        <v>19589</v>
      </c>
      <c r="E167" s="14">
        <v>226629</v>
      </c>
      <c r="F167" s="15">
        <v>40176</v>
      </c>
    </row>
    <row r="168" spans="1:6" x14ac:dyDescent="0.3">
      <c r="A168" s="7">
        <v>2020</v>
      </c>
      <c r="B168" s="8" t="s">
        <v>54</v>
      </c>
      <c r="C168" s="8" t="s">
        <v>23</v>
      </c>
      <c r="D168" s="14">
        <v>39646</v>
      </c>
      <c r="E168" s="14">
        <v>519916</v>
      </c>
      <c r="F168" s="15">
        <v>46520</v>
      </c>
    </row>
    <row r="169" spans="1:6" x14ac:dyDescent="0.3">
      <c r="A169" s="7">
        <v>2020</v>
      </c>
      <c r="B169" s="8" t="s">
        <v>54</v>
      </c>
      <c r="C169" s="8" t="s">
        <v>24</v>
      </c>
      <c r="D169" s="14">
        <v>9323</v>
      </c>
      <c r="E169" s="14">
        <v>89315</v>
      </c>
      <c r="F169" s="15">
        <v>43996</v>
      </c>
    </row>
    <row r="170" spans="1:6" x14ac:dyDescent="0.3">
      <c r="A170" s="7">
        <v>2020</v>
      </c>
      <c r="B170" s="8" t="s">
        <v>54</v>
      </c>
      <c r="C170" s="8" t="s">
        <v>25</v>
      </c>
      <c r="D170" s="14">
        <v>14748</v>
      </c>
      <c r="E170" s="14">
        <v>182745</v>
      </c>
      <c r="F170" s="15">
        <v>44095</v>
      </c>
    </row>
    <row r="171" spans="1:6" x14ac:dyDescent="0.3">
      <c r="A171" s="7">
        <v>2020</v>
      </c>
      <c r="B171" s="8" t="s">
        <v>54</v>
      </c>
      <c r="C171" s="8" t="s">
        <v>26</v>
      </c>
      <c r="D171" s="14">
        <v>15481</v>
      </c>
      <c r="E171" s="14">
        <v>252623</v>
      </c>
      <c r="F171" s="15">
        <v>48334</v>
      </c>
    </row>
    <row r="172" spans="1:6" x14ac:dyDescent="0.3">
      <c r="A172" s="7">
        <v>2020</v>
      </c>
      <c r="B172" s="8" t="s">
        <v>54</v>
      </c>
      <c r="C172" s="8" t="s">
        <v>27</v>
      </c>
      <c r="D172" s="14">
        <v>12460</v>
      </c>
      <c r="E172" s="14">
        <v>133196</v>
      </c>
      <c r="F172" s="15">
        <v>54425</v>
      </c>
    </row>
    <row r="173" spans="1:6" x14ac:dyDescent="0.3">
      <c r="A173" s="7">
        <v>2020</v>
      </c>
      <c r="B173" s="8" t="s">
        <v>54</v>
      </c>
      <c r="C173" s="8" t="s">
        <v>28</v>
      </c>
      <c r="D173" s="14">
        <v>54606</v>
      </c>
      <c r="E173" s="14">
        <v>820259</v>
      </c>
      <c r="F173" s="15">
        <v>58675</v>
      </c>
    </row>
    <row r="174" spans="1:6" x14ac:dyDescent="0.3">
      <c r="A174" s="7">
        <v>2020</v>
      </c>
      <c r="B174" s="8" t="s">
        <v>54</v>
      </c>
      <c r="C174" s="8" t="s">
        <v>29</v>
      </c>
      <c r="D174" s="14">
        <v>10949</v>
      </c>
      <c r="E174" s="14">
        <v>130261</v>
      </c>
      <c r="F174" s="15">
        <v>41086</v>
      </c>
    </row>
    <row r="175" spans="1:6" x14ac:dyDescent="0.3">
      <c r="A175" s="7">
        <v>2020</v>
      </c>
      <c r="B175" s="8" t="s">
        <v>54</v>
      </c>
      <c r="C175" s="8" t="s">
        <v>30</v>
      </c>
      <c r="D175" s="14">
        <v>118946</v>
      </c>
      <c r="E175" s="14">
        <v>1366746</v>
      </c>
      <c r="F175" s="15">
        <v>57939</v>
      </c>
    </row>
    <row r="176" spans="1:6" x14ac:dyDescent="0.3">
      <c r="A176" s="7">
        <v>2020</v>
      </c>
      <c r="B176" s="8" t="s">
        <v>54</v>
      </c>
      <c r="C176" s="8" t="s">
        <v>31</v>
      </c>
      <c r="D176" s="14">
        <v>63455</v>
      </c>
      <c r="E176" s="14">
        <v>844765</v>
      </c>
      <c r="F176" s="15">
        <v>47171</v>
      </c>
    </row>
    <row r="177" spans="1:6" x14ac:dyDescent="0.3">
      <c r="A177" s="7">
        <v>2020</v>
      </c>
      <c r="B177" s="8" t="s">
        <v>54</v>
      </c>
      <c r="C177" s="8" t="s">
        <v>32</v>
      </c>
      <c r="D177" s="14">
        <v>7745</v>
      </c>
      <c r="E177" s="14">
        <v>86570</v>
      </c>
      <c r="F177" s="15">
        <v>52657</v>
      </c>
    </row>
    <row r="178" spans="1:6" x14ac:dyDescent="0.3">
      <c r="A178" s="7">
        <v>2020</v>
      </c>
      <c r="B178" s="8" t="s">
        <v>54</v>
      </c>
      <c r="C178" s="8" t="s">
        <v>33</v>
      </c>
      <c r="D178" s="14">
        <v>68987</v>
      </c>
      <c r="E178" s="14">
        <v>998325</v>
      </c>
      <c r="F178" s="15">
        <v>48088</v>
      </c>
    </row>
    <row r="179" spans="1:6" x14ac:dyDescent="0.3">
      <c r="A179" s="7">
        <v>2020</v>
      </c>
      <c r="B179" s="8" t="s">
        <v>54</v>
      </c>
      <c r="C179" s="8" t="s">
        <v>34</v>
      </c>
      <c r="D179" s="14">
        <v>23912</v>
      </c>
      <c r="E179" s="14">
        <v>301828</v>
      </c>
      <c r="F179" s="15">
        <v>43388</v>
      </c>
    </row>
    <row r="180" spans="1:6" x14ac:dyDescent="0.3">
      <c r="A180" s="7">
        <v>2020</v>
      </c>
      <c r="B180" s="8" t="s">
        <v>54</v>
      </c>
      <c r="C180" s="8" t="s">
        <v>35</v>
      </c>
      <c r="D180" s="14">
        <v>26241</v>
      </c>
      <c r="E180" s="14">
        <v>346783</v>
      </c>
      <c r="F180" s="15">
        <v>49251</v>
      </c>
    </row>
    <row r="181" spans="1:6" x14ac:dyDescent="0.3">
      <c r="A181" s="7">
        <v>2020</v>
      </c>
      <c r="B181" s="8" t="s">
        <v>54</v>
      </c>
      <c r="C181" s="8" t="s">
        <v>36</v>
      </c>
      <c r="D181" s="14">
        <v>73985</v>
      </c>
      <c r="E181" s="14">
        <v>1054388</v>
      </c>
      <c r="F181" s="15">
        <v>49535</v>
      </c>
    </row>
    <row r="182" spans="1:6" x14ac:dyDescent="0.3">
      <c r="A182" s="7">
        <v>2020</v>
      </c>
      <c r="B182" s="8" t="s">
        <v>54</v>
      </c>
      <c r="C182" s="8" t="s">
        <v>37</v>
      </c>
      <c r="D182" s="14">
        <v>7816</v>
      </c>
      <c r="E182" s="14">
        <v>70764</v>
      </c>
      <c r="F182" s="15">
        <v>49493</v>
      </c>
    </row>
    <row r="183" spans="1:6" x14ac:dyDescent="0.3">
      <c r="A183" s="7">
        <v>2020</v>
      </c>
      <c r="B183" s="8" t="s">
        <v>54</v>
      </c>
      <c r="C183" s="8" t="s">
        <v>38</v>
      </c>
      <c r="D183" s="14">
        <v>31674</v>
      </c>
      <c r="E183" s="14">
        <v>400537</v>
      </c>
      <c r="F183" s="15">
        <v>43717</v>
      </c>
    </row>
    <row r="184" spans="1:6" x14ac:dyDescent="0.3">
      <c r="A184" s="7">
        <v>2020</v>
      </c>
      <c r="B184" s="8" t="s">
        <v>54</v>
      </c>
      <c r="C184" s="8" t="s">
        <v>39</v>
      </c>
      <c r="D184" s="14">
        <v>8068</v>
      </c>
      <c r="E184" s="14">
        <v>83179</v>
      </c>
      <c r="F184" s="15">
        <v>44162</v>
      </c>
    </row>
    <row r="185" spans="1:6" x14ac:dyDescent="0.3">
      <c r="A185" s="7">
        <v>2020</v>
      </c>
      <c r="B185" s="8" t="s">
        <v>54</v>
      </c>
      <c r="C185" s="8" t="s">
        <v>40</v>
      </c>
      <c r="D185" s="14">
        <v>40806</v>
      </c>
      <c r="E185" s="14">
        <v>627005</v>
      </c>
      <c r="F185" s="15">
        <v>50111</v>
      </c>
    </row>
    <row r="186" spans="1:6" x14ac:dyDescent="0.3">
      <c r="A186" s="7">
        <v>2020</v>
      </c>
      <c r="B186" s="8" t="s">
        <v>54</v>
      </c>
      <c r="C186" s="8" t="s">
        <v>41</v>
      </c>
      <c r="D186" s="14">
        <v>152438</v>
      </c>
      <c r="E186" s="14">
        <v>2453267</v>
      </c>
      <c r="F186" s="15">
        <v>56485</v>
      </c>
    </row>
    <row r="187" spans="1:6" x14ac:dyDescent="0.3">
      <c r="A187" s="7">
        <v>2020</v>
      </c>
      <c r="B187" s="8" t="s">
        <v>54</v>
      </c>
      <c r="C187" s="8" t="s">
        <v>42</v>
      </c>
      <c r="D187" s="14">
        <v>20535</v>
      </c>
      <c r="E187" s="14">
        <v>288623</v>
      </c>
      <c r="F187" s="15">
        <v>49353</v>
      </c>
    </row>
    <row r="188" spans="1:6" x14ac:dyDescent="0.3">
      <c r="A188" s="7">
        <v>2020</v>
      </c>
      <c r="B188" s="8" t="s">
        <v>54</v>
      </c>
      <c r="C188" s="8" t="s">
        <v>43</v>
      </c>
      <c r="D188" s="14">
        <v>5003</v>
      </c>
      <c r="E188" s="14">
        <v>49851</v>
      </c>
      <c r="F188" s="15">
        <v>45701</v>
      </c>
    </row>
    <row r="189" spans="1:6" x14ac:dyDescent="0.3">
      <c r="A189" s="7">
        <v>2020</v>
      </c>
      <c r="B189" s="8" t="s">
        <v>54</v>
      </c>
      <c r="C189" s="8" t="s">
        <v>44</v>
      </c>
      <c r="D189" s="14">
        <v>42564</v>
      </c>
      <c r="E189" s="14">
        <v>627729</v>
      </c>
      <c r="F189" s="15">
        <v>48371</v>
      </c>
    </row>
    <row r="190" spans="1:6" x14ac:dyDescent="0.3">
      <c r="A190" s="7">
        <v>2020</v>
      </c>
      <c r="B190" s="8" t="s">
        <v>54</v>
      </c>
      <c r="C190" s="8" t="s">
        <v>45</v>
      </c>
      <c r="D190" s="14">
        <v>38688</v>
      </c>
      <c r="E190" s="14">
        <v>615415</v>
      </c>
      <c r="F190" s="15">
        <v>74160</v>
      </c>
    </row>
    <row r="191" spans="1:6" x14ac:dyDescent="0.3">
      <c r="A191" s="7">
        <v>2020</v>
      </c>
      <c r="B191" s="8" t="s">
        <v>54</v>
      </c>
      <c r="C191" s="8" t="s">
        <v>46</v>
      </c>
      <c r="D191" s="14">
        <v>10611</v>
      </c>
      <c r="E191" s="14">
        <v>118677</v>
      </c>
      <c r="F191" s="15">
        <v>42085</v>
      </c>
    </row>
    <row r="192" spans="1:6" x14ac:dyDescent="0.3">
      <c r="A192" s="7">
        <v>2020</v>
      </c>
      <c r="B192" s="8" t="s">
        <v>54</v>
      </c>
      <c r="C192" s="8" t="s">
        <v>47</v>
      </c>
      <c r="D192" s="14">
        <v>35812</v>
      </c>
      <c r="E192" s="14">
        <v>517930</v>
      </c>
      <c r="F192" s="15">
        <v>45165</v>
      </c>
    </row>
    <row r="193" spans="1:6" x14ac:dyDescent="0.3">
      <c r="A193" s="7">
        <v>2020</v>
      </c>
      <c r="B193" s="8" t="s">
        <v>54</v>
      </c>
      <c r="C193" s="8" t="s">
        <v>48</v>
      </c>
      <c r="D193" s="14">
        <v>4840</v>
      </c>
      <c r="E193" s="14">
        <v>48509</v>
      </c>
      <c r="F193" s="15">
        <v>44879</v>
      </c>
    </row>
    <row r="194" spans="1:6" x14ac:dyDescent="0.3">
      <c r="A194" s="7">
        <v>2020</v>
      </c>
      <c r="B194" s="8" t="s">
        <v>53</v>
      </c>
      <c r="C194" s="8" t="s">
        <v>1</v>
      </c>
      <c r="D194" s="14">
        <v>2566</v>
      </c>
      <c r="E194" s="14">
        <v>19310</v>
      </c>
      <c r="F194" s="15">
        <v>69393</v>
      </c>
    </row>
    <row r="195" spans="1:6" x14ac:dyDescent="0.3">
      <c r="A195" s="7">
        <v>2020</v>
      </c>
      <c r="B195" s="8" t="s">
        <v>53</v>
      </c>
      <c r="C195" s="8" t="s">
        <v>2</v>
      </c>
      <c r="D195" s="14">
        <v>4017</v>
      </c>
      <c r="E195" s="14">
        <v>45513</v>
      </c>
      <c r="F195" s="15">
        <v>90871</v>
      </c>
    </row>
    <row r="196" spans="1:6" x14ac:dyDescent="0.3">
      <c r="A196" s="7">
        <v>2020</v>
      </c>
      <c r="B196" s="8" t="s">
        <v>53</v>
      </c>
      <c r="C196" s="8" t="s">
        <v>3</v>
      </c>
      <c r="D196" s="14">
        <v>1536</v>
      </c>
      <c r="E196" s="14">
        <v>11509</v>
      </c>
      <c r="F196" s="15">
        <v>69820</v>
      </c>
    </row>
    <row r="197" spans="1:6" x14ac:dyDescent="0.3">
      <c r="A197" s="7">
        <v>2020</v>
      </c>
      <c r="B197" s="8" t="s">
        <v>53</v>
      </c>
      <c r="C197" s="8" t="s">
        <v>4</v>
      </c>
      <c r="D197" s="14">
        <v>29491</v>
      </c>
      <c r="E197" s="14">
        <v>527549</v>
      </c>
      <c r="F197" s="15">
        <v>217892</v>
      </c>
    </row>
    <row r="198" spans="1:6" x14ac:dyDescent="0.3">
      <c r="A198" s="7">
        <v>2020</v>
      </c>
      <c r="B198" s="8" t="s">
        <v>53</v>
      </c>
      <c r="C198" s="8" t="s">
        <v>5</v>
      </c>
      <c r="D198" s="14">
        <v>4548</v>
      </c>
      <c r="E198" s="14">
        <v>74867</v>
      </c>
      <c r="F198" s="15">
        <v>123495</v>
      </c>
    </row>
    <row r="199" spans="1:6" x14ac:dyDescent="0.3">
      <c r="A199" s="7">
        <v>2020</v>
      </c>
      <c r="B199" s="8" t="s">
        <v>53</v>
      </c>
      <c r="C199" s="8" t="s">
        <v>6</v>
      </c>
      <c r="D199" s="14">
        <v>2880</v>
      </c>
      <c r="E199" s="14">
        <v>29237</v>
      </c>
      <c r="F199" s="15">
        <v>138917</v>
      </c>
    </row>
    <row r="200" spans="1:6" x14ac:dyDescent="0.3">
      <c r="A200" s="7">
        <v>2020</v>
      </c>
      <c r="B200" s="8" t="s">
        <v>53</v>
      </c>
      <c r="C200" s="8" t="s">
        <v>7</v>
      </c>
      <c r="D200" s="8">
        <v>549</v>
      </c>
      <c r="E200" s="14">
        <v>3622</v>
      </c>
      <c r="F200" s="15">
        <v>78966</v>
      </c>
    </row>
    <row r="201" spans="1:6" x14ac:dyDescent="0.3">
      <c r="A201" s="7">
        <v>2020</v>
      </c>
      <c r="B201" s="8" t="s">
        <v>53</v>
      </c>
      <c r="C201" s="8" t="s">
        <v>8</v>
      </c>
      <c r="D201" s="14">
        <v>12659</v>
      </c>
      <c r="E201" s="14">
        <v>130298</v>
      </c>
      <c r="F201" s="15">
        <v>93350</v>
      </c>
    </row>
    <row r="202" spans="1:6" x14ac:dyDescent="0.3">
      <c r="A202" s="7">
        <v>2020</v>
      </c>
      <c r="B202" s="8" t="s">
        <v>53</v>
      </c>
      <c r="C202" s="8" t="s">
        <v>9</v>
      </c>
      <c r="D202" s="14">
        <v>6010</v>
      </c>
      <c r="E202" s="14">
        <v>109190</v>
      </c>
      <c r="F202" s="15">
        <v>108735</v>
      </c>
    </row>
    <row r="203" spans="1:6" x14ac:dyDescent="0.3">
      <c r="A203" s="7">
        <v>2020</v>
      </c>
      <c r="B203" s="8" t="s">
        <v>53</v>
      </c>
      <c r="C203" s="8" t="s">
        <v>10</v>
      </c>
      <c r="D203" s="14">
        <v>1385</v>
      </c>
      <c r="E203" s="14">
        <v>7346</v>
      </c>
      <c r="F203" s="15">
        <v>64408</v>
      </c>
    </row>
    <row r="204" spans="1:6" x14ac:dyDescent="0.3">
      <c r="A204" s="7">
        <v>2020</v>
      </c>
      <c r="B204" s="8" t="s">
        <v>53</v>
      </c>
      <c r="C204" s="8" t="s">
        <v>11</v>
      </c>
      <c r="D204" s="14">
        <v>7162</v>
      </c>
      <c r="E204" s="14">
        <v>87520</v>
      </c>
      <c r="F204" s="15">
        <v>110059</v>
      </c>
    </row>
    <row r="205" spans="1:6" x14ac:dyDescent="0.3">
      <c r="A205" s="7">
        <v>2020</v>
      </c>
      <c r="B205" s="8" t="s">
        <v>53</v>
      </c>
      <c r="C205" s="8" t="s">
        <v>12</v>
      </c>
      <c r="D205" s="14">
        <v>2521</v>
      </c>
      <c r="E205" s="14">
        <v>26075</v>
      </c>
      <c r="F205" s="15">
        <v>67191</v>
      </c>
    </row>
    <row r="206" spans="1:6" x14ac:dyDescent="0.3">
      <c r="A206" s="7">
        <v>2020</v>
      </c>
      <c r="B206" s="8" t="s">
        <v>53</v>
      </c>
      <c r="C206" s="8" t="s">
        <v>13</v>
      </c>
      <c r="D206" s="14">
        <v>1811</v>
      </c>
      <c r="E206" s="14">
        <v>19135</v>
      </c>
      <c r="F206" s="15">
        <v>66858</v>
      </c>
    </row>
    <row r="207" spans="1:6" x14ac:dyDescent="0.3">
      <c r="A207" s="7">
        <v>2020</v>
      </c>
      <c r="B207" s="8" t="s">
        <v>53</v>
      </c>
      <c r="C207" s="8" t="s">
        <v>14</v>
      </c>
      <c r="D207" s="14">
        <v>1561</v>
      </c>
      <c r="E207" s="14">
        <v>16734</v>
      </c>
      <c r="F207" s="15">
        <v>73749</v>
      </c>
    </row>
    <row r="208" spans="1:6" x14ac:dyDescent="0.3">
      <c r="A208" s="7">
        <v>2020</v>
      </c>
      <c r="B208" s="8" t="s">
        <v>53</v>
      </c>
      <c r="C208" s="8" t="s">
        <v>15</v>
      </c>
      <c r="D208" s="14">
        <v>2111</v>
      </c>
      <c r="E208" s="14">
        <v>20268</v>
      </c>
      <c r="F208" s="15">
        <v>63462</v>
      </c>
    </row>
    <row r="209" spans="1:6" x14ac:dyDescent="0.3">
      <c r="A209" s="7">
        <v>2020</v>
      </c>
      <c r="B209" s="8" t="s">
        <v>53</v>
      </c>
      <c r="C209" s="8" t="s">
        <v>16</v>
      </c>
      <c r="D209" s="14">
        <v>1935</v>
      </c>
      <c r="E209" s="14">
        <v>18712</v>
      </c>
      <c r="F209" s="15">
        <v>65700</v>
      </c>
    </row>
    <row r="210" spans="1:6" x14ac:dyDescent="0.3">
      <c r="A210" s="7">
        <v>2020</v>
      </c>
      <c r="B210" s="8" t="s">
        <v>53</v>
      </c>
      <c r="C210" s="8" t="s">
        <v>17</v>
      </c>
      <c r="D210" s="8">
        <v>916</v>
      </c>
      <c r="E210" s="14">
        <v>6415</v>
      </c>
      <c r="F210" s="15">
        <v>64265</v>
      </c>
    </row>
    <row r="211" spans="1:6" x14ac:dyDescent="0.3">
      <c r="A211" s="7">
        <v>2020</v>
      </c>
      <c r="B211" s="8" t="s">
        <v>53</v>
      </c>
      <c r="C211" s="8" t="s">
        <v>18</v>
      </c>
      <c r="D211" s="14">
        <v>2855</v>
      </c>
      <c r="E211" s="14">
        <v>33029</v>
      </c>
      <c r="F211" s="15">
        <v>110569</v>
      </c>
    </row>
    <row r="212" spans="1:6" x14ac:dyDescent="0.3">
      <c r="A212" s="7">
        <v>2020</v>
      </c>
      <c r="B212" s="8" t="s">
        <v>53</v>
      </c>
      <c r="C212" s="8" t="s">
        <v>19</v>
      </c>
      <c r="D212" s="14">
        <v>6073</v>
      </c>
      <c r="E212" s="14">
        <v>89231</v>
      </c>
      <c r="F212" s="15">
        <v>146746</v>
      </c>
    </row>
    <row r="213" spans="1:6" x14ac:dyDescent="0.3">
      <c r="A213" s="7">
        <v>2020</v>
      </c>
      <c r="B213" s="8" t="s">
        <v>53</v>
      </c>
      <c r="C213" s="8" t="s">
        <v>20</v>
      </c>
      <c r="D213" s="14">
        <v>7671</v>
      </c>
      <c r="E213" s="14">
        <v>50511</v>
      </c>
      <c r="F213" s="15">
        <v>88745</v>
      </c>
    </row>
    <row r="214" spans="1:6" x14ac:dyDescent="0.3">
      <c r="A214" s="7">
        <v>2020</v>
      </c>
      <c r="B214" s="8" t="s">
        <v>53</v>
      </c>
      <c r="C214" s="8" t="s">
        <v>21</v>
      </c>
      <c r="D214" s="14">
        <v>4304</v>
      </c>
      <c r="E214" s="14">
        <v>43145</v>
      </c>
      <c r="F214" s="15">
        <v>92292</v>
      </c>
    </row>
    <row r="215" spans="1:6" x14ac:dyDescent="0.3">
      <c r="A215" s="7">
        <v>2020</v>
      </c>
      <c r="B215" s="8" t="s">
        <v>53</v>
      </c>
      <c r="C215" s="8" t="s">
        <v>22</v>
      </c>
      <c r="D215" s="8">
        <v>964</v>
      </c>
      <c r="E215" s="14">
        <v>9629</v>
      </c>
      <c r="F215" s="15">
        <v>54301</v>
      </c>
    </row>
    <row r="216" spans="1:6" x14ac:dyDescent="0.3">
      <c r="A216" s="7">
        <v>2020</v>
      </c>
      <c r="B216" s="8" t="s">
        <v>53</v>
      </c>
      <c r="C216" s="8" t="s">
        <v>23</v>
      </c>
      <c r="D216" s="14">
        <v>3562</v>
      </c>
      <c r="E216" s="14">
        <v>43675</v>
      </c>
      <c r="F216" s="15">
        <v>89327</v>
      </c>
    </row>
    <row r="217" spans="1:6" x14ac:dyDescent="0.3">
      <c r="A217" s="7">
        <v>2020</v>
      </c>
      <c r="B217" s="8" t="s">
        <v>53</v>
      </c>
      <c r="C217" s="8" t="s">
        <v>24</v>
      </c>
      <c r="D217" s="8">
        <v>856</v>
      </c>
      <c r="E217" s="14">
        <v>5797</v>
      </c>
      <c r="F217" s="15">
        <v>65673</v>
      </c>
    </row>
    <row r="218" spans="1:6" x14ac:dyDescent="0.3">
      <c r="A218" s="7">
        <v>2020</v>
      </c>
      <c r="B218" s="8" t="s">
        <v>53</v>
      </c>
      <c r="C218" s="8" t="s">
        <v>25</v>
      </c>
      <c r="D218" s="14">
        <v>1071</v>
      </c>
      <c r="E218" s="14">
        <v>16165</v>
      </c>
      <c r="F218" s="15">
        <v>76361</v>
      </c>
    </row>
    <row r="219" spans="1:6" x14ac:dyDescent="0.3">
      <c r="A219" s="7">
        <v>2020</v>
      </c>
      <c r="B219" s="8" t="s">
        <v>53</v>
      </c>
      <c r="C219" s="8" t="s">
        <v>26</v>
      </c>
      <c r="D219" s="14">
        <v>1609</v>
      </c>
      <c r="E219" s="14">
        <v>13306</v>
      </c>
      <c r="F219" s="15">
        <v>88353</v>
      </c>
    </row>
    <row r="220" spans="1:6" x14ac:dyDescent="0.3">
      <c r="A220" s="7">
        <v>2020</v>
      </c>
      <c r="B220" s="8" t="s">
        <v>53</v>
      </c>
      <c r="C220" s="8" t="s">
        <v>27</v>
      </c>
      <c r="D220" s="14">
        <v>1168</v>
      </c>
      <c r="E220" s="14">
        <v>11735</v>
      </c>
      <c r="F220" s="15">
        <v>107194</v>
      </c>
    </row>
    <row r="221" spans="1:6" x14ac:dyDescent="0.3">
      <c r="A221" s="7">
        <v>2020</v>
      </c>
      <c r="B221" s="8" t="s">
        <v>53</v>
      </c>
      <c r="C221" s="8" t="s">
        <v>28</v>
      </c>
      <c r="D221" s="14">
        <v>3965</v>
      </c>
      <c r="E221" s="14">
        <v>67885</v>
      </c>
      <c r="F221" s="15">
        <v>130541</v>
      </c>
    </row>
    <row r="222" spans="1:6" x14ac:dyDescent="0.3">
      <c r="A222" s="7">
        <v>2020</v>
      </c>
      <c r="B222" s="8" t="s">
        <v>53</v>
      </c>
      <c r="C222" s="8" t="s">
        <v>29</v>
      </c>
      <c r="D222" s="14">
        <v>1108</v>
      </c>
      <c r="E222" s="14">
        <v>9076</v>
      </c>
      <c r="F222" s="15">
        <v>62393</v>
      </c>
    </row>
    <row r="223" spans="1:6" x14ac:dyDescent="0.3">
      <c r="A223" s="7">
        <v>2020</v>
      </c>
      <c r="B223" s="8" t="s">
        <v>53</v>
      </c>
      <c r="C223" s="8" t="s">
        <v>30</v>
      </c>
      <c r="D223" s="14">
        <v>14380</v>
      </c>
      <c r="E223" s="14">
        <v>267749</v>
      </c>
      <c r="F223" s="15">
        <v>154357</v>
      </c>
    </row>
    <row r="224" spans="1:6" x14ac:dyDescent="0.3">
      <c r="A224" s="7">
        <v>2020</v>
      </c>
      <c r="B224" s="8" t="s">
        <v>53</v>
      </c>
      <c r="C224" s="8" t="s">
        <v>31</v>
      </c>
      <c r="D224" s="14">
        <v>6302</v>
      </c>
      <c r="E224" s="14">
        <v>73440</v>
      </c>
      <c r="F224" s="15">
        <v>96207</v>
      </c>
    </row>
    <row r="225" spans="1:6" x14ac:dyDescent="0.3">
      <c r="A225" s="7">
        <v>2020</v>
      </c>
      <c r="B225" s="8" t="s">
        <v>53</v>
      </c>
      <c r="C225" s="8" t="s">
        <v>32</v>
      </c>
      <c r="D225" s="8">
        <v>417</v>
      </c>
      <c r="E225" s="14">
        <v>5780</v>
      </c>
      <c r="F225" s="15">
        <v>79624</v>
      </c>
    </row>
    <row r="226" spans="1:6" x14ac:dyDescent="0.3">
      <c r="A226" s="7">
        <v>2020</v>
      </c>
      <c r="B226" s="8" t="s">
        <v>53</v>
      </c>
      <c r="C226" s="8" t="s">
        <v>33</v>
      </c>
      <c r="D226" s="14">
        <v>5303</v>
      </c>
      <c r="E226" s="14">
        <v>63865</v>
      </c>
      <c r="F226" s="15">
        <v>80052</v>
      </c>
    </row>
    <row r="227" spans="1:6" x14ac:dyDescent="0.3">
      <c r="A227" s="7">
        <v>2020</v>
      </c>
      <c r="B227" s="8" t="s">
        <v>53</v>
      </c>
      <c r="C227" s="8" t="s">
        <v>34</v>
      </c>
      <c r="D227" s="14">
        <v>1572</v>
      </c>
      <c r="E227" s="14">
        <v>18256</v>
      </c>
      <c r="F227" s="15">
        <v>63710</v>
      </c>
    </row>
    <row r="228" spans="1:6" x14ac:dyDescent="0.3">
      <c r="A228" s="7">
        <v>2020</v>
      </c>
      <c r="B228" s="8" t="s">
        <v>53</v>
      </c>
      <c r="C228" s="8" t="s">
        <v>35</v>
      </c>
      <c r="D228" s="14">
        <v>4605</v>
      </c>
      <c r="E228" s="14">
        <v>33218</v>
      </c>
      <c r="F228" s="15">
        <v>101737</v>
      </c>
    </row>
    <row r="229" spans="1:6" x14ac:dyDescent="0.3">
      <c r="A229" s="7">
        <v>2020</v>
      </c>
      <c r="B229" s="8" t="s">
        <v>53</v>
      </c>
      <c r="C229" s="8" t="s">
        <v>36</v>
      </c>
      <c r="D229" s="14">
        <v>5891</v>
      </c>
      <c r="E229" s="14">
        <v>82872</v>
      </c>
      <c r="F229" s="15">
        <v>107388</v>
      </c>
    </row>
    <row r="230" spans="1:6" x14ac:dyDescent="0.3">
      <c r="A230" s="7">
        <v>2020</v>
      </c>
      <c r="B230" s="8" t="s">
        <v>53</v>
      </c>
      <c r="C230" s="8" t="s">
        <v>37</v>
      </c>
      <c r="D230" s="8">
        <v>762</v>
      </c>
      <c r="E230" s="14">
        <v>5243</v>
      </c>
      <c r="F230" s="15">
        <v>87286</v>
      </c>
    </row>
    <row r="231" spans="1:6" x14ac:dyDescent="0.3">
      <c r="A231" s="7">
        <v>2020</v>
      </c>
      <c r="B231" s="8" t="s">
        <v>53</v>
      </c>
      <c r="C231" s="8" t="s">
        <v>38</v>
      </c>
      <c r="D231" s="14">
        <v>3216</v>
      </c>
      <c r="E231" s="14">
        <v>24744</v>
      </c>
      <c r="F231" s="15">
        <v>73562</v>
      </c>
    </row>
    <row r="232" spans="1:6" x14ac:dyDescent="0.3">
      <c r="A232" s="7">
        <v>2020</v>
      </c>
      <c r="B232" s="8" t="s">
        <v>53</v>
      </c>
      <c r="C232" s="8" t="s">
        <v>39</v>
      </c>
      <c r="D232" s="8">
        <v>606</v>
      </c>
      <c r="E232" s="14">
        <v>5074</v>
      </c>
      <c r="F232" s="15">
        <v>58069</v>
      </c>
    </row>
    <row r="233" spans="1:6" x14ac:dyDescent="0.3">
      <c r="A233" s="7">
        <v>2020</v>
      </c>
      <c r="B233" s="8" t="s">
        <v>53</v>
      </c>
      <c r="C233" s="8" t="s">
        <v>40</v>
      </c>
      <c r="D233" s="14">
        <v>4525</v>
      </c>
      <c r="E233" s="14">
        <v>42929</v>
      </c>
      <c r="F233" s="15">
        <v>81293</v>
      </c>
    </row>
    <row r="234" spans="1:6" x14ac:dyDescent="0.3">
      <c r="A234" s="7">
        <v>2020</v>
      </c>
      <c r="B234" s="8" t="s">
        <v>53</v>
      </c>
      <c r="C234" s="8" t="s">
        <v>41</v>
      </c>
      <c r="D234" s="14">
        <v>11822</v>
      </c>
      <c r="E234" s="14">
        <v>198521</v>
      </c>
      <c r="F234" s="15">
        <v>102835</v>
      </c>
    </row>
    <row r="235" spans="1:6" x14ac:dyDescent="0.3">
      <c r="A235" s="7">
        <v>2020</v>
      </c>
      <c r="B235" s="8" t="s">
        <v>53</v>
      </c>
      <c r="C235" s="8" t="s">
        <v>42</v>
      </c>
      <c r="D235" s="14">
        <v>3177</v>
      </c>
      <c r="E235" s="14">
        <v>37222</v>
      </c>
      <c r="F235" s="15">
        <v>96974</v>
      </c>
    </row>
    <row r="236" spans="1:6" x14ac:dyDescent="0.3">
      <c r="A236" s="7">
        <v>2020</v>
      </c>
      <c r="B236" s="8" t="s">
        <v>53</v>
      </c>
      <c r="C236" s="8" t="s">
        <v>43</v>
      </c>
      <c r="D236" s="8">
        <v>584</v>
      </c>
      <c r="E236" s="14">
        <v>3961</v>
      </c>
      <c r="F236" s="15">
        <v>68605</v>
      </c>
    </row>
    <row r="237" spans="1:6" x14ac:dyDescent="0.3">
      <c r="A237" s="7">
        <v>2020</v>
      </c>
      <c r="B237" s="8" t="s">
        <v>53</v>
      </c>
      <c r="C237" s="8" t="s">
        <v>44</v>
      </c>
      <c r="D237" s="14">
        <v>4875</v>
      </c>
      <c r="E237" s="14">
        <v>64840</v>
      </c>
      <c r="F237" s="15">
        <v>117848</v>
      </c>
    </row>
    <row r="238" spans="1:6" x14ac:dyDescent="0.3">
      <c r="A238" s="7">
        <v>2020</v>
      </c>
      <c r="B238" s="8" t="s">
        <v>53</v>
      </c>
      <c r="C238" s="8" t="s">
        <v>45</v>
      </c>
      <c r="D238" s="14">
        <v>5419</v>
      </c>
      <c r="E238" s="14">
        <v>148556</v>
      </c>
      <c r="F238" s="15">
        <v>242273</v>
      </c>
    </row>
    <row r="239" spans="1:6" x14ac:dyDescent="0.3">
      <c r="A239" s="7">
        <v>2020</v>
      </c>
      <c r="B239" s="8" t="s">
        <v>53</v>
      </c>
      <c r="C239" s="8" t="s">
        <v>46</v>
      </c>
      <c r="D239" s="8">
        <v>825</v>
      </c>
      <c r="E239" s="14">
        <v>7215</v>
      </c>
      <c r="F239" s="15">
        <v>58063</v>
      </c>
    </row>
    <row r="240" spans="1:6" x14ac:dyDescent="0.3">
      <c r="A240" s="7">
        <v>2020</v>
      </c>
      <c r="B240" s="8" t="s">
        <v>53</v>
      </c>
      <c r="C240" s="8" t="s">
        <v>47</v>
      </c>
      <c r="D240" s="14">
        <v>2400</v>
      </c>
      <c r="E240" s="14">
        <v>44846</v>
      </c>
      <c r="F240" s="15">
        <v>88336</v>
      </c>
    </row>
    <row r="241" spans="1:6" x14ac:dyDescent="0.3">
      <c r="A241" s="7">
        <v>2020</v>
      </c>
      <c r="B241" s="8" t="s">
        <v>53</v>
      </c>
      <c r="C241" s="8" t="s">
        <v>48</v>
      </c>
      <c r="D241" s="8">
        <v>428</v>
      </c>
      <c r="E241" s="14">
        <v>3000</v>
      </c>
      <c r="F241" s="15">
        <v>54299</v>
      </c>
    </row>
    <row r="242" spans="1:6" x14ac:dyDescent="0.3">
      <c r="A242" s="7">
        <v>2020</v>
      </c>
      <c r="B242" s="8" t="s">
        <v>56</v>
      </c>
      <c r="C242" s="8" t="s">
        <v>1</v>
      </c>
      <c r="D242" s="14">
        <v>13880</v>
      </c>
      <c r="E242" s="14">
        <v>94715</v>
      </c>
      <c r="F242" s="15">
        <v>75982</v>
      </c>
    </row>
    <row r="243" spans="1:6" x14ac:dyDescent="0.3">
      <c r="A243" s="7">
        <v>2020</v>
      </c>
      <c r="B243" s="8" t="s">
        <v>56</v>
      </c>
      <c r="C243" s="8" t="s">
        <v>2</v>
      </c>
      <c r="D243" s="14">
        <v>20707</v>
      </c>
      <c r="E243" s="14">
        <v>225922</v>
      </c>
      <c r="F243" s="15">
        <v>82956</v>
      </c>
    </row>
    <row r="244" spans="1:6" x14ac:dyDescent="0.3">
      <c r="A244" s="7">
        <v>2020</v>
      </c>
      <c r="B244" s="8" t="s">
        <v>56</v>
      </c>
      <c r="C244" s="8" t="s">
        <v>3</v>
      </c>
      <c r="D244" s="14">
        <v>8906</v>
      </c>
      <c r="E244" s="14">
        <v>51950</v>
      </c>
      <c r="F244" s="15">
        <v>65321</v>
      </c>
    </row>
    <row r="245" spans="1:6" x14ac:dyDescent="0.3">
      <c r="A245" s="7">
        <v>2020</v>
      </c>
      <c r="B245" s="8" t="s">
        <v>56</v>
      </c>
      <c r="C245" s="8" t="s">
        <v>4</v>
      </c>
      <c r="D245" s="14">
        <v>112775</v>
      </c>
      <c r="E245" s="14">
        <v>817007</v>
      </c>
      <c r="F245" s="15">
        <v>124107</v>
      </c>
    </row>
    <row r="246" spans="1:6" x14ac:dyDescent="0.3">
      <c r="A246" s="7">
        <v>2020</v>
      </c>
      <c r="B246" s="8" t="s">
        <v>56</v>
      </c>
      <c r="C246" s="8" t="s">
        <v>5</v>
      </c>
      <c r="D246" s="14">
        <v>25139</v>
      </c>
      <c r="E246" s="14">
        <v>165271</v>
      </c>
      <c r="F246" s="15">
        <v>97276</v>
      </c>
    </row>
    <row r="247" spans="1:6" x14ac:dyDescent="0.3">
      <c r="A247" s="7">
        <v>2020</v>
      </c>
      <c r="B247" s="8" t="s">
        <v>56</v>
      </c>
      <c r="C247" s="8" t="s">
        <v>6</v>
      </c>
      <c r="D247" s="14">
        <v>11223</v>
      </c>
      <c r="E247" s="14">
        <v>118168</v>
      </c>
      <c r="F247" s="15">
        <v>165086</v>
      </c>
    </row>
    <row r="248" spans="1:6" x14ac:dyDescent="0.3">
      <c r="A248" s="7">
        <v>2020</v>
      </c>
      <c r="B248" s="8" t="s">
        <v>56</v>
      </c>
      <c r="C248" s="8" t="s">
        <v>7</v>
      </c>
      <c r="D248" s="14">
        <v>3005</v>
      </c>
      <c r="E248" s="14">
        <v>47390</v>
      </c>
      <c r="F248" s="15">
        <v>103154</v>
      </c>
    </row>
    <row r="249" spans="1:6" x14ac:dyDescent="0.3">
      <c r="A249" s="7">
        <v>2020</v>
      </c>
      <c r="B249" s="8" t="s">
        <v>56</v>
      </c>
      <c r="C249" s="8" t="s">
        <v>8</v>
      </c>
      <c r="D249" s="14">
        <v>80956</v>
      </c>
      <c r="E249" s="14">
        <v>586706</v>
      </c>
      <c r="F249" s="15">
        <v>84307</v>
      </c>
    </row>
    <row r="250" spans="1:6" x14ac:dyDescent="0.3">
      <c r="A250" s="7">
        <v>2020</v>
      </c>
      <c r="B250" s="8" t="s">
        <v>56</v>
      </c>
      <c r="C250" s="8" t="s">
        <v>9</v>
      </c>
      <c r="D250" s="14">
        <v>28810</v>
      </c>
      <c r="E250" s="14">
        <v>242175</v>
      </c>
      <c r="F250" s="15">
        <v>93145</v>
      </c>
    </row>
    <row r="251" spans="1:6" x14ac:dyDescent="0.3">
      <c r="A251" s="7">
        <v>2020</v>
      </c>
      <c r="B251" s="8" t="s">
        <v>56</v>
      </c>
      <c r="C251" s="8" t="s">
        <v>10</v>
      </c>
      <c r="D251" s="14">
        <v>6508</v>
      </c>
      <c r="E251" s="14">
        <v>34249</v>
      </c>
      <c r="F251" s="15">
        <v>68833</v>
      </c>
    </row>
    <row r="252" spans="1:6" x14ac:dyDescent="0.3">
      <c r="A252" s="7">
        <v>2020</v>
      </c>
      <c r="B252" s="8" t="s">
        <v>56</v>
      </c>
      <c r="C252" s="8" t="s">
        <v>11</v>
      </c>
      <c r="D252" s="14">
        <v>33063</v>
      </c>
      <c r="E252" s="14">
        <v>376539</v>
      </c>
      <c r="F252" s="15">
        <v>121634</v>
      </c>
    </row>
    <row r="253" spans="1:6" x14ac:dyDescent="0.3">
      <c r="A253" s="7">
        <v>2020</v>
      </c>
      <c r="B253" s="8" t="s">
        <v>56</v>
      </c>
      <c r="C253" s="8" t="s">
        <v>12</v>
      </c>
      <c r="D253" s="14">
        <v>17574</v>
      </c>
      <c r="E253" s="14">
        <v>133449</v>
      </c>
      <c r="F253" s="15">
        <v>72283</v>
      </c>
    </row>
    <row r="254" spans="1:6" x14ac:dyDescent="0.3">
      <c r="A254" s="7">
        <v>2020</v>
      </c>
      <c r="B254" s="8" t="s">
        <v>56</v>
      </c>
      <c r="C254" s="8" t="s">
        <v>13</v>
      </c>
      <c r="D254" s="14">
        <v>10731</v>
      </c>
      <c r="E254" s="14">
        <v>109283</v>
      </c>
      <c r="F254" s="15">
        <v>81131</v>
      </c>
    </row>
    <row r="255" spans="1:6" x14ac:dyDescent="0.3">
      <c r="A255" s="7">
        <v>2020</v>
      </c>
      <c r="B255" s="8" t="s">
        <v>56</v>
      </c>
      <c r="C255" s="8" t="s">
        <v>14</v>
      </c>
      <c r="D255" s="14">
        <v>8752</v>
      </c>
      <c r="E255" s="14">
        <v>73310</v>
      </c>
      <c r="F255" s="15">
        <v>75889</v>
      </c>
    </row>
    <row r="256" spans="1:6" x14ac:dyDescent="0.3">
      <c r="A256" s="7">
        <v>2020</v>
      </c>
      <c r="B256" s="8" t="s">
        <v>56</v>
      </c>
      <c r="C256" s="8" t="s">
        <v>15</v>
      </c>
      <c r="D256" s="14">
        <v>11729</v>
      </c>
      <c r="E256" s="14">
        <v>92079</v>
      </c>
      <c r="F256" s="15">
        <v>75177</v>
      </c>
    </row>
    <row r="257" spans="1:6" x14ac:dyDescent="0.3">
      <c r="A257" s="7">
        <v>2020</v>
      </c>
      <c r="B257" s="8" t="s">
        <v>56</v>
      </c>
      <c r="C257" s="8" t="s">
        <v>16</v>
      </c>
      <c r="D257" s="14">
        <v>14229</v>
      </c>
      <c r="E257" s="14">
        <v>81149</v>
      </c>
      <c r="F257" s="15">
        <v>69409</v>
      </c>
    </row>
    <row r="258" spans="1:6" x14ac:dyDescent="0.3">
      <c r="A258" s="7">
        <v>2020</v>
      </c>
      <c r="B258" s="8" t="s">
        <v>56</v>
      </c>
      <c r="C258" s="8" t="s">
        <v>17</v>
      </c>
      <c r="D258" s="14">
        <v>3926</v>
      </c>
      <c r="E258" s="14">
        <v>30107</v>
      </c>
      <c r="F258" s="15">
        <v>75870</v>
      </c>
    </row>
    <row r="259" spans="1:6" x14ac:dyDescent="0.3">
      <c r="A259" s="7">
        <v>2020</v>
      </c>
      <c r="B259" s="8" t="s">
        <v>56</v>
      </c>
      <c r="C259" s="8" t="s">
        <v>18</v>
      </c>
      <c r="D259" s="14">
        <v>15692</v>
      </c>
      <c r="E259" s="14">
        <v>129771</v>
      </c>
      <c r="F259" s="15">
        <v>110159</v>
      </c>
    </row>
    <row r="260" spans="1:6" x14ac:dyDescent="0.3">
      <c r="A260" s="7">
        <v>2020</v>
      </c>
      <c r="B260" s="8" t="s">
        <v>56</v>
      </c>
      <c r="C260" s="8" t="s">
        <v>19</v>
      </c>
      <c r="D260" s="14">
        <v>18137</v>
      </c>
      <c r="E260" s="14">
        <v>212062</v>
      </c>
      <c r="F260" s="15">
        <v>159120</v>
      </c>
    </row>
    <row r="261" spans="1:6" x14ac:dyDescent="0.3">
      <c r="A261" s="7">
        <v>2020</v>
      </c>
      <c r="B261" s="8" t="s">
        <v>56</v>
      </c>
      <c r="C261" s="8" t="s">
        <v>20</v>
      </c>
      <c r="D261" s="14">
        <v>20626</v>
      </c>
      <c r="E261" s="14">
        <v>207448</v>
      </c>
      <c r="F261" s="15">
        <v>81720</v>
      </c>
    </row>
    <row r="262" spans="1:6" x14ac:dyDescent="0.3">
      <c r="A262" s="7">
        <v>2020</v>
      </c>
      <c r="B262" s="8" t="s">
        <v>56</v>
      </c>
      <c r="C262" s="8" t="s">
        <v>21</v>
      </c>
      <c r="D262" s="14">
        <v>16134</v>
      </c>
      <c r="E262" s="14">
        <v>179728</v>
      </c>
      <c r="F262" s="15">
        <v>104989</v>
      </c>
    </row>
    <row r="263" spans="1:6" x14ac:dyDescent="0.3">
      <c r="A263" s="7">
        <v>2020</v>
      </c>
      <c r="B263" s="8" t="s">
        <v>56</v>
      </c>
      <c r="C263" s="8" t="s">
        <v>22</v>
      </c>
      <c r="D263" s="14">
        <v>7984</v>
      </c>
      <c r="E263" s="14">
        <v>41912</v>
      </c>
      <c r="F263" s="15">
        <v>59263</v>
      </c>
    </row>
    <row r="264" spans="1:6" x14ac:dyDescent="0.3">
      <c r="A264" s="7">
        <v>2020</v>
      </c>
      <c r="B264" s="8" t="s">
        <v>56</v>
      </c>
      <c r="C264" s="8" t="s">
        <v>23</v>
      </c>
      <c r="D264" s="14">
        <v>18815</v>
      </c>
      <c r="E264" s="14">
        <v>165564</v>
      </c>
      <c r="F264" s="15">
        <v>82664</v>
      </c>
    </row>
    <row r="265" spans="1:6" x14ac:dyDescent="0.3">
      <c r="A265" s="7">
        <v>2020</v>
      </c>
      <c r="B265" s="8" t="s">
        <v>56</v>
      </c>
      <c r="C265" s="8" t="s">
        <v>24</v>
      </c>
      <c r="D265" s="14">
        <v>4557</v>
      </c>
      <c r="E265" s="14">
        <v>21986</v>
      </c>
      <c r="F265" s="15">
        <v>67330</v>
      </c>
    </row>
    <row r="266" spans="1:6" x14ac:dyDescent="0.3">
      <c r="A266" s="7">
        <v>2020</v>
      </c>
      <c r="B266" s="8" t="s">
        <v>56</v>
      </c>
      <c r="C266" s="8" t="s">
        <v>25</v>
      </c>
      <c r="D266" s="14">
        <v>7000</v>
      </c>
      <c r="E266" s="14">
        <v>66588</v>
      </c>
      <c r="F266" s="15">
        <v>74942</v>
      </c>
    </row>
    <row r="267" spans="1:6" x14ac:dyDescent="0.3">
      <c r="A267" s="7">
        <v>2020</v>
      </c>
      <c r="B267" s="8" t="s">
        <v>56</v>
      </c>
      <c r="C267" s="8" t="s">
        <v>26</v>
      </c>
      <c r="D267" s="14">
        <v>9293</v>
      </c>
      <c r="E267" s="14">
        <v>62325</v>
      </c>
      <c r="F267" s="15">
        <v>79236</v>
      </c>
    </row>
    <row r="268" spans="1:6" x14ac:dyDescent="0.3">
      <c r="A268" s="7">
        <v>2020</v>
      </c>
      <c r="B268" s="8" t="s">
        <v>56</v>
      </c>
      <c r="C268" s="8" t="s">
        <v>27</v>
      </c>
      <c r="D268" s="14">
        <v>3946</v>
      </c>
      <c r="E268" s="14">
        <v>33027</v>
      </c>
      <c r="F268" s="15">
        <v>109751</v>
      </c>
    </row>
    <row r="269" spans="1:6" x14ac:dyDescent="0.3">
      <c r="A269" s="7">
        <v>2020</v>
      </c>
      <c r="B269" s="8" t="s">
        <v>56</v>
      </c>
      <c r="C269" s="8" t="s">
        <v>28</v>
      </c>
      <c r="D269" s="14">
        <v>20469</v>
      </c>
      <c r="E269" s="14">
        <v>235676</v>
      </c>
      <c r="F269" s="15">
        <v>127870</v>
      </c>
    </row>
    <row r="270" spans="1:6" x14ac:dyDescent="0.3">
      <c r="A270" s="7">
        <v>2020</v>
      </c>
      <c r="B270" s="8" t="s">
        <v>56</v>
      </c>
      <c r="C270" s="8" t="s">
        <v>29</v>
      </c>
      <c r="D270" s="14">
        <v>5600</v>
      </c>
      <c r="E270" s="14">
        <v>32608</v>
      </c>
      <c r="F270" s="15">
        <v>62343</v>
      </c>
    </row>
    <row r="271" spans="1:6" x14ac:dyDescent="0.3">
      <c r="A271" s="7">
        <v>2020</v>
      </c>
      <c r="B271" s="8" t="s">
        <v>56</v>
      </c>
      <c r="C271" s="8" t="s">
        <v>30</v>
      </c>
      <c r="D271" s="14">
        <v>63948</v>
      </c>
      <c r="E271" s="14">
        <v>700031</v>
      </c>
      <c r="F271" s="15">
        <v>207014</v>
      </c>
    </row>
    <row r="272" spans="1:6" x14ac:dyDescent="0.3">
      <c r="A272" s="7">
        <v>2020</v>
      </c>
      <c r="B272" s="8" t="s">
        <v>56</v>
      </c>
      <c r="C272" s="8" t="s">
        <v>31</v>
      </c>
      <c r="D272" s="14">
        <v>30275</v>
      </c>
      <c r="E272" s="14">
        <v>251672</v>
      </c>
      <c r="F272" s="15">
        <v>97234</v>
      </c>
    </row>
    <row r="273" spans="1:6" x14ac:dyDescent="0.3">
      <c r="A273" s="7">
        <v>2020</v>
      </c>
      <c r="B273" s="8" t="s">
        <v>56</v>
      </c>
      <c r="C273" s="8" t="s">
        <v>32</v>
      </c>
      <c r="D273" s="14">
        <v>3042</v>
      </c>
      <c r="E273" s="14">
        <v>22496</v>
      </c>
      <c r="F273" s="15">
        <v>69243</v>
      </c>
    </row>
    <row r="274" spans="1:6" x14ac:dyDescent="0.3">
      <c r="A274" s="7">
        <v>2020</v>
      </c>
      <c r="B274" s="8" t="s">
        <v>56</v>
      </c>
      <c r="C274" s="8" t="s">
        <v>33</v>
      </c>
      <c r="D274" s="14">
        <v>29307</v>
      </c>
      <c r="E274" s="14">
        <v>287990</v>
      </c>
      <c r="F274" s="15">
        <v>82336</v>
      </c>
    </row>
    <row r="275" spans="1:6" x14ac:dyDescent="0.3">
      <c r="A275" s="7">
        <v>2020</v>
      </c>
      <c r="B275" s="8" t="s">
        <v>56</v>
      </c>
      <c r="C275" s="8" t="s">
        <v>34</v>
      </c>
      <c r="D275" s="14">
        <v>11701</v>
      </c>
      <c r="E275" s="14">
        <v>74614</v>
      </c>
      <c r="F275" s="15">
        <v>64030</v>
      </c>
    </row>
    <row r="276" spans="1:6" x14ac:dyDescent="0.3">
      <c r="A276" s="7">
        <v>2020</v>
      </c>
      <c r="B276" s="8" t="s">
        <v>56</v>
      </c>
      <c r="C276" s="8" t="s">
        <v>35</v>
      </c>
      <c r="D276" s="14">
        <v>13352</v>
      </c>
      <c r="E276" s="14">
        <v>83937</v>
      </c>
      <c r="F276" s="15">
        <v>80727</v>
      </c>
    </row>
    <row r="277" spans="1:6" x14ac:dyDescent="0.3">
      <c r="A277" s="7">
        <v>2020</v>
      </c>
      <c r="B277" s="8" t="s">
        <v>56</v>
      </c>
      <c r="C277" s="8" t="s">
        <v>36</v>
      </c>
      <c r="D277" s="14">
        <v>29714</v>
      </c>
      <c r="E277" s="14">
        <v>325571</v>
      </c>
      <c r="F277" s="15">
        <v>97231</v>
      </c>
    </row>
    <row r="278" spans="1:6" x14ac:dyDescent="0.3">
      <c r="A278" s="7">
        <v>2020</v>
      </c>
      <c r="B278" s="8" t="s">
        <v>56</v>
      </c>
      <c r="C278" s="8" t="s">
        <v>37</v>
      </c>
      <c r="D278" s="14">
        <v>3038</v>
      </c>
      <c r="E278" s="14">
        <v>31304</v>
      </c>
      <c r="F278" s="15">
        <v>100316</v>
      </c>
    </row>
    <row r="279" spans="1:6" x14ac:dyDescent="0.3">
      <c r="A279" s="7">
        <v>2020</v>
      </c>
      <c r="B279" s="8" t="s">
        <v>56</v>
      </c>
      <c r="C279" s="8" t="s">
        <v>38</v>
      </c>
      <c r="D279" s="14">
        <v>15078</v>
      </c>
      <c r="E279" s="14">
        <v>101637</v>
      </c>
      <c r="F279" s="15">
        <v>71361</v>
      </c>
    </row>
    <row r="280" spans="1:6" x14ac:dyDescent="0.3">
      <c r="A280" s="7">
        <v>2020</v>
      </c>
      <c r="B280" s="8" t="s">
        <v>56</v>
      </c>
      <c r="C280" s="8" t="s">
        <v>39</v>
      </c>
      <c r="D280" s="14">
        <v>3397</v>
      </c>
      <c r="E280" s="14">
        <v>27809</v>
      </c>
      <c r="F280" s="15">
        <v>69345</v>
      </c>
    </row>
    <row r="281" spans="1:6" x14ac:dyDescent="0.3">
      <c r="A281" s="7">
        <v>2020</v>
      </c>
      <c r="B281" s="8" t="s">
        <v>56</v>
      </c>
      <c r="C281" s="8" t="s">
        <v>40</v>
      </c>
      <c r="D281" s="14">
        <v>16893</v>
      </c>
      <c r="E281" s="14">
        <v>155926</v>
      </c>
      <c r="F281" s="15">
        <v>85116</v>
      </c>
    </row>
    <row r="282" spans="1:6" x14ac:dyDescent="0.3">
      <c r="A282" s="7">
        <v>2020</v>
      </c>
      <c r="B282" s="8" t="s">
        <v>56</v>
      </c>
      <c r="C282" s="8" t="s">
        <v>41</v>
      </c>
      <c r="D282" s="14">
        <v>78940</v>
      </c>
      <c r="E282" s="14">
        <v>778554</v>
      </c>
      <c r="F282" s="15">
        <v>92477</v>
      </c>
    </row>
    <row r="283" spans="1:6" x14ac:dyDescent="0.3">
      <c r="A283" s="7">
        <v>2020</v>
      </c>
      <c r="B283" s="8" t="s">
        <v>56</v>
      </c>
      <c r="C283" s="8" t="s">
        <v>42</v>
      </c>
      <c r="D283" s="14">
        <v>12580</v>
      </c>
      <c r="E283" s="14">
        <v>93379</v>
      </c>
      <c r="F283" s="15">
        <v>79806</v>
      </c>
    </row>
    <row r="284" spans="1:6" x14ac:dyDescent="0.3">
      <c r="A284" s="7">
        <v>2020</v>
      </c>
      <c r="B284" s="8" t="s">
        <v>56</v>
      </c>
      <c r="C284" s="8" t="s">
        <v>43</v>
      </c>
      <c r="D284" s="14">
        <v>1719</v>
      </c>
      <c r="E284" s="14">
        <v>11578</v>
      </c>
      <c r="F284" s="15">
        <v>80135</v>
      </c>
    </row>
    <row r="285" spans="1:6" x14ac:dyDescent="0.3">
      <c r="A285" s="7">
        <v>2020</v>
      </c>
      <c r="B285" s="8" t="s">
        <v>56</v>
      </c>
      <c r="C285" s="8" t="s">
        <v>44</v>
      </c>
      <c r="D285" s="14">
        <v>22750</v>
      </c>
      <c r="E285" s="14">
        <v>195671</v>
      </c>
      <c r="F285" s="15">
        <v>97246</v>
      </c>
    </row>
    <row r="286" spans="1:6" x14ac:dyDescent="0.3">
      <c r="A286" s="7">
        <v>2020</v>
      </c>
      <c r="B286" s="8" t="s">
        <v>56</v>
      </c>
      <c r="C286" s="8" t="s">
        <v>45</v>
      </c>
      <c r="D286" s="14">
        <v>18828</v>
      </c>
      <c r="E286" s="14">
        <v>147772</v>
      </c>
      <c r="F286" s="15">
        <v>95674</v>
      </c>
    </row>
    <row r="287" spans="1:6" x14ac:dyDescent="0.3">
      <c r="A287" s="7">
        <v>2020</v>
      </c>
      <c r="B287" s="8" t="s">
        <v>56</v>
      </c>
      <c r="C287" s="8" t="s">
        <v>46</v>
      </c>
      <c r="D287" s="14">
        <v>4042</v>
      </c>
      <c r="E287" s="14">
        <v>24190</v>
      </c>
      <c r="F287" s="15">
        <v>56764</v>
      </c>
    </row>
    <row r="288" spans="1:6" x14ac:dyDescent="0.3">
      <c r="A288" s="7">
        <v>2020</v>
      </c>
      <c r="B288" s="8" t="s">
        <v>56</v>
      </c>
      <c r="C288" s="8" t="s">
        <v>47</v>
      </c>
      <c r="D288" s="14">
        <v>14688</v>
      </c>
      <c r="E288" s="14">
        <v>148829</v>
      </c>
      <c r="F288" s="15">
        <v>80470</v>
      </c>
    </row>
    <row r="289" spans="1:6" x14ac:dyDescent="0.3">
      <c r="A289" s="7">
        <v>2020</v>
      </c>
      <c r="B289" s="8" t="s">
        <v>56</v>
      </c>
      <c r="C289" s="8" t="s">
        <v>48</v>
      </c>
      <c r="D289" s="14">
        <v>2353</v>
      </c>
      <c r="E289" s="14">
        <v>10919</v>
      </c>
      <c r="F289" s="15">
        <v>64480</v>
      </c>
    </row>
    <row r="290" spans="1:6" x14ac:dyDescent="0.3">
      <c r="A290" s="7">
        <v>2020</v>
      </c>
      <c r="B290" s="8" t="s">
        <v>57</v>
      </c>
      <c r="C290" s="8" t="s">
        <v>1</v>
      </c>
      <c r="D290" s="14">
        <v>22875</v>
      </c>
      <c r="E290" s="14">
        <v>242419</v>
      </c>
      <c r="F290" s="15">
        <v>62111</v>
      </c>
    </row>
    <row r="291" spans="1:6" x14ac:dyDescent="0.3">
      <c r="A291" s="7">
        <v>2020</v>
      </c>
      <c r="B291" s="8" t="s">
        <v>57</v>
      </c>
      <c r="C291" s="8" t="s">
        <v>2</v>
      </c>
      <c r="D291" s="14">
        <v>40867</v>
      </c>
      <c r="E291" s="14">
        <v>431379</v>
      </c>
      <c r="F291" s="15">
        <v>63180</v>
      </c>
    </row>
    <row r="292" spans="1:6" x14ac:dyDescent="0.3">
      <c r="A292" s="7">
        <v>2020</v>
      </c>
      <c r="B292" s="8" t="s">
        <v>57</v>
      </c>
      <c r="C292" s="8" t="s">
        <v>3</v>
      </c>
      <c r="D292" s="14">
        <v>15490</v>
      </c>
      <c r="E292" s="14">
        <v>139300</v>
      </c>
      <c r="F292" s="15">
        <v>68067</v>
      </c>
    </row>
    <row r="293" spans="1:6" x14ac:dyDescent="0.3">
      <c r="A293" s="7">
        <v>2020</v>
      </c>
      <c r="B293" s="8" t="s">
        <v>57</v>
      </c>
      <c r="C293" s="8" t="s">
        <v>4</v>
      </c>
      <c r="D293" s="14">
        <v>221985</v>
      </c>
      <c r="E293" s="14">
        <v>2600604</v>
      </c>
      <c r="F293" s="15">
        <v>106486</v>
      </c>
    </row>
    <row r="294" spans="1:6" x14ac:dyDescent="0.3">
      <c r="A294" s="7">
        <v>2020</v>
      </c>
      <c r="B294" s="8" t="s">
        <v>57</v>
      </c>
      <c r="C294" s="8" t="s">
        <v>5</v>
      </c>
      <c r="D294" s="14">
        <v>58286</v>
      </c>
      <c r="E294" s="14">
        <v>430367</v>
      </c>
      <c r="F294" s="15">
        <v>90744</v>
      </c>
    </row>
    <row r="295" spans="1:6" x14ac:dyDescent="0.3">
      <c r="A295" s="7">
        <v>2020</v>
      </c>
      <c r="B295" s="8" t="s">
        <v>57</v>
      </c>
      <c r="C295" s="8" t="s">
        <v>6</v>
      </c>
      <c r="D295" s="14">
        <v>24131</v>
      </c>
      <c r="E295" s="14">
        <v>206629</v>
      </c>
      <c r="F295" s="15">
        <v>95714</v>
      </c>
    </row>
    <row r="296" spans="1:6" x14ac:dyDescent="0.3">
      <c r="A296" s="7">
        <v>2020</v>
      </c>
      <c r="B296" s="8" t="s">
        <v>57</v>
      </c>
      <c r="C296" s="8" t="s">
        <v>7</v>
      </c>
      <c r="D296" s="14">
        <v>9766</v>
      </c>
      <c r="E296" s="14">
        <v>61669</v>
      </c>
      <c r="F296" s="15">
        <v>85651</v>
      </c>
    </row>
    <row r="297" spans="1:6" x14ac:dyDescent="0.3">
      <c r="A297" s="7">
        <v>2020</v>
      </c>
      <c r="B297" s="8" t="s">
        <v>57</v>
      </c>
      <c r="C297" s="8" t="s">
        <v>8</v>
      </c>
      <c r="D297" s="14">
        <v>179893</v>
      </c>
      <c r="E297" s="14">
        <v>1358317</v>
      </c>
      <c r="F297" s="15">
        <v>68223</v>
      </c>
    </row>
    <row r="298" spans="1:6" x14ac:dyDescent="0.3">
      <c r="A298" s="7">
        <v>2020</v>
      </c>
      <c r="B298" s="8" t="s">
        <v>57</v>
      </c>
      <c r="C298" s="8" t="s">
        <v>9</v>
      </c>
      <c r="D298" s="14">
        <v>60683</v>
      </c>
      <c r="E298" s="14">
        <v>692452</v>
      </c>
      <c r="F298" s="15">
        <v>76331</v>
      </c>
    </row>
    <row r="299" spans="1:6" x14ac:dyDescent="0.3">
      <c r="A299" s="7">
        <v>2020</v>
      </c>
      <c r="B299" s="8" t="s">
        <v>57</v>
      </c>
      <c r="C299" s="8" t="s">
        <v>10</v>
      </c>
      <c r="D299" s="14">
        <v>12911</v>
      </c>
      <c r="E299" s="14">
        <v>97097</v>
      </c>
      <c r="F299" s="15">
        <v>59743</v>
      </c>
    </row>
    <row r="300" spans="1:6" x14ac:dyDescent="0.3">
      <c r="A300" s="7">
        <v>2020</v>
      </c>
      <c r="B300" s="8" t="s">
        <v>57</v>
      </c>
      <c r="C300" s="8" t="s">
        <v>11</v>
      </c>
      <c r="D300" s="14">
        <v>75904</v>
      </c>
      <c r="E300" s="14">
        <v>892150</v>
      </c>
      <c r="F300" s="15">
        <v>83889</v>
      </c>
    </row>
    <row r="301" spans="1:6" x14ac:dyDescent="0.3">
      <c r="A301" s="7">
        <v>2020</v>
      </c>
      <c r="B301" s="8" t="s">
        <v>57</v>
      </c>
      <c r="C301" s="8" t="s">
        <v>12</v>
      </c>
      <c r="D301" s="14">
        <v>32143</v>
      </c>
      <c r="E301" s="14">
        <v>326745</v>
      </c>
      <c r="F301" s="15">
        <v>58578</v>
      </c>
    </row>
    <row r="302" spans="1:6" x14ac:dyDescent="0.3">
      <c r="A302" s="7">
        <v>2020</v>
      </c>
      <c r="B302" s="8" t="s">
        <v>57</v>
      </c>
      <c r="C302" s="8" t="s">
        <v>13</v>
      </c>
      <c r="D302" s="14">
        <v>16706</v>
      </c>
      <c r="E302" s="14">
        <v>134822</v>
      </c>
      <c r="F302" s="15">
        <v>61793</v>
      </c>
    </row>
    <row r="303" spans="1:6" x14ac:dyDescent="0.3">
      <c r="A303" s="7">
        <v>2020</v>
      </c>
      <c r="B303" s="8" t="s">
        <v>57</v>
      </c>
      <c r="C303" s="8" t="s">
        <v>14</v>
      </c>
      <c r="D303" s="14">
        <v>16823</v>
      </c>
      <c r="E303" s="14">
        <v>168813</v>
      </c>
      <c r="F303" s="15">
        <v>69538</v>
      </c>
    </row>
    <row r="304" spans="1:6" x14ac:dyDescent="0.3">
      <c r="A304" s="7">
        <v>2020</v>
      </c>
      <c r="B304" s="8" t="s">
        <v>57</v>
      </c>
      <c r="C304" s="8" t="s">
        <v>15</v>
      </c>
      <c r="D304" s="14">
        <v>22329</v>
      </c>
      <c r="E304" s="14">
        <v>207575</v>
      </c>
      <c r="F304" s="15">
        <v>55987</v>
      </c>
    </row>
    <row r="305" spans="1:6" x14ac:dyDescent="0.3">
      <c r="A305" s="7">
        <v>2020</v>
      </c>
      <c r="B305" s="8" t="s">
        <v>57</v>
      </c>
      <c r="C305" s="8" t="s">
        <v>16</v>
      </c>
      <c r="D305" s="14">
        <v>26262</v>
      </c>
      <c r="E305" s="14">
        <v>204729</v>
      </c>
      <c r="F305" s="15">
        <v>60136</v>
      </c>
    </row>
    <row r="306" spans="1:6" x14ac:dyDescent="0.3">
      <c r="A306" s="7">
        <v>2020</v>
      </c>
      <c r="B306" s="8" t="s">
        <v>57</v>
      </c>
      <c r="C306" s="8" t="s">
        <v>17</v>
      </c>
      <c r="D306" s="14">
        <v>11267</v>
      </c>
      <c r="E306" s="14">
        <v>68952</v>
      </c>
      <c r="F306" s="15">
        <v>66178</v>
      </c>
    </row>
    <row r="307" spans="1:6" x14ac:dyDescent="0.3">
      <c r="A307" s="7">
        <v>2020</v>
      </c>
      <c r="B307" s="8" t="s">
        <v>57</v>
      </c>
      <c r="C307" s="8" t="s">
        <v>18</v>
      </c>
      <c r="D307" s="14">
        <v>44172</v>
      </c>
      <c r="E307" s="14">
        <v>441860</v>
      </c>
      <c r="F307" s="15">
        <v>88391</v>
      </c>
    </row>
    <row r="308" spans="1:6" x14ac:dyDescent="0.3">
      <c r="A308" s="7">
        <v>2020</v>
      </c>
      <c r="B308" s="8" t="s">
        <v>57</v>
      </c>
      <c r="C308" s="8" t="s">
        <v>19</v>
      </c>
      <c r="D308" s="14">
        <v>48428</v>
      </c>
      <c r="E308" s="14">
        <v>583792</v>
      </c>
      <c r="F308" s="15">
        <v>124638</v>
      </c>
    </row>
    <row r="309" spans="1:6" x14ac:dyDescent="0.3">
      <c r="A309" s="7">
        <v>2020</v>
      </c>
      <c r="B309" s="8" t="s">
        <v>57</v>
      </c>
      <c r="C309" s="8" t="s">
        <v>20</v>
      </c>
      <c r="D309" s="14">
        <v>46269</v>
      </c>
      <c r="E309" s="14">
        <v>599657</v>
      </c>
      <c r="F309" s="15">
        <v>76432</v>
      </c>
    </row>
    <row r="310" spans="1:6" x14ac:dyDescent="0.3">
      <c r="A310" s="7">
        <v>2020</v>
      </c>
      <c r="B310" s="8" t="s">
        <v>57</v>
      </c>
      <c r="C310" s="8" t="s">
        <v>21</v>
      </c>
      <c r="D310" s="14">
        <v>33603</v>
      </c>
      <c r="E310" s="14">
        <v>361183</v>
      </c>
      <c r="F310" s="15">
        <v>91033</v>
      </c>
    </row>
    <row r="311" spans="1:6" x14ac:dyDescent="0.3">
      <c r="A311" s="7">
        <v>2020</v>
      </c>
      <c r="B311" s="8" t="s">
        <v>57</v>
      </c>
      <c r="C311" s="8" t="s">
        <v>22</v>
      </c>
      <c r="D311" s="14">
        <v>12692</v>
      </c>
      <c r="E311" s="14">
        <v>107758</v>
      </c>
      <c r="F311" s="15">
        <v>45573</v>
      </c>
    </row>
    <row r="312" spans="1:6" x14ac:dyDescent="0.3">
      <c r="A312" s="7">
        <v>2020</v>
      </c>
      <c r="B312" s="8" t="s">
        <v>57</v>
      </c>
      <c r="C312" s="8" t="s">
        <v>23</v>
      </c>
      <c r="D312" s="14">
        <v>36089</v>
      </c>
      <c r="E312" s="14">
        <v>365657</v>
      </c>
      <c r="F312" s="15">
        <v>72666</v>
      </c>
    </row>
    <row r="313" spans="1:6" x14ac:dyDescent="0.3">
      <c r="A313" s="7">
        <v>2020</v>
      </c>
      <c r="B313" s="8" t="s">
        <v>57</v>
      </c>
      <c r="C313" s="8" t="s">
        <v>24</v>
      </c>
      <c r="D313" s="14">
        <v>10331</v>
      </c>
      <c r="E313" s="14">
        <v>43549</v>
      </c>
      <c r="F313" s="15">
        <v>59785</v>
      </c>
    </row>
    <row r="314" spans="1:6" x14ac:dyDescent="0.3">
      <c r="A314" s="7">
        <v>2020</v>
      </c>
      <c r="B314" s="8" t="s">
        <v>57</v>
      </c>
      <c r="C314" s="8" t="s">
        <v>25</v>
      </c>
      <c r="D314" s="14">
        <v>11809</v>
      </c>
      <c r="E314" s="14">
        <v>117288</v>
      </c>
      <c r="F314" s="15">
        <v>65292</v>
      </c>
    </row>
    <row r="315" spans="1:6" x14ac:dyDescent="0.3">
      <c r="A315" s="7">
        <v>2020</v>
      </c>
      <c r="B315" s="8" t="s">
        <v>57</v>
      </c>
      <c r="C315" s="8" t="s">
        <v>26</v>
      </c>
      <c r="D315" s="14">
        <v>20046</v>
      </c>
      <c r="E315" s="14">
        <v>179092</v>
      </c>
      <c r="F315" s="15">
        <v>67081</v>
      </c>
    </row>
    <row r="316" spans="1:6" x14ac:dyDescent="0.3">
      <c r="A316" s="7">
        <v>2020</v>
      </c>
      <c r="B316" s="8" t="s">
        <v>57</v>
      </c>
      <c r="C316" s="8" t="s">
        <v>27</v>
      </c>
      <c r="D316" s="14">
        <v>13616</v>
      </c>
      <c r="E316" s="14">
        <v>81639</v>
      </c>
      <c r="F316" s="15">
        <v>88167</v>
      </c>
    </row>
    <row r="317" spans="1:6" x14ac:dyDescent="0.3">
      <c r="A317" s="7">
        <v>2020</v>
      </c>
      <c r="B317" s="8" t="s">
        <v>57</v>
      </c>
      <c r="C317" s="8" t="s">
        <v>28</v>
      </c>
      <c r="D317" s="14">
        <v>53304</v>
      </c>
      <c r="E317" s="14">
        <v>643507</v>
      </c>
      <c r="F317" s="15">
        <v>102666</v>
      </c>
    </row>
    <row r="318" spans="1:6" x14ac:dyDescent="0.3">
      <c r="A318" s="7">
        <v>2020</v>
      </c>
      <c r="B318" s="8" t="s">
        <v>57</v>
      </c>
      <c r="C318" s="8" t="s">
        <v>29</v>
      </c>
      <c r="D318" s="14">
        <v>11550</v>
      </c>
      <c r="E318" s="14">
        <v>107707</v>
      </c>
      <c r="F318" s="15">
        <v>69938</v>
      </c>
    </row>
    <row r="319" spans="1:6" x14ac:dyDescent="0.3">
      <c r="A319" s="7">
        <v>2020</v>
      </c>
      <c r="B319" s="8" t="s">
        <v>57</v>
      </c>
      <c r="C319" s="8" t="s">
        <v>30</v>
      </c>
      <c r="D319" s="14">
        <v>117347</v>
      </c>
      <c r="E319" s="14">
        <v>1242471</v>
      </c>
      <c r="F319" s="15">
        <v>109413</v>
      </c>
    </row>
    <row r="320" spans="1:6" x14ac:dyDescent="0.3">
      <c r="A320" s="7">
        <v>2020</v>
      </c>
      <c r="B320" s="8" t="s">
        <v>57</v>
      </c>
      <c r="C320" s="8" t="s">
        <v>31</v>
      </c>
      <c r="D320" s="14">
        <v>64843</v>
      </c>
      <c r="E320" s="14">
        <v>637719</v>
      </c>
      <c r="F320" s="15">
        <v>72078</v>
      </c>
    </row>
    <row r="321" spans="1:6" x14ac:dyDescent="0.3">
      <c r="A321" s="7">
        <v>2020</v>
      </c>
      <c r="B321" s="8" t="s">
        <v>57</v>
      </c>
      <c r="C321" s="8" t="s">
        <v>32</v>
      </c>
      <c r="D321" s="14">
        <v>5337</v>
      </c>
      <c r="E321" s="14">
        <v>31642</v>
      </c>
      <c r="F321" s="15">
        <v>65877</v>
      </c>
    </row>
    <row r="322" spans="1:6" x14ac:dyDescent="0.3">
      <c r="A322" s="7">
        <v>2020</v>
      </c>
      <c r="B322" s="8" t="s">
        <v>57</v>
      </c>
      <c r="C322" s="8" t="s">
        <v>33</v>
      </c>
      <c r="D322" s="14">
        <v>55987</v>
      </c>
      <c r="E322" s="14">
        <v>697244</v>
      </c>
      <c r="F322" s="15">
        <v>71920</v>
      </c>
    </row>
    <row r="323" spans="1:6" x14ac:dyDescent="0.3">
      <c r="A323" s="7">
        <v>2020</v>
      </c>
      <c r="B323" s="8" t="s">
        <v>57</v>
      </c>
      <c r="C323" s="8" t="s">
        <v>34</v>
      </c>
      <c r="D323" s="14">
        <v>21652</v>
      </c>
      <c r="E323" s="14">
        <v>185307</v>
      </c>
      <c r="F323" s="15">
        <v>58539</v>
      </c>
    </row>
    <row r="324" spans="1:6" x14ac:dyDescent="0.3">
      <c r="A324" s="7">
        <v>2020</v>
      </c>
      <c r="B324" s="8" t="s">
        <v>57</v>
      </c>
      <c r="C324" s="8" t="s">
        <v>35</v>
      </c>
      <c r="D324" s="14">
        <v>27033</v>
      </c>
      <c r="E324" s="14">
        <v>242218</v>
      </c>
      <c r="F324" s="15">
        <v>81224</v>
      </c>
    </row>
    <row r="325" spans="1:6" x14ac:dyDescent="0.3">
      <c r="A325" s="7">
        <v>2020</v>
      </c>
      <c r="B325" s="8" t="s">
        <v>57</v>
      </c>
      <c r="C325" s="8" t="s">
        <v>36</v>
      </c>
      <c r="D325" s="14">
        <v>66210</v>
      </c>
      <c r="E325" s="14">
        <v>766122</v>
      </c>
      <c r="F325" s="15">
        <v>86971</v>
      </c>
    </row>
    <row r="326" spans="1:6" x14ac:dyDescent="0.3">
      <c r="A326" s="7">
        <v>2020</v>
      </c>
      <c r="B326" s="8" t="s">
        <v>57</v>
      </c>
      <c r="C326" s="8" t="s">
        <v>37</v>
      </c>
      <c r="D326" s="14">
        <v>9567</v>
      </c>
      <c r="E326" s="14">
        <v>65232</v>
      </c>
      <c r="F326" s="15">
        <v>75829</v>
      </c>
    </row>
    <row r="327" spans="1:6" x14ac:dyDescent="0.3">
      <c r="A327" s="7">
        <v>2020</v>
      </c>
      <c r="B327" s="8" t="s">
        <v>57</v>
      </c>
      <c r="C327" s="8" t="s">
        <v>38</v>
      </c>
      <c r="D327" s="14">
        <v>30793</v>
      </c>
      <c r="E327" s="14">
        <v>281874</v>
      </c>
      <c r="F327" s="15">
        <v>56907</v>
      </c>
    </row>
    <row r="328" spans="1:6" x14ac:dyDescent="0.3">
      <c r="A328" s="7">
        <v>2020</v>
      </c>
      <c r="B328" s="8" t="s">
        <v>57</v>
      </c>
      <c r="C328" s="8" t="s">
        <v>39</v>
      </c>
      <c r="D328" s="14">
        <v>5876</v>
      </c>
      <c r="E328" s="14">
        <v>32771</v>
      </c>
      <c r="F328" s="15">
        <v>63709</v>
      </c>
    </row>
    <row r="329" spans="1:6" x14ac:dyDescent="0.3">
      <c r="A329" s="7">
        <v>2020</v>
      </c>
      <c r="B329" s="8" t="s">
        <v>57</v>
      </c>
      <c r="C329" s="8" t="s">
        <v>40</v>
      </c>
      <c r="D329" s="14">
        <v>32595</v>
      </c>
      <c r="E329" s="14">
        <v>414644</v>
      </c>
      <c r="F329" s="15">
        <v>66460</v>
      </c>
    </row>
    <row r="330" spans="1:6" x14ac:dyDescent="0.3">
      <c r="A330" s="7">
        <v>2020</v>
      </c>
      <c r="B330" s="8" t="s">
        <v>57</v>
      </c>
      <c r="C330" s="8" t="s">
        <v>41</v>
      </c>
      <c r="D330" s="14">
        <v>146639</v>
      </c>
      <c r="E330" s="14">
        <v>1758991</v>
      </c>
      <c r="F330" s="15">
        <v>81123</v>
      </c>
    </row>
    <row r="331" spans="1:6" x14ac:dyDescent="0.3">
      <c r="A331" s="7">
        <v>2020</v>
      </c>
      <c r="B331" s="8" t="s">
        <v>57</v>
      </c>
      <c r="C331" s="8" t="s">
        <v>42</v>
      </c>
      <c r="D331" s="14">
        <v>25941</v>
      </c>
      <c r="E331" s="14">
        <v>223284</v>
      </c>
      <c r="F331" s="15">
        <v>68355</v>
      </c>
    </row>
    <row r="332" spans="1:6" x14ac:dyDescent="0.3">
      <c r="A332" s="7">
        <v>2020</v>
      </c>
      <c r="B332" s="8" t="s">
        <v>57</v>
      </c>
      <c r="C332" s="8" t="s">
        <v>43</v>
      </c>
      <c r="D332" s="14">
        <v>6346</v>
      </c>
      <c r="E332" s="14">
        <v>28512</v>
      </c>
      <c r="F332" s="15">
        <v>74442</v>
      </c>
    </row>
    <row r="333" spans="1:6" x14ac:dyDescent="0.3">
      <c r="A333" s="7">
        <v>2020</v>
      </c>
      <c r="B333" s="8" t="s">
        <v>57</v>
      </c>
      <c r="C333" s="8" t="s">
        <v>44</v>
      </c>
      <c r="D333" s="14">
        <v>60099</v>
      </c>
      <c r="E333" s="14">
        <v>752090</v>
      </c>
      <c r="F333" s="15">
        <v>96046</v>
      </c>
    </row>
    <row r="334" spans="1:6" x14ac:dyDescent="0.3">
      <c r="A334" s="7">
        <v>2020</v>
      </c>
      <c r="B334" s="8" t="s">
        <v>57</v>
      </c>
      <c r="C334" s="8" t="s">
        <v>45</v>
      </c>
      <c r="D334" s="14">
        <v>43094</v>
      </c>
      <c r="E334" s="14">
        <v>415190</v>
      </c>
      <c r="F334" s="15">
        <v>92279</v>
      </c>
    </row>
    <row r="335" spans="1:6" x14ac:dyDescent="0.3">
      <c r="A335" s="7">
        <v>2020</v>
      </c>
      <c r="B335" s="8" t="s">
        <v>57</v>
      </c>
      <c r="C335" s="8" t="s">
        <v>46</v>
      </c>
      <c r="D335" s="14">
        <v>8599</v>
      </c>
      <c r="E335" s="14">
        <v>65715</v>
      </c>
      <c r="F335" s="15">
        <v>53557</v>
      </c>
    </row>
    <row r="336" spans="1:6" x14ac:dyDescent="0.3">
      <c r="A336" s="7">
        <v>2020</v>
      </c>
      <c r="B336" s="8" t="s">
        <v>57</v>
      </c>
      <c r="C336" s="8" t="s">
        <v>47</v>
      </c>
      <c r="D336" s="14">
        <v>27048</v>
      </c>
      <c r="E336" s="14">
        <v>309780</v>
      </c>
      <c r="F336" s="15">
        <v>67254</v>
      </c>
    </row>
    <row r="337" spans="1:6" x14ac:dyDescent="0.3">
      <c r="A337" s="7">
        <v>2020</v>
      </c>
      <c r="B337" s="8" t="s">
        <v>57</v>
      </c>
      <c r="C337" s="8" t="s">
        <v>48</v>
      </c>
      <c r="D337" s="14">
        <v>4986</v>
      </c>
      <c r="E337" s="14">
        <v>18382</v>
      </c>
      <c r="F337" s="15">
        <v>60233</v>
      </c>
    </row>
    <row r="338" spans="1:6" x14ac:dyDescent="0.3">
      <c r="A338" s="7">
        <v>2020</v>
      </c>
      <c r="B338" s="8" t="s">
        <v>58</v>
      </c>
      <c r="C338" s="8" t="s">
        <v>1</v>
      </c>
      <c r="D338" s="14">
        <v>15859</v>
      </c>
      <c r="E338" s="14">
        <v>228486</v>
      </c>
      <c r="F338" s="15">
        <v>51193</v>
      </c>
    </row>
    <row r="339" spans="1:6" x14ac:dyDescent="0.3">
      <c r="A339" s="7">
        <v>2020</v>
      </c>
      <c r="B339" s="8" t="s">
        <v>58</v>
      </c>
      <c r="C339" s="8" t="s">
        <v>2</v>
      </c>
      <c r="D339" s="14">
        <v>20727</v>
      </c>
      <c r="E339" s="14">
        <v>455356</v>
      </c>
      <c r="F339" s="15">
        <v>56159</v>
      </c>
    </row>
    <row r="340" spans="1:6" x14ac:dyDescent="0.3">
      <c r="A340" s="7">
        <v>2020</v>
      </c>
      <c r="B340" s="8" t="s">
        <v>58</v>
      </c>
      <c r="C340" s="8" t="s">
        <v>3</v>
      </c>
      <c r="D340" s="14">
        <v>15656</v>
      </c>
      <c r="E340" s="14">
        <v>181169</v>
      </c>
      <c r="F340" s="15">
        <v>47435</v>
      </c>
    </row>
    <row r="341" spans="1:6" x14ac:dyDescent="0.3">
      <c r="A341" s="7">
        <v>2020</v>
      </c>
      <c r="B341" s="8" t="s">
        <v>58</v>
      </c>
      <c r="C341" s="8" t="s">
        <v>4</v>
      </c>
      <c r="D341" s="14">
        <v>656765</v>
      </c>
      <c r="E341" s="14">
        <v>2651781</v>
      </c>
      <c r="F341" s="15">
        <v>57668</v>
      </c>
    </row>
    <row r="342" spans="1:6" x14ac:dyDescent="0.3">
      <c r="A342" s="7">
        <v>2020</v>
      </c>
      <c r="B342" s="8" t="s">
        <v>58</v>
      </c>
      <c r="C342" s="8" t="s">
        <v>5</v>
      </c>
      <c r="D342" s="14">
        <v>23475</v>
      </c>
      <c r="E342" s="14">
        <v>332209</v>
      </c>
      <c r="F342" s="15">
        <v>55198</v>
      </c>
    </row>
    <row r="343" spans="1:6" x14ac:dyDescent="0.3">
      <c r="A343" s="7">
        <v>2020</v>
      </c>
      <c r="B343" s="8" t="s">
        <v>58</v>
      </c>
      <c r="C343" s="8" t="s">
        <v>6</v>
      </c>
      <c r="D343" s="14">
        <v>19964</v>
      </c>
      <c r="E343" s="14">
        <v>319881</v>
      </c>
      <c r="F343" s="15">
        <v>61215</v>
      </c>
    </row>
    <row r="344" spans="1:6" x14ac:dyDescent="0.3">
      <c r="A344" s="7">
        <v>2020</v>
      </c>
      <c r="B344" s="8" t="s">
        <v>58</v>
      </c>
      <c r="C344" s="8" t="s">
        <v>7</v>
      </c>
      <c r="D344" s="14">
        <v>5522</v>
      </c>
      <c r="E344" s="14">
        <v>74184</v>
      </c>
      <c r="F344" s="15">
        <v>57470</v>
      </c>
    </row>
    <row r="345" spans="1:6" x14ac:dyDescent="0.3">
      <c r="A345" s="7">
        <v>2020</v>
      </c>
      <c r="B345" s="8" t="s">
        <v>58</v>
      </c>
      <c r="C345" s="8" t="s">
        <v>8</v>
      </c>
      <c r="D345" s="14">
        <v>85058</v>
      </c>
      <c r="E345" s="14">
        <v>1293582</v>
      </c>
      <c r="F345" s="15">
        <v>55114</v>
      </c>
    </row>
    <row r="346" spans="1:6" x14ac:dyDescent="0.3">
      <c r="A346" s="7">
        <v>2020</v>
      </c>
      <c r="B346" s="8" t="s">
        <v>58</v>
      </c>
      <c r="C346" s="8" t="s">
        <v>9</v>
      </c>
      <c r="D346" s="14">
        <v>31842</v>
      </c>
      <c r="E346" s="14">
        <v>561390</v>
      </c>
      <c r="F346" s="15">
        <v>57141</v>
      </c>
    </row>
    <row r="347" spans="1:6" x14ac:dyDescent="0.3">
      <c r="A347" s="7">
        <v>2020</v>
      </c>
      <c r="B347" s="8" t="s">
        <v>58</v>
      </c>
      <c r="C347" s="8" t="s">
        <v>10</v>
      </c>
      <c r="D347" s="14">
        <v>9128</v>
      </c>
      <c r="E347" s="14">
        <v>106752</v>
      </c>
      <c r="F347" s="15">
        <v>45479</v>
      </c>
    </row>
    <row r="348" spans="1:6" x14ac:dyDescent="0.3">
      <c r="A348" s="7">
        <v>2020</v>
      </c>
      <c r="B348" s="8" t="s">
        <v>58</v>
      </c>
      <c r="C348" s="8" t="s">
        <v>11</v>
      </c>
      <c r="D348" s="14">
        <v>39684</v>
      </c>
      <c r="E348" s="14">
        <v>882088</v>
      </c>
      <c r="F348" s="15">
        <v>55678</v>
      </c>
    </row>
    <row r="349" spans="1:6" x14ac:dyDescent="0.3">
      <c r="A349" s="7">
        <v>2020</v>
      </c>
      <c r="B349" s="8" t="s">
        <v>58</v>
      </c>
      <c r="C349" s="8" t="s">
        <v>12</v>
      </c>
      <c r="D349" s="14">
        <v>16899</v>
      </c>
      <c r="E349" s="14">
        <v>451743</v>
      </c>
      <c r="F349" s="15">
        <v>52802</v>
      </c>
    </row>
    <row r="350" spans="1:6" x14ac:dyDescent="0.3">
      <c r="A350" s="7">
        <v>2020</v>
      </c>
      <c r="B350" s="8" t="s">
        <v>58</v>
      </c>
      <c r="C350" s="8" t="s">
        <v>13</v>
      </c>
      <c r="D350" s="14">
        <v>13294</v>
      </c>
      <c r="E350" s="14">
        <v>209301</v>
      </c>
      <c r="F350" s="15">
        <v>47222</v>
      </c>
    </row>
    <row r="351" spans="1:6" x14ac:dyDescent="0.3">
      <c r="A351" s="7">
        <v>2020</v>
      </c>
      <c r="B351" s="8" t="s">
        <v>58</v>
      </c>
      <c r="C351" s="8" t="s">
        <v>14</v>
      </c>
      <c r="D351" s="14">
        <v>10330</v>
      </c>
      <c r="E351" s="14">
        <v>194569</v>
      </c>
      <c r="F351" s="15">
        <v>48486</v>
      </c>
    </row>
    <row r="352" spans="1:6" x14ac:dyDescent="0.3">
      <c r="A352" s="7">
        <v>2020</v>
      </c>
      <c r="B352" s="8" t="s">
        <v>58</v>
      </c>
      <c r="C352" s="8" t="s">
        <v>15</v>
      </c>
      <c r="D352" s="14">
        <v>20809</v>
      </c>
      <c r="E352" s="14">
        <v>263195</v>
      </c>
      <c r="F352" s="15">
        <v>52098</v>
      </c>
    </row>
    <row r="353" spans="1:6" x14ac:dyDescent="0.3">
      <c r="A353" s="7">
        <v>2020</v>
      </c>
      <c r="B353" s="8" t="s">
        <v>58</v>
      </c>
      <c r="C353" s="8" t="s">
        <v>16</v>
      </c>
      <c r="D353" s="14">
        <v>16834</v>
      </c>
      <c r="E353" s="14">
        <v>296324</v>
      </c>
      <c r="F353" s="15">
        <v>48222</v>
      </c>
    </row>
    <row r="354" spans="1:6" x14ac:dyDescent="0.3">
      <c r="A354" s="7">
        <v>2020</v>
      </c>
      <c r="B354" s="8" t="s">
        <v>58</v>
      </c>
      <c r="C354" s="8" t="s">
        <v>17</v>
      </c>
      <c r="D354" s="14">
        <v>5591</v>
      </c>
      <c r="E354" s="14">
        <v>115511</v>
      </c>
      <c r="F354" s="15">
        <v>53739</v>
      </c>
    </row>
    <row r="355" spans="1:6" x14ac:dyDescent="0.3">
      <c r="A355" s="7">
        <v>2020</v>
      </c>
      <c r="B355" s="8" t="s">
        <v>58</v>
      </c>
      <c r="C355" s="8" t="s">
        <v>18</v>
      </c>
      <c r="D355" s="14">
        <v>21505</v>
      </c>
      <c r="E355" s="14">
        <v>420463</v>
      </c>
      <c r="F355" s="15">
        <v>59854</v>
      </c>
    </row>
    <row r="356" spans="1:6" x14ac:dyDescent="0.3">
      <c r="A356" s="7">
        <v>2020</v>
      </c>
      <c r="B356" s="8" t="s">
        <v>58</v>
      </c>
      <c r="C356" s="8" t="s">
        <v>19</v>
      </c>
      <c r="D356" s="14">
        <v>71270</v>
      </c>
      <c r="E356" s="14">
        <v>742606</v>
      </c>
      <c r="F356" s="15">
        <v>64556</v>
      </c>
    </row>
    <row r="357" spans="1:6" x14ac:dyDescent="0.3">
      <c r="A357" s="7">
        <v>2020</v>
      </c>
      <c r="B357" s="8" t="s">
        <v>58</v>
      </c>
      <c r="C357" s="8" t="s">
        <v>20</v>
      </c>
      <c r="D357" s="14">
        <v>32965</v>
      </c>
      <c r="E357" s="14">
        <v>622119</v>
      </c>
      <c r="F357" s="15">
        <v>54163</v>
      </c>
    </row>
    <row r="358" spans="1:6" x14ac:dyDescent="0.3">
      <c r="A358" s="7">
        <v>2020</v>
      </c>
      <c r="B358" s="8" t="s">
        <v>58</v>
      </c>
      <c r="C358" s="8" t="s">
        <v>21</v>
      </c>
      <c r="D358" s="14">
        <v>22985</v>
      </c>
      <c r="E358" s="14">
        <v>513228</v>
      </c>
      <c r="F358" s="15">
        <v>55127</v>
      </c>
    </row>
    <row r="359" spans="1:6" x14ac:dyDescent="0.3">
      <c r="A359" s="7">
        <v>2020</v>
      </c>
      <c r="B359" s="8" t="s">
        <v>58</v>
      </c>
      <c r="C359" s="8" t="s">
        <v>22</v>
      </c>
      <c r="D359" s="14">
        <v>7693</v>
      </c>
      <c r="E359" s="14">
        <v>138876</v>
      </c>
      <c r="F359" s="15">
        <v>45670</v>
      </c>
    </row>
    <row r="360" spans="1:6" x14ac:dyDescent="0.3">
      <c r="A360" s="7">
        <v>2020</v>
      </c>
      <c r="B360" s="8" t="s">
        <v>58</v>
      </c>
      <c r="C360" s="8" t="s">
        <v>23</v>
      </c>
      <c r="D360" s="14">
        <v>56134</v>
      </c>
      <c r="E360" s="14">
        <v>448355</v>
      </c>
      <c r="F360" s="15">
        <v>50460</v>
      </c>
    </row>
    <row r="361" spans="1:6" x14ac:dyDescent="0.3">
      <c r="A361" s="7">
        <v>2020</v>
      </c>
      <c r="B361" s="8" t="s">
        <v>58</v>
      </c>
      <c r="C361" s="8" t="s">
        <v>24</v>
      </c>
      <c r="D361" s="14">
        <v>5112</v>
      </c>
      <c r="E361" s="14">
        <v>73374</v>
      </c>
      <c r="F361" s="15">
        <v>52612</v>
      </c>
    </row>
    <row r="362" spans="1:6" x14ac:dyDescent="0.3">
      <c r="A362" s="7">
        <v>2020</v>
      </c>
      <c r="B362" s="8" t="s">
        <v>58</v>
      </c>
      <c r="C362" s="8" t="s">
        <v>25</v>
      </c>
      <c r="D362" s="14">
        <v>10522</v>
      </c>
      <c r="E362" s="14">
        <v>135205</v>
      </c>
      <c r="F362" s="15">
        <v>51740</v>
      </c>
    </row>
    <row r="363" spans="1:6" x14ac:dyDescent="0.3">
      <c r="A363" s="7">
        <v>2020</v>
      </c>
      <c r="B363" s="8" t="s">
        <v>58</v>
      </c>
      <c r="C363" s="8" t="s">
        <v>26</v>
      </c>
      <c r="D363" s="14">
        <v>9126</v>
      </c>
      <c r="E363" s="14">
        <v>139696</v>
      </c>
      <c r="F363" s="15">
        <v>58047</v>
      </c>
    </row>
    <row r="364" spans="1:6" x14ac:dyDescent="0.3">
      <c r="A364" s="7">
        <v>2020</v>
      </c>
      <c r="B364" s="8" t="s">
        <v>58</v>
      </c>
      <c r="C364" s="8" t="s">
        <v>27</v>
      </c>
      <c r="D364" s="14">
        <v>4900</v>
      </c>
      <c r="E364" s="14">
        <v>108757</v>
      </c>
      <c r="F364" s="15">
        <v>63675</v>
      </c>
    </row>
    <row r="365" spans="1:6" x14ac:dyDescent="0.3">
      <c r="A365" s="7">
        <v>2020</v>
      </c>
      <c r="B365" s="8" t="s">
        <v>58</v>
      </c>
      <c r="C365" s="8" t="s">
        <v>28</v>
      </c>
      <c r="D365" s="14">
        <v>43568</v>
      </c>
      <c r="E365" s="14">
        <v>622420</v>
      </c>
      <c r="F365" s="15">
        <v>60044</v>
      </c>
    </row>
    <row r="366" spans="1:6" x14ac:dyDescent="0.3">
      <c r="A366" s="7">
        <v>2020</v>
      </c>
      <c r="B366" s="8" t="s">
        <v>58</v>
      </c>
      <c r="C366" s="8" t="s">
        <v>29</v>
      </c>
      <c r="D366" s="14">
        <v>11448</v>
      </c>
      <c r="E366" s="14">
        <v>126459</v>
      </c>
      <c r="F366" s="15">
        <v>45191</v>
      </c>
    </row>
    <row r="367" spans="1:6" x14ac:dyDescent="0.3">
      <c r="A367" s="7">
        <v>2020</v>
      </c>
      <c r="B367" s="8" t="s">
        <v>58</v>
      </c>
      <c r="C367" s="8" t="s">
        <v>30</v>
      </c>
      <c r="D367" s="14">
        <v>67893</v>
      </c>
      <c r="E367" s="14">
        <v>1872526</v>
      </c>
      <c r="F367" s="15">
        <v>58936</v>
      </c>
    </row>
    <row r="368" spans="1:6" x14ac:dyDescent="0.3">
      <c r="A368" s="7">
        <v>2020</v>
      </c>
      <c r="B368" s="8" t="s">
        <v>58</v>
      </c>
      <c r="C368" s="8" t="s">
        <v>31</v>
      </c>
      <c r="D368" s="14">
        <v>29514</v>
      </c>
      <c r="E368" s="14">
        <v>584896</v>
      </c>
      <c r="F368" s="15">
        <v>53252</v>
      </c>
    </row>
    <row r="369" spans="1:6" x14ac:dyDescent="0.3">
      <c r="A369" s="7">
        <v>2020</v>
      </c>
      <c r="B369" s="8" t="s">
        <v>58</v>
      </c>
      <c r="C369" s="8" t="s">
        <v>32</v>
      </c>
      <c r="D369" s="14">
        <v>2737</v>
      </c>
      <c r="E369" s="14">
        <v>64418</v>
      </c>
      <c r="F369" s="15">
        <v>55234</v>
      </c>
    </row>
    <row r="370" spans="1:6" x14ac:dyDescent="0.3">
      <c r="A370" s="7">
        <v>2020</v>
      </c>
      <c r="B370" s="8" t="s">
        <v>58</v>
      </c>
      <c r="C370" s="8" t="s">
        <v>33</v>
      </c>
      <c r="D370" s="14">
        <v>35930</v>
      </c>
      <c r="E370" s="14">
        <v>868191</v>
      </c>
      <c r="F370" s="15">
        <v>51366</v>
      </c>
    </row>
    <row r="371" spans="1:6" x14ac:dyDescent="0.3">
      <c r="A371" s="7">
        <v>2020</v>
      </c>
      <c r="B371" s="8" t="s">
        <v>58</v>
      </c>
      <c r="C371" s="8" t="s">
        <v>34</v>
      </c>
      <c r="D371" s="14">
        <v>13656</v>
      </c>
      <c r="E371" s="14">
        <v>209679</v>
      </c>
      <c r="F371" s="15">
        <v>49095</v>
      </c>
    </row>
    <row r="372" spans="1:6" x14ac:dyDescent="0.3">
      <c r="A372" s="7">
        <v>2020</v>
      </c>
      <c r="B372" s="8" t="s">
        <v>58</v>
      </c>
      <c r="C372" s="8" t="s">
        <v>35</v>
      </c>
      <c r="D372" s="14">
        <v>28106</v>
      </c>
      <c r="E372" s="14">
        <v>292631</v>
      </c>
      <c r="F372" s="15">
        <v>54216</v>
      </c>
    </row>
    <row r="373" spans="1:6" x14ac:dyDescent="0.3">
      <c r="A373" s="7">
        <v>2020</v>
      </c>
      <c r="B373" s="8" t="s">
        <v>58</v>
      </c>
      <c r="C373" s="8" t="s">
        <v>36</v>
      </c>
      <c r="D373" s="14">
        <v>57935</v>
      </c>
      <c r="E373" s="14">
        <v>1179840</v>
      </c>
      <c r="F373" s="15">
        <v>57087</v>
      </c>
    </row>
    <row r="374" spans="1:6" x14ac:dyDescent="0.3">
      <c r="A374" s="7">
        <v>2020</v>
      </c>
      <c r="B374" s="8" t="s">
        <v>58</v>
      </c>
      <c r="C374" s="8" t="s">
        <v>37</v>
      </c>
      <c r="D374" s="14">
        <v>4907</v>
      </c>
      <c r="E374" s="14">
        <v>95079</v>
      </c>
      <c r="F374" s="15">
        <v>54510</v>
      </c>
    </row>
    <row r="375" spans="1:6" x14ac:dyDescent="0.3">
      <c r="A375" s="7">
        <v>2020</v>
      </c>
      <c r="B375" s="8" t="s">
        <v>58</v>
      </c>
      <c r="C375" s="8" t="s">
        <v>38</v>
      </c>
      <c r="D375" s="14">
        <v>15612</v>
      </c>
      <c r="E375" s="14">
        <v>231072</v>
      </c>
      <c r="F375" s="15">
        <v>50055</v>
      </c>
    </row>
    <row r="376" spans="1:6" x14ac:dyDescent="0.3">
      <c r="A376" s="7">
        <v>2020</v>
      </c>
      <c r="B376" s="8" t="s">
        <v>58</v>
      </c>
      <c r="C376" s="8" t="s">
        <v>39</v>
      </c>
      <c r="D376" s="14">
        <v>2934</v>
      </c>
      <c r="E376" s="14">
        <v>68990</v>
      </c>
      <c r="F376" s="15">
        <v>57054</v>
      </c>
    </row>
    <row r="377" spans="1:6" x14ac:dyDescent="0.3">
      <c r="A377" s="7">
        <v>2020</v>
      </c>
      <c r="B377" s="8" t="s">
        <v>58</v>
      </c>
      <c r="C377" s="8" t="s">
        <v>40</v>
      </c>
      <c r="D377" s="14">
        <v>21213</v>
      </c>
      <c r="E377" s="14">
        <v>421097</v>
      </c>
      <c r="F377" s="15">
        <v>56401</v>
      </c>
    </row>
    <row r="378" spans="1:6" x14ac:dyDescent="0.3">
      <c r="A378" s="7">
        <v>2020</v>
      </c>
      <c r="B378" s="8" t="s">
        <v>58</v>
      </c>
      <c r="C378" s="8" t="s">
        <v>41</v>
      </c>
      <c r="D378" s="14">
        <v>98681</v>
      </c>
      <c r="E378" s="14">
        <v>1646144</v>
      </c>
      <c r="F378" s="15">
        <v>51856</v>
      </c>
    </row>
    <row r="379" spans="1:6" x14ac:dyDescent="0.3">
      <c r="A379" s="7">
        <v>2020</v>
      </c>
      <c r="B379" s="8" t="s">
        <v>58</v>
      </c>
      <c r="C379" s="8" t="s">
        <v>42</v>
      </c>
      <c r="D379" s="14">
        <v>13463</v>
      </c>
      <c r="E379" s="14">
        <v>193157</v>
      </c>
      <c r="F379" s="15">
        <v>48260</v>
      </c>
    </row>
    <row r="380" spans="1:6" x14ac:dyDescent="0.3">
      <c r="A380" s="7">
        <v>2020</v>
      </c>
      <c r="B380" s="8" t="s">
        <v>58</v>
      </c>
      <c r="C380" s="8" t="s">
        <v>43</v>
      </c>
      <c r="D380" s="14">
        <v>2516</v>
      </c>
      <c r="E380" s="14">
        <v>58443</v>
      </c>
      <c r="F380" s="15">
        <v>52779</v>
      </c>
    </row>
    <row r="381" spans="1:6" x14ac:dyDescent="0.3">
      <c r="A381" s="7">
        <v>2020</v>
      </c>
      <c r="B381" s="8" t="s">
        <v>58</v>
      </c>
      <c r="C381" s="8" t="s">
        <v>44</v>
      </c>
      <c r="D381" s="14">
        <v>49705</v>
      </c>
      <c r="E381" s="14">
        <v>492598</v>
      </c>
      <c r="F381" s="15">
        <v>54119</v>
      </c>
    </row>
    <row r="382" spans="1:6" x14ac:dyDescent="0.3">
      <c r="A382" s="7">
        <v>2020</v>
      </c>
      <c r="B382" s="8" t="s">
        <v>58</v>
      </c>
      <c r="C382" s="8" t="s">
        <v>45</v>
      </c>
      <c r="D382" s="14">
        <v>74944</v>
      </c>
      <c r="E382" s="14">
        <v>468495</v>
      </c>
      <c r="F382" s="15">
        <v>55544</v>
      </c>
    </row>
    <row r="383" spans="1:6" x14ac:dyDescent="0.3">
      <c r="A383" s="7">
        <v>2020</v>
      </c>
      <c r="B383" s="8" t="s">
        <v>58</v>
      </c>
      <c r="C383" s="8" t="s">
        <v>46</v>
      </c>
      <c r="D383" s="14">
        <v>8500</v>
      </c>
      <c r="E383" s="14">
        <v>124604</v>
      </c>
      <c r="F383" s="15">
        <v>50597</v>
      </c>
    </row>
    <row r="384" spans="1:6" x14ac:dyDescent="0.3">
      <c r="A384" s="7">
        <v>2020</v>
      </c>
      <c r="B384" s="8" t="s">
        <v>58</v>
      </c>
      <c r="C384" s="8" t="s">
        <v>47</v>
      </c>
      <c r="D384" s="14">
        <v>31125</v>
      </c>
      <c r="E384" s="14">
        <v>427152</v>
      </c>
      <c r="F384" s="15">
        <v>52993</v>
      </c>
    </row>
    <row r="385" spans="1:6" x14ac:dyDescent="0.3">
      <c r="A385" s="7">
        <v>2020</v>
      </c>
      <c r="B385" s="8" t="s">
        <v>58</v>
      </c>
      <c r="C385" s="8" t="s">
        <v>48</v>
      </c>
      <c r="D385" s="14">
        <v>3485</v>
      </c>
      <c r="E385" s="14">
        <v>26942</v>
      </c>
      <c r="F385" s="15">
        <v>46334</v>
      </c>
    </row>
    <row r="386" spans="1:6" x14ac:dyDescent="0.3">
      <c r="A386" s="7">
        <v>2020</v>
      </c>
      <c r="B386" s="8" t="s">
        <v>59</v>
      </c>
      <c r="C386" s="8" t="s">
        <v>1</v>
      </c>
      <c r="D386" s="14">
        <v>11221</v>
      </c>
      <c r="E386" s="14">
        <v>178057</v>
      </c>
      <c r="F386" s="15">
        <v>18554</v>
      </c>
    </row>
    <row r="387" spans="1:6" x14ac:dyDescent="0.3">
      <c r="A387" s="7">
        <v>2020</v>
      </c>
      <c r="B387" s="8" t="s">
        <v>59</v>
      </c>
      <c r="C387" s="8" t="s">
        <v>2</v>
      </c>
      <c r="D387" s="14">
        <v>14444</v>
      </c>
      <c r="E387" s="14">
        <v>274985</v>
      </c>
      <c r="F387" s="15">
        <v>26810</v>
      </c>
    </row>
    <row r="388" spans="1:6" x14ac:dyDescent="0.3">
      <c r="A388" s="7">
        <v>2020</v>
      </c>
      <c r="B388" s="8" t="s">
        <v>59</v>
      </c>
      <c r="C388" s="8" t="s">
        <v>3</v>
      </c>
      <c r="D388" s="14">
        <v>7458</v>
      </c>
      <c r="E388" s="14">
        <v>106295</v>
      </c>
      <c r="F388" s="15">
        <v>18414</v>
      </c>
    </row>
    <row r="389" spans="1:6" x14ac:dyDescent="0.3">
      <c r="A389" s="7">
        <v>2020</v>
      </c>
      <c r="B389" s="8" t="s">
        <v>59</v>
      </c>
      <c r="C389" s="8" t="s">
        <v>4</v>
      </c>
      <c r="D389" s="14">
        <v>117833</v>
      </c>
      <c r="E389" s="14">
        <v>1482600</v>
      </c>
      <c r="F389" s="15">
        <v>36090</v>
      </c>
    </row>
    <row r="390" spans="1:6" x14ac:dyDescent="0.3">
      <c r="A390" s="7">
        <v>2020</v>
      </c>
      <c r="B390" s="8" t="s">
        <v>59</v>
      </c>
      <c r="C390" s="8" t="s">
        <v>5</v>
      </c>
      <c r="D390" s="14">
        <v>17650</v>
      </c>
      <c r="E390" s="14">
        <v>271680</v>
      </c>
      <c r="F390" s="15">
        <v>28424</v>
      </c>
    </row>
    <row r="391" spans="1:6" x14ac:dyDescent="0.3">
      <c r="A391" s="7">
        <v>2020</v>
      </c>
      <c r="B391" s="8" t="s">
        <v>59</v>
      </c>
      <c r="C391" s="8" t="s">
        <v>6</v>
      </c>
      <c r="D391" s="14">
        <v>10916</v>
      </c>
      <c r="E391" s="14">
        <v>117365</v>
      </c>
      <c r="F391" s="15">
        <v>26295</v>
      </c>
    </row>
    <row r="392" spans="1:6" x14ac:dyDescent="0.3">
      <c r="A392" s="7">
        <v>2020</v>
      </c>
      <c r="B392" s="8" t="s">
        <v>59</v>
      </c>
      <c r="C392" s="8" t="s">
        <v>7</v>
      </c>
      <c r="D392" s="14">
        <v>2698</v>
      </c>
      <c r="E392" s="14">
        <v>41103</v>
      </c>
      <c r="F392" s="15">
        <v>22228</v>
      </c>
    </row>
    <row r="393" spans="1:6" x14ac:dyDescent="0.3">
      <c r="A393" s="7">
        <v>2020</v>
      </c>
      <c r="B393" s="8" t="s">
        <v>59</v>
      </c>
      <c r="C393" s="8" t="s">
        <v>8</v>
      </c>
      <c r="D393" s="14">
        <v>59645</v>
      </c>
      <c r="E393" s="14">
        <v>1007574</v>
      </c>
      <c r="F393" s="15">
        <v>27709</v>
      </c>
    </row>
    <row r="394" spans="1:6" x14ac:dyDescent="0.3">
      <c r="A394" s="7">
        <v>2020</v>
      </c>
      <c r="B394" s="8" t="s">
        <v>59</v>
      </c>
      <c r="C394" s="8" t="s">
        <v>9</v>
      </c>
      <c r="D394" s="14">
        <v>26741</v>
      </c>
      <c r="E394" s="14">
        <v>414059</v>
      </c>
      <c r="F394" s="15">
        <v>22009</v>
      </c>
    </row>
    <row r="395" spans="1:6" x14ac:dyDescent="0.3">
      <c r="A395" s="7">
        <v>2020</v>
      </c>
      <c r="B395" s="8" t="s">
        <v>59</v>
      </c>
      <c r="C395" s="8" t="s">
        <v>10</v>
      </c>
      <c r="D395" s="14">
        <v>5242</v>
      </c>
      <c r="E395" s="14">
        <v>74574</v>
      </c>
      <c r="F395" s="15">
        <v>18637</v>
      </c>
    </row>
    <row r="396" spans="1:6" x14ac:dyDescent="0.3">
      <c r="A396" s="7">
        <v>2020</v>
      </c>
      <c r="B396" s="8" t="s">
        <v>59</v>
      </c>
      <c r="C396" s="8" t="s">
        <v>11</v>
      </c>
      <c r="D396" s="14">
        <v>32842</v>
      </c>
      <c r="E396" s="14">
        <v>462216</v>
      </c>
      <c r="F396" s="15">
        <v>25054</v>
      </c>
    </row>
    <row r="397" spans="1:6" x14ac:dyDescent="0.3">
      <c r="A397" s="7">
        <v>2020</v>
      </c>
      <c r="B397" s="8" t="s">
        <v>59</v>
      </c>
      <c r="C397" s="8" t="s">
        <v>12</v>
      </c>
      <c r="D397" s="14">
        <v>16068</v>
      </c>
      <c r="E397" s="14">
        <v>263892</v>
      </c>
      <c r="F397" s="15">
        <v>20493</v>
      </c>
    </row>
    <row r="398" spans="1:6" x14ac:dyDescent="0.3">
      <c r="A398" s="7">
        <v>2020</v>
      </c>
      <c r="B398" s="8" t="s">
        <v>59</v>
      </c>
      <c r="C398" s="8" t="s">
        <v>13</v>
      </c>
      <c r="D398" s="14">
        <v>8734</v>
      </c>
      <c r="E398" s="14">
        <v>118383</v>
      </c>
      <c r="F398" s="15">
        <v>18002</v>
      </c>
    </row>
    <row r="399" spans="1:6" x14ac:dyDescent="0.3">
      <c r="A399" s="7">
        <v>2020</v>
      </c>
      <c r="B399" s="8" t="s">
        <v>59</v>
      </c>
      <c r="C399" s="8" t="s">
        <v>14</v>
      </c>
      <c r="D399" s="14">
        <v>6792</v>
      </c>
      <c r="E399" s="14">
        <v>110526</v>
      </c>
      <c r="F399" s="15">
        <v>18088</v>
      </c>
    </row>
    <row r="400" spans="1:6" x14ac:dyDescent="0.3">
      <c r="A400" s="7">
        <v>2020</v>
      </c>
      <c r="B400" s="8" t="s">
        <v>59</v>
      </c>
      <c r="C400" s="8" t="s">
        <v>15</v>
      </c>
      <c r="D400" s="14">
        <v>10331</v>
      </c>
      <c r="E400" s="14">
        <v>165335</v>
      </c>
      <c r="F400" s="15">
        <v>19522</v>
      </c>
    </row>
    <row r="401" spans="1:6" x14ac:dyDescent="0.3">
      <c r="A401" s="7">
        <v>2020</v>
      </c>
      <c r="B401" s="8" t="s">
        <v>59</v>
      </c>
      <c r="C401" s="8" t="s">
        <v>16</v>
      </c>
      <c r="D401" s="14">
        <v>13351</v>
      </c>
      <c r="E401" s="14">
        <v>188383</v>
      </c>
      <c r="F401" s="15">
        <v>22216</v>
      </c>
    </row>
    <row r="402" spans="1:6" x14ac:dyDescent="0.3">
      <c r="A402" s="7">
        <v>2020</v>
      </c>
      <c r="B402" s="8" t="s">
        <v>59</v>
      </c>
      <c r="C402" s="8" t="s">
        <v>17</v>
      </c>
      <c r="D402" s="14">
        <v>5172</v>
      </c>
      <c r="E402" s="14">
        <v>51781</v>
      </c>
      <c r="F402" s="15">
        <v>25112</v>
      </c>
    </row>
    <row r="403" spans="1:6" x14ac:dyDescent="0.3">
      <c r="A403" s="7">
        <v>2020</v>
      </c>
      <c r="B403" s="8" t="s">
        <v>59</v>
      </c>
      <c r="C403" s="8" t="s">
        <v>18</v>
      </c>
      <c r="D403" s="14">
        <v>14823</v>
      </c>
      <c r="E403" s="14">
        <v>210848</v>
      </c>
      <c r="F403" s="15">
        <v>26383</v>
      </c>
    </row>
    <row r="404" spans="1:6" x14ac:dyDescent="0.3">
      <c r="A404" s="7">
        <v>2020</v>
      </c>
      <c r="B404" s="8" t="s">
        <v>59</v>
      </c>
      <c r="C404" s="8" t="s">
        <v>19</v>
      </c>
      <c r="D404" s="14">
        <v>20158</v>
      </c>
      <c r="E404" s="14">
        <v>262049</v>
      </c>
      <c r="F404" s="15">
        <v>30457</v>
      </c>
    </row>
    <row r="405" spans="1:6" x14ac:dyDescent="0.3">
      <c r="A405" s="7">
        <v>2020</v>
      </c>
      <c r="B405" s="8" t="s">
        <v>59</v>
      </c>
      <c r="C405" s="8" t="s">
        <v>20</v>
      </c>
      <c r="D405" s="14">
        <v>23032</v>
      </c>
      <c r="E405" s="14">
        <v>323435</v>
      </c>
      <c r="F405" s="15">
        <v>22254</v>
      </c>
    </row>
    <row r="406" spans="1:6" x14ac:dyDescent="0.3">
      <c r="A406" s="7">
        <v>2020</v>
      </c>
      <c r="B406" s="8" t="s">
        <v>59</v>
      </c>
      <c r="C406" s="8" t="s">
        <v>21</v>
      </c>
      <c r="D406" s="14">
        <v>15355</v>
      </c>
      <c r="E406" s="14">
        <v>204519</v>
      </c>
      <c r="F406" s="15">
        <v>24167</v>
      </c>
    </row>
    <row r="407" spans="1:6" x14ac:dyDescent="0.3">
      <c r="A407" s="7">
        <v>2020</v>
      </c>
      <c r="B407" s="8" t="s">
        <v>59</v>
      </c>
      <c r="C407" s="8" t="s">
        <v>22</v>
      </c>
      <c r="D407" s="14">
        <v>6644</v>
      </c>
      <c r="E407" s="14">
        <v>118107</v>
      </c>
      <c r="F407" s="15">
        <v>18380</v>
      </c>
    </row>
    <row r="408" spans="1:6" x14ac:dyDescent="0.3">
      <c r="A408" s="7">
        <v>2020</v>
      </c>
      <c r="B408" s="8" t="s">
        <v>59</v>
      </c>
      <c r="C408" s="8" t="s">
        <v>23</v>
      </c>
      <c r="D408" s="14">
        <v>15398</v>
      </c>
      <c r="E408" s="14">
        <v>253244</v>
      </c>
      <c r="F408" s="15">
        <v>22154</v>
      </c>
    </row>
    <row r="409" spans="1:6" x14ac:dyDescent="0.3">
      <c r="A409" s="7">
        <v>2020</v>
      </c>
      <c r="B409" s="8" t="s">
        <v>59</v>
      </c>
      <c r="C409" s="8" t="s">
        <v>24</v>
      </c>
      <c r="D409" s="14">
        <v>5182</v>
      </c>
      <c r="E409" s="14">
        <v>58811</v>
      </c>
      <c r="F409" s="15">
        <v>21078</v>
      </c>
    </row>
    <row r="410" spans="1:6" x14ac:dyDescent="0.3">
      <c r="A410" s="7">
        <v>2020</v>
      </c>
      <c r="B410" s="8" t="s">
        <v>59</v>
      </c>
      <c r="C410" s="8" t="s">
        <v>25</v>
      </c>
      <c r="D410" s="14">
        <v>5552</v>
      </c>
      <c r="E410" s="14">
        <v>79529</v>
      </c>
      <c r="F410" s="15">
        <v>18131</v>
      </c>
    </row>
    <row r="411" spans="1:6" x14ac:dyDescent="0.3">
      <c r="A411" s="7">
        <v>2020</v>
      </c>
      <c r="B411" s="8" t="s">
        <v>59</v>
      </c>
      <c r="C411" s="8" t="s">
        <v>26</v>
      </c>
      <c r="D411" s="14">
        <v>8698</v>
      </c>
      <c r="E411" s="14">
        <v>255447</v>
      </c>
      <c r="F411" s="15">
        <v>34061</v>
      </c>
    </row>
    <row r="412" spans="1:6" x14ac:dyDescent="0.3">
      <c r="A412" s="7">
        <v>2020</v>
      </c>
      <c r="B412" s="8" t="s">
        <v>59</v>
      </c>
      <c r="C412" s="8" t="s">
        <v>27</v>
      </c>
      <c r="D412" s="14">
        <v>4677</v>
      </c>
      <c r="E412" s="14">
        <v>57132</v>
      </c>
      <c r="F412" s="15">
        <v>24729</v>
      </c>
    </row>
    <row r="413" spans="1:6" x14ac:dyDescent="0.3">
      <c r="A413" s="7">
        <v>2020</v>
      </c>
      <c r="B413" s="8" t="s">
        <v>59</v>
      </c>
      <c r="C413" s="8" t="s">
        <v>28</v>
      </c>
      <c r="D413" s="14">
        <v>24584</v>
      </c>
      <c r="E413" s="14">
        <v>281546</v>
      </c>
      <c r="F413" s="15">
        <v>28639</v>
      </c>
    </row>
    <row r="414" spans="1:6" x14ac:dyDescent="0.3">
      <c r="A414" s="7">
        <v>2020</v>
      </c>
      <c r="B414" s="8" t="s">
        <v>59</v>
      </c>
      <c r="C414" s="8" t="s">
        <v>29</v>
      </c>
      <c r="D414" s="14">
        <v>5276</v>
      </c>
      <c r="E414" s="14">
        <v>78539</v>
      </c>
      <c r="F414" s="15">
        <v>19988</v>
      </c>
    </row>
    <row r="415" spans="1:6" x14ac:dyDescent="0.3">
      <c r="A415" s="7">
        <v>2020</v>
      </c>
      <c r="B415" s="8" t="s">
        <v>59</v>
      </c>
      <c r="C415" s="8" t="s">
        <v>30</v>
      </c>
      <c r="D415" s="14">
        <v>64959</v>
      </c>
      <c r="E415" s="14">
        <v>632760</v>
      </c>
      <c r="F415" s="15">
        <v>36986</v>
      </c>
    </row>
    <row r="416" spans="1:6" x14ac:dyDescent="0.3">
      <c r="A416" s="7">
        <v>2020</v>
      </c>
      <c r="B416" s="8" t="s">
        <v>59</v>
      </c>
      <c r="C416" s="8" t="s">
        <v>31</v>
      </c>
      <c r="D416" s="14">
        <v>27015</v>
      </c>
      <c r="E416" s="14">
        <v>420420</v>
      </c>
      <c r="F416" s="15">
        <v>21462</v>
      </c>
    </row>
    <row r="417" spans="1:6" x14ac:dyDescent="0.3">
      <c r="A417" s="7">
        <v>2020</v>
      </c>
      <c r="B417" s="8" t="s">
        <v>59</v>
      </c>
      <c r="C417" s="8" t="s">
        <v>32</v>
      </c>
      <c r="D417" s="14">
        <v>2621</v>
      </c>
      <c r="E417" s="14">
        <v>34228</v>
      </c>
      <c r="F417" s="15">
        <v>19193</v>
      </c>
    </row>
    <row r="418" spans="1:6" x14ac:dyDescent="0.3">
      <c r="A418" s="7">
        <v>2020</v>
      </c>
      <c r="B418" s="8" t="s">
        <v>59</v>
      </c>
      <c r="C418" s="8" t="s">
        <v>33</v>
      </c>
      <c r="D418" s="14">
        <v>29197</v>
      </c>
      <c r="E418" s="14">
        <v>466069</v>
      </c>
      <c r="F418" s="15">
        <v>21027</v>
      </c>
    </row>
    <row r="419" spans="1:6" x14ac:dyDescent="0.3">
      <c r="A419" s="7">
        <v>2020</v>
      </c>
      <c r="B419" s="8" t="s">
        <v>59</v>
      </c>
      <c r="C419" s="8" t="s">
        <v>34</v>
      </c>
      <c r="D419" s="14">
        <v>9364</v>
      </c>
      <c r="E419" s="14">
        <v>156230</v>
      </c>
      <c r="F419" s="15">
        <v>19310</v>
      </c>
    </row>
    <row r="420" spans="1:6" x14ac:dyDescent="0.3">
      <c r="A420" s="7">
        <v>2020</v>
      </c>
      <c r="B420" s="8" t="s">
        <v>59</v>
      </c>
      <c r="C420" s="8" t="s">
        <v>35</v>
      </c>
      <c r="D420" s="14">
        <v>13993</v>
      </c>
      <c r="E420" s="14">
        <v>161570</v>
      </c>
      <c r="F420" s="15">
        <v>24338</v>
      </c>
    </row>
    <row r="421" spans="1:6" x14ac:dyDescent="0.3">
      <c r="A421" s="7">
        <v>2020</v>
      </c>
      <c r="B421" s="8" t="s">
        <v>59</v>
      </c>
      <c r="C421" s="8" t="s">
        <v>36</v>
      </c>
      <c r="D421" s="14">
        <v>33532</v>
      </c>
      <c r="E421" s="14">
        <v>424092</v>
      </c>
      <c r="F421" s="15">
        <v>22945</v>
      </c>
    </row>
    <row r="422" spans="1:6" x14ac:dyDescent="0.3">
      <c r="A422" s="7">
        <v>2020</v>
      </c>
      <c r="B422" s="8" t="s">
        <v>59</v>
      </c>
      <c r="C422" s="8" t="s">
        <v>37</v>
      </c>
      <c r="D422" s="14">
        <v>3890</v>
      </c>
      <c r="E422" s="14">
        <v>44621</v>
      </c>
      <c r="F422" s="15">
        <v>24733</v>
      </c>
    </row>
    <row r="423" spans="1:6" x14ac:dyDescent="0.3">
      <c r="A423" s="7">
        <v>2020</v>
      </c>
      <c r="B423" s="8" t="s">
        <v>59</v>
      </c>
      <c r="C423" s="8" t="s">
        <v>38</v>
      </c>
      <c r="D423" s="14">
        <v>13676</v>
      </c>
      <c r="E423" s="14">
        <v>226959</v>
      </c>
      <c r="F423" s="15">
        <v>19677</v>
      </c>
    </row>
    <row r="424" spans="1:6" x14ac:dyDescent="0.3">
      <c r="A424" s="7">
        <v>2020</v>
      </c>
      <c r="B424" s="8" t="s">
        <v>59</v>
      </c>
      <c r="C424" s="8" t="s">
        <v>39</v>
      </c>
      <c r="D424" s="14">
        <v>3184</v>
      </c>
      <c r="E424" s="14">
        <v>41000</v>
      </c>
      <c r="F424" s="15">
        <v>18829</v>
      </c>
    </row>
    <row r="425" spans="1:6" x14ac:dyDescent="0.3">
      <c r="A425" s="7">
        <v>2020</v>
      </c>
      <c r="B425" s="8" t="s">
        <v>59</v>
      </c>
      <c r="C425" s="8" t="s">
        <v>40</v>
      </c>
      <c r="D425" s="14">
        <v>17443</v>
      </c>
      <c r="E425" s="14">
        <v>293033</v>
      </c>
      <c r="F425" s="15">
        <v>23771</v>
      </c>
    </row>
    <row r="426" spans="1:6" x14ac:dyDescent="0.3">
      <c r="A426" s="7">
        <v>2020</v>
      </c>
      <c r="B426" s="8" t="s">
        <v>59</v>
      </c>
      <c r="C426" s="8" t="s">
        <v>41</v>
      </c>
      <c r="D426" s="14">
        <v>66777</v>
      </c>
      <c r="E426" s="14">
        <v>1178456</v>
      </c>
      <c r="F426" s="15">
        <v>23001</v>
      </c>
    </row>
    <row r="427" spans="1:6" x14ac:dyDescent="0.3">
      <c r="A427" s="7">
        <v>2020</v>
      </c>
      <c r="B427" s="8" t="s">
        <v>59</v>
      </c>
      <c r="C427" s="8" t="s">
        <v>42</v>
      </c>
      <c r="D427" s="14">
        <v>7766</v>
      </c>
      <c r="E427" s="14">
        <v>133375</v>
      </c>
      <c r="F427" s="15">
        <v>21580</v>
      </c>
    </row>
    <row r="428" spans="1:6" x14ac:dyDescent="0.3">
      <c r="A428" s="7">
        <v>2020</v>
      </c>
      <c r="B428" s="8" t="s">
        <v>59</v>
      </c>
      <c r="C428" s="8" t="s">
        <v>43</v>
      </c>
      <c r="D428" s="14">
        <v>2220</v>
      </c>
      <c r="E428" s="14">
        <v>25985</v>
      </c>
      <c r="F428" s="15">
        <v>26068</v>
      </c>
    </row>
    <row r="429" spans="1:6" x14ac:dyDescent="0.3">
      <c r="A429" s="7">
        <v>2020</v>
      </c>
      <c r="B429" s="8" t="s">
        <v>59</v>
      </c>
      <c r="C429" s="8" t="s">
        <v>44</v>
      </c>
      <c r="D429" s="14">
        <v>20954</v>
      </c>
      <c r="E429" s="14">
        <v>322216</v>
      </c>
      <c r="F429" s="15">
        <v>22634</v>
      </c>
    </row>
    <row r="430" spans="1:6" x14ac:dyDescent="0.3">
      <c r="A430" s="7">
        <v>2020</v>
      </c>
      <c r="B430" s="8" t="s">
        <v>59</v>
      </c>
      <c r="C430" s="8" t="s">
        <v>45</v>
      </c>
      <c r="D430" s="14">
        <v>20710</v>
      </c>
      <c r="E430" s="14">
        <v>255412</v>
      </c>
      <c r="F430" s="15">
        <v>26657</v>
      </c>
    </row>
    <row r="431" spans="1:6" x14ac:dyDescent="0.3">
      <c r="A431" s="7">
        <v>2020</v>
      </c>
      <c r="B431" s="8" t="s">
        <v>59</v>
      </c>
      <c r="C431" s="8" t="s">
        <v>46</v>
      </c>
      <c r="D431" s="14">
        <v>4602</v>
      </c>
      <c r="E431" s="14">
        <v>61253</v>
      </c>
      <c r="F431" s="15">
        <v>18945</v>
      </c>
    </row>
    <row r="432" spans="1:6" x14ac:dyDescent="0.3">
      <c r="A432" s="7">
        <v>2020</v>
      </c>
      <c r="B432" s="8" t="s">
        <v>59</v>
      </c>
      <c r="C432" s="8" t="s">
        <v>47</v>
      </c>
      <c r="D432" s="14">
        <v>16783</v>
      </c>
      <c r="E432" s="14">
        <v>227495</v>
      </c>
      <c r="F432" s="15">
        <v>19473</v>
      </c>
    </row>
    <row r="433" spans="1:6" x14ac:dyDescent="0.3">
      <c r="A433" s="7">
        <v>2020</v>
      </c>
      <c r="B433" s="8" t="s">
        <v>59</v>
      </c>
      <c r="C433" s="8" t="s">
        <v>48</v>
      </c>
      <c r="D433" s="14">
        <v>2418</v>
      </c>
      <c r="E433" s="14">
        <v>32312</v>
      </c>
      <c r="F433" s="15">
        <v>23041</v>
      </c>
    </row>
    <row r="434" spans="1:6" x14ac:dyDescent="0.3">
      <c r="A434" s="7">
        <v>2020</v>
      </c>
      <c r="B434" s="8" t="s">
        <v>60</v>
      </c>
      <c r="C434" s="8" t="s">
        <v>1</v>
      </c>
      <c r="D434" s="14">
        <v>9048</v>
      </c>
      <c r="E434" s="14">
        <v>42367</v>
      </c>
      <c r="F434" s="15">
        <v>41437</v>
      </c>
    </row>
    <row r="435" spans="1:6" x14ac:dyDescent="0.3">
      <c r="A435" s="7">
        <v>2020</v>
      </c>
      <c r="B435" s="8" t="s">
        <v>60</v>
      </c>
      <c r="C435" s="8" t="s">
        <v>2</v>
      </c>
      <c r="D435" s="14">
        <v>10878</v>
      </c>
      <c r="E435" s="14">
        <v>69183</v>
      </c>
      <c r="F435" s="15">
        <v>42482</v>
      </c>
    </row>
    <row r="436" spans="1:6" x14ac:dyDescent="0.3">
      <c r="A436" s="7">
        <v>2020</v>
      </c>
      <c r="B436" s="8" t="s">
        <v>60</v>
      </c>
      <c r="C436" s="8" t="s">
        <v>3</v>
      </c>
      <c r="D436" s="14">
        <v>5464</v>
      </c>
      <c r="E436" s="14">
        <v>23724</v>
      </c>
      <c r="F436" s="15">
        <v>38111</v>
      </c>
    </row>
    <row r="437" spans="1:6" x14ac:dyDescent="0.3">
      <c r="A437" s="7">
        <v>2020</v>
      </c>
      <c r="B437" s="8" t="s">
        <v>60</v>
      </c>
      <c r="C437" s="8" t="s">
        <v>4</v>
      </c>
      <c r="D437" s="14">
        <v>97116</v>
      </c>
      <c r="E437" s="14">
        <v>452175</v>
      </c>
      <c r="F437" s="15">
        <v>47080</v>
      </c>
    </row>
    <row r="438" spans="1:6" x14ac:dyDescent="0.3">
      <c r="A438" s="7">
        <v>2020</v>
      </c>
      <c r="B438" s="8" t="s">
        <v>60</v>
      </c>
      <c r="C438" s="8" t="s">
        <v>5</v>
      </c>
      <c r="D438" s="14">
        <v>16860</v>
      </c>
      <c r="E438" s="14">
        <v>76766</v>
      </c>
      <c r="F438" s="15">
        <v>45642</v>
      </c>
    </row>
    <row r="439" spans="1:6" x14ac:dyDescent="0.3">
      <c r="A439" s="7">
        <v>2020</v>
      </c>
      <c r="B439" s="8" t="s">
        <v>60</v>
      </c>
      <c r="C439" s="8" t="s">
        <v>6</v>
      </c>
      <c r="D439" s="14">
        <v>12480</v>
      </c>
      <c r="E439" s="14">
        <v>48120</v>
      </c>
      <c r="F439" s="15">
        <v>42136</v>
      </c>
    </row>
    <row r="440" spans="1:6" x14ac:dyDescent="0.3">
      <c r="A440" s="7">
        <v>2020</v>
      </c>
      <c r="B440" s="8" t="s">
        <v>60</v>
      </c>
      <c r="C440" s="8" t="s">
        <v>7</v>
      </c>
      <c r="D440" s="14">
        <v>2088</v>
      </c>
      <c r="E440" s="14">
        <v>10706</v>
      </c>
      <c r="F440" s="15">
        <v>38135</v>
      </c>
    </row>
    <row r="441" spans="1:6" x14ac:dyDescent="0.3">
      <c r="A441" s="7">
        <v>2020</v>
      </c>
      <c r="B441" s="8" t="s">
        <v>60</v>
      </c>
      <c r="C441" s="8" t="s">
        <v>8</v>
      </c>
      <c r="D441" s="14">
        <v>54871</v>
      </c>
      <c r="E441" s="14">
        <v>254577</v>
      </c>
      <c r="F441" s="15">
        <v>41154</v>
      </c>
    </row>
    <row r="442" spans="1:6" x14ac:dyDescent="0.3">
      <c r="A442" s="7">
        <v>2020</v>
      </c>
      <c r="B442" s="8" t="s">
        <v>60</v>
      </c>
      <c r="C442" s="8" t="s">
        <v>9</v>
      </c>
      <c r="D442" s="14">
        <v>19294</v>
      </c>
      <c r="E442" s="14">
        <v>101509</v>
      </c>
      <c r="F442" s="15">
        <v>41319</v>
      </c>
    </row>
    <row r="443" spans="1:6" x14ac:dyDescent="0.3">
      <c r="A443" s="7">
        <v>2020</v>
      </c>
      <c r="B443" s="8" t="s">
        <v>60</v>
      </c>
      <c r="C443" s="8" t="s">
        <v>10</v>
      </c>
      <c r="D443" s="14">
        <v>4119</v>
      </c>
      <c r="E443" s="14">
        <v>18237</v>
      </c>
      <c r="F443" s="15">
        <v>35029</v>
      </c>
    </row>
    <row r="444" spans="1:6" x14ac:dyDescent="0.3">
      <c r="A444" s="7">
        <v>2020</v>
      </c>
      <c r="B444" s="8" t="s">
        <v>60</v>
      </c>
      <c r="C444" s="8" t="s">
        <v>11</v>
      </c>
      <c r="D444" s="14">
        <v>35477</v>
      </c>
      <c r="E444" s="14">
        <v>184359</v>
      </c>
      <c r="F444" s="15">
        <v>48230</v>
      </c>
    </row>
    <row r="445" spans="1:6" x14ac:dyDescent="0.3">
      <c r="A445" s="7">
        <v>2020</v>
      </c>
      <c r="B445" s="8" t="s">
        <v>60</v>
      </c>
      <c r="C445" s="8" t="s">
        <v>12</v>
      </c>
      <c r="D445" s="14">
        <v>13233</v>
      </c>
      <c r="E445" s="14">
        <v>80627</v>
      </c>
      <c r="F445" s="15">
        <v>36636</v>
      </c>
    </row>
    <row r="446" spans="1:6" x14ac:dyDescent="0.3">
      <c r="A446" s="7">
        <v>2020</v>
      </c>
      <c r="B446" s="8" t="s">
        <v>60</v>
      </c>
      <c r="C446" s="8" t="s">
        <v>13</v>
      </c>
      <c r="D446" s="14">
        <v>7585</v>
      </c>
      <c r="E446" s="14">
        <v>37229</v>
      </c>
      <c r="F446" s="15">
        <v>40163</v>
      </c>
    </row>
    <row r="447" spans="1:6" x14ac:dyDescent="0.3">
      <c r="A447" s="7">
        <v>2020</v>
      </c>
      <c r="B447" s="8" t="s">
        <v>60</v>
      </c>
      <c r="C447" s="8" t="s">
        <v>14</v>
      </c>
      <c r="D447" s="14">
        <v>5873</v>
      </c>
      <c r="E447" s="14">
        <v>31183</v>
      </c>
      <c r="F447" s="15">
        <v>38965</v>
      </c>
    </row>
    <row r="448" spans="1:6" x14ac:dyDescent="0.3">
      <c r="A448" s="7">
        <v>2020</v>
      </c>
      <c r="B448" s="8" t="s">
        <v>60</v>
      </c>
      <c r="C448" s="8" t="s">
        <v>15</v>
      </c>
      <c r="D448" s="14">
        <v>9084</v>
      </c>
      <c r="E448" s="14">
        <v>40228</v>
      </c>
      <c r="F448" s="15">
        <v>38895</v>
      </c>
    </row>
    <row r="449" spans="1:6" x14ac:dyDescent="0.3">
      <c r="A449" s="7">
        <v>2020</v>
      </c>
      <c r="B449" s="8" t="s">
        <v>60</v>
      </c>
      <c r="C449" s="8" t="s">
        <v>16</v>
      </c>
      <c r="D449" s="14">
        <v>9437</v>
      </c>
      <c r="E449" s="14">
        <v>41500</v>
      </c>
      <c r="F449" s="15">
        <v>41226</v>
      </c>
    </row>
    <row r="450" spans="1:6" x14ac:dyDescent="0.3">
      <c r="A450" s="7">
        <v>2020</v>
      </c>
      <c r="B450" s="8" t="s">
        <v>60</v>
      </c>
      <c r="C450" s="8" t="s">
        <v>17</v>
      </c>
      <c r="D450" s="14">
        <v>3830</v>
      </c>
      <c r="E450" s="14">
        <v>16120</v>
      </c>
      <c r="F450" s="15">
        <v>39497</v>
      </c>
    </row>
    <row r="451" spans="1:6" x14ac:dyDescent="0.3">
      <c r="A451" s="7">
        <v>2020</v>
      </c>
      <c r="B451" s="8" t="s">
        <v>60</v>
      </c>
      <c r="C451" s="8" t="s">
        <v>18</v>
      </c>
      <c r="D451" s="14">
        <v>19028</v>
      </c>
      <c r="E451" s="14">
        <v>78236</v>
      </c>
      <c r="F451" s="15">
        <v>48238</v>
      </c>
    </row>
    <row r="452" spans="1:6" x14ac:dyDescent="0.3">
      <c r="A452" s="7">
        <v>2020</v>
      </c>
      <c r="B452" s="8" t="s">
        <v>60</v>
      </c>
      <c r="C452" s="8" t="s">
        <v>19</v>
      </c>
      <c r="D452" s="14">
        <v>21927</v>
      </c>
      <c r="E452" s="14">
        <v>98276</v>
      </c>
      <c r="F452" s="15">
        <v>46345</v>
      </c>
    </row>
    <row r="453" spans="1:6" x14ac:dyDescent="0.3">
      <c r="A453" s="7">
        <v>2020</v>
      </c>
      <c r="B453" s="8" t="s">
        <v>60</v>
      </c>
      <c r="C453" s="8" t="s">
        <v>20</v>
      </c>
      <c r="D453" s="14">
        <v>25486</v>
      </c>
      <c r="E453" s="14">
        <v>114074</v>
      </c>
      <c r="F453" s="15">
        <v>39650</v>
      </c>
    </row>
    <row r="454" spans="1:6" x14ac:dyDescent="0.3">
      <c r="A454" s="7">
        <v>2020</v>
      </c>
      <c r="B454" s="8" t="s">
        <v>60</v>
      </c>
      <c r="C454" s="8" t="s">
        <v>21</v>
      </c>
      <c r="D454" s="14">
        <v>17118</v>
      </c>
      <c r="E454" s="14">
        <v>77083</v>
      </c>
      <c r="F454" s="15">
        <v>39485</v>
      </c>
    </row>
    <row r="455" spans="1:6" x14ac:dyDescent="0.3">
      <c r="A455" s="7">
        <v>2020</v>
      </c>
      <c r="B455" s="8" t="s">
        <v>60</v>
      </c>
      <c r="C455" s="8" t="s">
        <v>22</v>
      </c>
      <c r="D455" s="14">
        <v>4625</v>
      </c>
      <c r="E455" s="14">
        <v>19993</v>
      </c>
      <c r="F455" s="15">
        <v>38520</v>
      </c>
    </row>
    <row r="456" spans="1:6" x14ac:dyDescent="0.3">
      <c r="A456" s="7">
        <v>2020</v>
      </c>
      <c r="B456" s="8" t="s">
        <v>60</v>
      </c>
      <c r="C456" s="8" t="s">
        <v>23</v>
      </c>
      <c r="D456" s="14">
        <v>13399</v>
      </c>
      <c r="E456" s="14">
        <v>68557</v>
      </c>
      <c r="F456" s="15">
        <v>38496</v>
      </c>
    </row>
    <row r="457" spans="1:6" x14ac:dyDescent="0.3">
      <c r="A457" s="7">
        <v>2020</v>
      </c>
      <c r="B457" s="8" t="s">
        <v>60</v>
      </c>
      <c r="C457" s="8" t="s">
        <v>24</v>
      </c>
      <c r="D457" s="14">
        <v>4199</v>
      </c>
      <c r="E457" s="14">
        <v>17236</v>
      </c>
      <c r="F457" s="15">
        <v>34349</v>
      </c>
    </row>
    <row r="458" spans="1:6" x14ac:dyDescent="0.3">
      <c r="A458" s="7">
        <v>2020</v>
      </c>
      <c r="B458" s="8" t="s">
        <v>60</v>
      </c>
      <c r="C458" s="8" t="s">
        <v>25</v>
      </c>
      <c r="D458" s="14">
        <v>4602</v>
      </c>
      <c r="E458" s="14">
        <v>24061</v>
      </c>
      <c r="F458" s="15">
        <v>36266</v>
      </c>
    </row>
    <row r="459" spans="1:6" x14ac:dyDescent="0.3">
      <c r="A459" s="7">
        <v>2020</v>
      </c>
      <c r="B459" s="8" t="s">
        <v>60</v>
      </c>
      <c r="C459" s="8" t="s">
        <v>26</v>
      </c>
      <c r="D459" s="14">
        <v>5067</v>
      </c>
      <c r="E459" s="14">
        <v>30593</v>
      </c>
      <c r="F459" s="15">
        <v>41698</v>
      </c>
    </row>
    <row r="460" spans="1:6" x14ac:dyDescent="0.3">
      <c r="A460" s="7">
        <v>2020</v>
      </c>
      <c r="B460" s="8" t="s">
        <v>60</v>
      </c>
      <c r="C460" s="8" t="s">
        <v>27</v>
      </c>
      <c r="D460" s="14">
        <v>4109</v>
      </c>
      <c r="E460" s="14">
        <v>18869</v>
      </c>
      <c r="F460" s="15">
        <v>43107</v>
      </c>
    </row>
    <row r="461" spans="1:6" x14ac:dyDescent="0.3">
      <c r="A461" s="7">
        <v>2020</v>
      </c>
      <c r="B461" s="8" t="s">
        <v>60</v>
      </c>
      <c r="C461" s="8" t="s">
        <v>28</v>
      </c>
      <c r="D461" s="14">
        <v>24307</v>
      </c>
      <c r="E461" s="14">
        <v>114130</v>
      </c>
      <c r="F461" s="15">
        <v>41197</v>
      </c>
    </row>
    <row r="462" spans="1:6" x14ac:dyDescent="0.3">
      <c r="A462" s="7">
        <v>2020</v>
      </c>
      <c r="B462" s="8" t="s">
        <v>60</v>
      </c>
      <c r="C462" s="8" t="s">
        <v>29</v>
      </c>
      <c r="D462" s="14">
        <v>4261</v>
      </c>
      <c r="E462" s="14">
        <v>18424</v>
      </c>
      <c r="F462" s="15">
        <v>38699</v>
      </c>
    </row>
    <row r="463" spans="1:6" x14ac:dyDescent="0.3">
      <c r="A463" s="7">
        <v>2020</v>
      </c>
      <c r="B463" s="8" t="s">
        <v>60</v>
      </c>
      <c r="C463" s="8" t="s">
        <v>30</v>
      </c>
      <c r="D463" s="14">
        <v>70935</v>
      </c>
      <c r="E463" s="14">
        <v>307026</v>
      </c>
      <c r="F463" s="15">
        <v>49001</v>
      </c>
    </row>
    <row r="464" spans="1:6" x14ac:dyDescent="0.3">
      <c r="A464" s="7">
        <v>2020</v>
      </c>
      <c r="B464" s="8" t="s">
        <v>60</v>
      </c>
      <c r="C464" s="8" t="s">
        <v>31</v>
      </c>
      <c r="D464" s="14">
        <v>26011</v>
      </c>
      <c r="E464" s="14">
        <v>107703</v>
      </c>
      <c r="F464" s="15">
        <v>39794</v>
      </c>
    </row>
    <row r="465" spans="1:6" x14ac:dyDescent="0.3">
      <c r="A465" s="7">
        <v>2020</v>
      </c>
      <c r="B465" s="8" t="s">
        <v>60</v>
      </c>
      <c r="C465" s="8" t="s">
        <v>32</v>
      </c>
      <c r="D465" s="14">
        <v>2141</v>
      </c>
      <c r="E465" s="14">
        <v>10645</v>
      </c>
      <c r="F465" s="15">
        <v>40484</v>
      </c>
    </row>
    <row r="466" spans="1:6" x14ac:dyDescent="0.3">
      <c r="A466" s="7">
        <v>2020</v>
      </c>
      <c r="B466" s="8" t="s">
        <v>60</v>
      </c>
      <c r="C466" s="8" t="s">
        <v>33</v>
      </c>
      <c r="D466" s="14">
        <v>23929</v>
      </c>
      <c r="E466" s="14">
        <v>138448</v>
      </c>
      <c r="F466" s="15">
        <v>38332</v>
      </c>
    </row>
    <row r="467" spans="1:6" x14ac:dyDescent="0.3">
      <c r="A467" s="7">
        <v>2020</v>
      </c>
      <c r="B467" s="8" t="s">
        <v>60</v>
      </c>
      <c r="C467" s="8" t="s">
        <v>34</v>
      </c>
      <c r="D467" s="14">
        <v>6600</v>
      </c>
      <c r="E467" s="14">
        <v>34047</v>
      </c>
      <c r="F467" s="15">
        <v>37686</v>
      </c>
    </row>
    <row r="468" spans="1:6" x14ac:dyDescent="0.3">
      <c r="A468" s="7">
        <v>2020</v>
      </c>
      <c r="B468" s="8" t="s">
        <v>60</v>
      </c>
      <c r="C468" s="8" t="s">
        <v>35</v>
      </c>
      <c r="D468" s="14">
        <v>14853</v>
      </c>
      <c r="E468" s="14">
        <v>60924</v>
      </c>
      <c r="F468" s="15">
        <v>41296</v>
      </c>
    </row>
    <row r="469" spans="1:6" x14ac:dyDescent="0.3">
      <c r="A469" s="7">
        <v>2020</v>
      </c>
      <c r="B469" s="8" t="s">
        <v>60</v>
      </c>
      <c r="C469" s="8" t="s">
        <v>36</v>
      </c>
      <c r="D469" s="14">
        <v>33590</v>
      </c>
      <c r="E469" s="14">
        <v>169772</v>
      </c>
      <c r="F469" s="15">
        <v>39396</v>
      </c>
    </row>
    <row r="470" spans="1:6" x14ac:dyDescent="0.3">
      <c r="A470" s="7">
        <v>2020</v>
      </c>
      <c r="B470" s="8" t="s">
        <v>60</v>
      </c>
      <c r="C470" s="8" t="s">
        <v>37</v>
      </c>
      <c r="D470" s="14">
        <v>3576</v>
      </c>
      <c r="E470" s="14">
        <v>15156</v>
      </c>
      <c r="F470" s="15">
        <v>38763</v>
      </c>
    </row>
    <row r="471" spans="1:6" x14ac:dyDescent="0.3">
      <c r="A471" s="7">
        <v>2020</v>
      </c>
      <c r="B471" s="8" t="s">
        <v>60</v>
      </c>
      <c r="C471" s="8" t="s">
        <v>38</v>
      </c>
      <c r="D471" s="14">
        <v>10267</v>
      </c>
      <c r="E471" s="14">
        <v>49710</v>
      </c>
      <c r="F471" s="15">
        <v>38110</v>
      </c>
    </row>
    <row r="472" spans="1:6" x14ac:dyDescent="0.3">
      <c r="A472" s="7">
        <v>2020</v>
      </c>
      <c r="B472" s="8" t="s">
        <v>60</v>
      </c>
      <c r="C472" s="8" t="s">
        <v>39</v>
      </c>
      <c r="D472" s="14">
        <v>2313</v>
      </c>
      <c r="E472" s="14">
        <v>11077</v>
      </c>
      <c r="F472" s="15">
        <v>38165</v>
      </c>
    </row>
    <row r="473" spans="1:6" x14ac:dyDescent="0.3">
      <c r="A473" s="7">
        <v>2020</v>
      </c>
      <c r="B473" s="8" t="s">
        <v>60</v>
      </c>
      <c r="C473" s="8" t="s">
        <v>40</v>
      </c>
      <c r="D473" s="14">
        <v>12651</v>
      </c>
      <c r="E473" s="14">
        <v>70977</v>
      </c>
      <c r="F473" s="15">
        <v>40323</v>
      </c>
    </row>
    <row r="474" spans="1:6" x14ac:dyDescent="0.3">
      <c r="A474" s="7">
        <v>2020</v>
      </c>
      <c r="B474" s="8" t="s">
        <v>60</v>
      </c>
      <c r="C474" s="8" t="s">
        <v>41</v>
      </c>
      <c r="D474" s="14">
        <v>57936</v>
      </c>
      <c r="E474" s="14">
        <v>310244</v>
      </c>
      <c r="F474" s="15">
        <v>44055</v>
      </c>
    </row>
    <row r="475" spans="1:6" x14ac:dyDescent="0.3">
      <c r="A475" s="7">
        <v>2020</v>
      </c>
      <c r="B475" s="8" t="s">
        <v>60</v>
      </c>
      <c r="C475" s="8" t="s">
        <v>42</v>
      </c>
      <c r="D475" s="14">
        <v>6849</v>
      </c>
      <c r="E475" s="14">
        <v>35002</v>
      </c>
      <c r="F475" s="15">
        <v>39528</v>
      </c>
    </row>
    <row r="476" spans="1:6" x14ac:dyDescent="0.3">
      <c r="A476" s="7">
        <v>2020</v>
      </c>
      <c r="B476" s="8" t="s">
        <v>60</v>
      </c>
      <c r="C476" s="8" t="s">
        <v>43</v>
      </c>
      <c r="D476" s="14">
        <v>1995</v>
      </c>
      <c r="E476" s="14">
        <v>7681</v>
      </c>
      <c r="F476" s="15">
        <v>41304</v>
      </c>
    </row>
    <row r="477" spans="1:6" x14ac:dyDescent="0.3">
      <c r="A477" s="7">
        <v>2020</v>
      </c>
      <c r="B477" s="8" t="s">
        <v>60</v>
      </c>
      <c r="C477" s="8" t="s">
        <v>44</v>
      </c>
      <c r="D477" s="14">
        <v>29516</v>
      </c>
      <c r="E477" s="14">
        <v>121622</v>
      </c>
      <c r="F477" s="15">
        <v>50744</v>
      </c>
    </row>
    <row r="478" spans="1:6" x14ac:dyDescent="0.3">
      <c r="A478" s="7">
        <v>2020</v>
      </c>
      <c r="B478" s="8" t="s">
        <v>60</v>
      </c>
      <c r="C478" s="8" t="s">
        <v>45</v>
      </c>
      <c r="D478" s="14">
        <v>20259</v>
      </c>
      <c r="E478" s="14">
        <v>89105</v>
      </c>
      <c r="F478" s="15">
        <v>46691</v>
      </c>
    </row>
    <row r="479" spans="1:6" x14ac:dyDescent="0.3">
      <c r="A479" s="7">
        <v>2020</v>
      </c>
      <c r="B479" s="8" t="s">
        <v>60</v>
      </c>
      <c r="C479" s="8" t="s">
        <v>46</v>
      </c>
      <c r="D479" s="14">
        <v>3442</v>
      </c>
      <c r="E479" s="14">
        <v>15621</v>
      </c>
      <c r="F479" s="15">
        <v>35759</v>
      </c>
    </row>
    <row r="480" spans="1:6" x14ac:dyDescent="0.3">
      <c r="A480" s="7">
        <v>2020</v>
      </c>
      <c r="B480" s="8" t="s">
        <v>60</v>
      </c>
      <c r="C480" s="8" t="s">
        <v>47</v>
      </c>
      <c r="D480" s="14">
        <v>13143</v>
      </c>
      <c r="E480" s="14">
        <v>74028</v>
      </c>
      <c r="F480" s="15">
        <v>36058</v>
      </c>
    </row>
    <row r="481" spans="1:6" x14ac:dyDescent="0.3">
      <c r="A481" s="7">
        <v>2020</v>
      </c>
      <c r="B481" s="8" t="s">
        <v>60</v>
      </c>
      <c r="C481" s="8" t="s">
        <v>48</v>
      </c>
      <c r="D481" s="14">
        <v>1669</v>
      </c>
      <c r="E481" s="14">
        <v>6769</v>
      </c>
      <c r="F481" s="15">
        <v>40253</v>
      </c>
    </row>
    <row r="482" spans="1:6" x14ac:dyDescent="0.3">
      <c r="A482" s="7">
        <v>2019</v>
      </c>
      <c r="B482" s="8" t="s">
        <v>55</v>
      </c>
      <c r="C482" s="8" t="s">
        <v>1</v>
      </c>
      <c r="D482" s="14">
        <v>1846</v>
      </c>
      <c r="E482" s="14">
        <v>18939</v>
      </c>
      <c r="F482" s="15">
        <v>56529</v>
      </c>
    </row>
    <row r="483" spans="1:6" x14ac:dyDescent="0.3">
      <c r="A483" s="7">
        <v>2019</v>
      </c>
      <c r="B483" s="8" t="s">
        <v>55</v>
      </c>
      <c r="C483" s="8" t="s">
        <v>2</v>
      </c>
      <c r="D483" s="14">
        <v>1358</v>
      </c>
      <c r="E483" s="14">
        <v>37970</v>
      </c>
      <c r="F483" s="15">
        <v>52262</v>
      </c>
    </row>
    <row r="484" spans="1:6" x14ac:dyDescent="0.3">
      <c r="A484" s="7">
        <v>2019</v>
      </c>
      <c r="B484" s="8" t="s">
        <v>55</v>
      </c>
      <c r="C484" s="8" t="s">
        <v>3</v>
      </c>
      <c r="D484" s="14">
        <v>2577</v>
      </c>
      <c r="E484" s="14">
        <v>16390</v>
      </c>
      <c r="F484" s="15">
        <v>48299</v>
      </c>
    </row>
    <row r="485" spans="1:6" x14ac:dyDescent="0.3">
      <c r="A485" s="7">
        <v>2019</v>
      </c>
      <c r="B485" s="8" t="s">
        <v>55</v>
      </c>
      <c r="C485" s="8" t="s">
        <v>4</v>
      </c>
      <c r="D485" s="14">
        <v>17663</v>
      </c>
      <c r="E485" s="14">
        <v>443581</v>
      </c>
      <c r="F485" s="15">
        <v>40246</v>
      </c>
    </row>
    <row r="486" spans="1:6" x14ac:dyDescent="0.3">
      <c r="A486" s="7">
        <v>2019</v>
      </c>
      <c r="B486" s="8" t="s">
        <v>55</v>
      </c>
      <c r="C486" s="8" t="s">
        <v>5</v>
      </c>
      <c r="D486" s="14">
        <v>3279</v>
      </c>
      <c r="E486" s="14">
        <v>48392</v>
      </c>
      <c r="F486" s="15">
        <v>90328</v>
      </c>
    </row>
    <row r="487" spans="1:6" x14ac:dyDescent="0.3">
      <c r="A487" s="7">
        <v>2019</v>
      </c>
      <c r="B487" s="8" t="s">
        <v>55</v>
      </c>
      <c r="C487" s="8" t="s">
        <v>6</v>
      </c>
      <c r="D487" s="8">
        <v>437</v>
      </c>
      <c r="E487" s="14">
        <v>5258</v>
      </c>
      <c r="F487" s="15">
        <v>41449</v>
      </c>
    </row>
    <row r="488" spans="1:6" x14ac:dyDescent="0.3">
      <c r="A488" s="7">
        <v>2019</v>
      </c>
      <c r="B488" s="8" t="s">
        <v>55</v>
      </c>
      <c r="C488" s="8" t="s">
        <v>7</v>
      </c>
      <c r="D488" s="8">
        <v>180</v>
      </c>
      <c r="E488" s="14">
        <v>1471</v>
      </c>
      <c r="F488" s="15">
        <v>42123</v>
      </c>
    </row>
    <row r="489" spans="1:6" x14ac:dyDescent="0.3">
      <c r="A489" s="7">
        <v>2019</v>
      </c>
      <c r="B489" s="8" t="s">
        <v>55</v>
      </c>
      <c r="C489" s="8" t="s">
        <v>8</v>
      </c>
      <c r="D489" s="14">
        <v>5304</v>
      </c>
      <c r="E489" s="14">
        <v>71329</v>
      </c>
      <c r="F489" s="15">
        <v>35645</v>
      </c>
    </row>
    <row r="490" spans="1:6" x14ac:dyDescent="0.3">
      <c r="A490" s="7">
        <v>2019</v>
      </c>
      <c r="B490" s="8" t="s">
        <v>55</v>
      </c>
      <c r="C490" s="8" t="s">
        <v>9</v>
      </c>
      <c r="D490" s="14">
        <v>2662</v>
      </c>
      <c r="E490" s="14">
        <v>29910</v>
      </c>
      <c r="F490" s="15">
        <v>43258</v>
      </c>
    </row>
    <row r="491" spans="1:6" x14ac:dyDescent="0.3">
      <c r="A491" s="7">
        <v>2019</v>
      </c>
      <c r="B491" s="8" t="s">
        <v>55</v>
      </c>
      <c r="C491" s="8" t="s">
        <v>10</v>
      </c>
      <c r="D491" s="14">
        <v>2401</v>
      </c>
      <c r="E491" s="14">
        <v>26555</v>
      </c>
      <c r="F491" s="15">
        <v>41105</v>
      </c>
    </row>
    <row r="492" spans="1:6" x14ac:dyDescent="0.3">
      <c r="A492" s="7">
        <v>2019</v>
      </c>
      <c r="B492" s="8" t="s">
        <v>55</v>
      </c>
      <c r="C492" s="8" t="s">
        <v>11</v>
      </c>
      <c r="D492" s="14">
        <v>2825</v>
      </c>
      <c r="E492" s="14">
        <v>26828</v>
      </c>
      <c r="F492" s="15">
        <v>52197</v>
      </c>
    </row>
    <row r="493" spans="1:6" x14ac:dyDescent="0.3">
      <c r="A493" s="7">
        <v>2019</v>
      </c>
      <c r="B493" s="8" t="s">
        <v>55</v>
      </c>
      <c r="C493" s="8" t="s">
        <v>12</v>
      </c>
      <c r="D493" s="14">
        <v>2255</v>
      </c>
      <c r="E493" s="14">
        <v>21475</v>
      </c>
      <c r="F493" s="15">
        <v>50243</v>
      </c>
    </row>
    <row r="494" spans="1:6" x14ac:dyDescent="0.3">
      <c r="A494" s="7">
        <v>2019</v>
      </c>
      <c r="B494" s="8" t="s">
        <v>55</v>
      </c>
      <c r="C494" s="8" t="s">
        <v>13</v>
      </c>
      <c r="D494" s="14">
        <v>2916</v>
      </c>
      <c r="E494" s="14">
        <v>23431</v>
      </c>
      <c r="F494" s="15">
        <v>44087</v>
      </c>
    </row>
    <row r="495" spans="1:6" x14ac:dyDescent="0.3">
      <c r="A495" s="7">
        <v>2019</v>
      </c>
      <c r="B495" s="8" t="s">
        <v>55</v>
      </c>
      <c r="C495" s="8" t="s">
        <v>14</v>
      </c>
      <c r="D495" s="14">
        <v>2612</v>
      </c>
      <c r="E495" s="14">
        <v>19353</v>
      </c>
      <c r="F495" s="15">
        <v>47802</v>
      </c>
    </row>
    <row r="496" spans="1:6" x14ac:dyDescent="0.3">
      <c r="A496" s="7">
        <v>2019</v>
      </c>
      <c r="B496" s="8" t="s">
        <v>55</v>
      </c>
      <c r="C496" s="8" t="s">
        <v>15</v>
      </c>
      <c r="D496" s="14">
        <v>1561</v>
      </c>
      <c r="E496" s="14">
        <v>18911</v>
      </c>
      <c r="F496" s="15">
        <v>56448</v>
      </c>
    </row>
    <row r="497" spans="1:6" x14ac:dyDescent="0.3">
      <c r="A497" s="7">
        <v>2019</v>
      </c>
      <c r="B497" s="8" t="s">
        <v>55</v>
      </c>
      <c r="C497" s="8" t="s">
        <v>16</v>
      </c>
      <c r="D497" s="14">
        <v>3133</v>
      </c>
      <c r="E497" s="14">
        <v>44052</v>
      </c>
      <c r="F497" s="15">
        <v>87820</v>
      </c>
    </row>
    <row r="498" spans="1:6" x14ac:dyDescent="0.3">
      <c r="A498" s="7">
        <v>2019</v>
      </c>
      <c r="B498" s="8" t="s">
        <v>55</v>
      </c>
      <c r="C498" s="8" t="s">
        <v>17</v>
      </c>
      <c r="D498" s="14">
        <v>1447</v>
      </c>
      <c r="E498" s="14">
        <v>7281</v>
      </c>
      <c r="F498" s="15">
        <v>41157</v>
      </c>
    </row>
    <row r="499" spans="1:6" x14ac:dyDescent="0.3">
      <c r="A499" s="7">
        <v>2019</v>
      </c>
      <c r="B499" s="8" t="s">
        <v>55</v>
      </c>
      <c r="C499" s="8" t="s">
        <v>18</v>
      </c>
      <c r="D499" s="8">
        <v>723</v>
      </c>
      <c r="E499" s="14">
        <v>7194</v>
      </c>
      <c r="F499" s="15">
        <v>44642</v>
      </c>
    </row>
    <row r="500" spans="1:6" x14ac:dyDescent="0.3">
      <c r="A500" s="7">
        <v>2019</v>
      </c>
      <c r="B500" s="8" t="s">
        <v>55</v>
      </c>
      <c r="C500" s="8" t="s">
        <v>19</v>
      </c>
      <c r="D500" s="14">
        <v>1007</v>
      </c>
      <c r="E500" s="14">
        <v>10500</v>
      </c>
      <c r="F500" s="15">
        <v>63846</v>
      </c>
    </row>
    <row r="501" spans="1:6" x14ac:dyDescent="0.3">
      <c r="A501" s="7">
        <v>2019</v>
      </c>
      <c r="B501" s="8" t="s">
        <v>55</v>
      </c>
      <c r="C501" s="8" t="s">
        <v>20</v>
      </c>
      <c r="D501" s="14">
        <v>3480</v>
      </c>
      <c r="E501" s="14">
        <v>35622</v>
      </c>
      <c r="F501" s="15">
        <v>41799</v>
      </c>
    </row>
    <row r="502" spans="1:6" x14ac:dyDescent="0.3">
      <c r="A502" s="7">
        <v>2019</v>
      </c>
      <c r="B502" s="8" t="s">
        <v>55</v>
      </c>
      <c r="C502" s="8" t="s">
        <v>21</v>
      </c>
      <c r="D502" s="14">
        <v>3094</v>
      </c>
      <c r="E502" s="14">
        <v>28134</v>
      </c>
      <c r="F502" s="15">
        <v>51107</v>
      </c>
    </row>
    <row r="503" spans="1:6" x14ac:dyDescent="0.3">
      <c r="A503" s="7">
        <v>2019</v>
      </c>
      <c r="B503" s="8" t="s">
        <v>55</v>
      </c>
      <c r="C503" s="8" t="s">
        <v>22</v>
      </c>
      <c r="D503" s="14">
        <v>2110</v>
      </c>
      <c r="E503" s="14">
        <v>15777</v>
      </c>
      <c r="F503" s="15">
        <v>49263</v>
      </c>
    </row>
    <row r="504" spans="1:6" x14ac:dyDescent="0.3">
      <c r="A504" s="7">
        <v>2019</v>
      </c>
      <c r="B504" s="8" t="s">
        <v>55</v>
      </c>
      <c r="C504" s="8" t="s">
        <v>23</v>
      </c>
      <c r="D504" s="14">
        <v>2031</v>
      </c>
      <c r="E504" s="14">
        <v>16899</v>
      </c>
      <c r="F504" s="15">
        <v>44815</v>
      </c>
    </row>
    <row r="505" spans="1:6" x14ac:dyDescent="0.3">
      <c r="A505" s="7">
        <v>2019</v>
      </c>
      <c r="B505" s="8" t="s">
        <v>55</v>
      </c>
      <c r="C505" s="8" t="s">
        <v>24</v>
      </c>
      <c r="D505" s="14">
        <v>1789</v>
      </c>
      <c r="E505" s="14">
        <v>12792</v>
      </c>
      <c r="F505" s="15">
        <v>67162</v>
      </c>
    </row>
    <row r="506" spans="1:6" x14ac:dyDescent="0.3">
      <c r="A506" s="7">
        <v>2019</v>
      </c>
      <c r="B506" s="8" t="s">
        <v>55</v>
      </c>
      <c r="C506" s="8" t="s">
        <v>25</v>
      </c>
      <c r="D506" s="14">
        <v>2414</v>
      </c>
      <c r="E506" s="14">
        <v>15761</v>
      </c>
      <c r="F506" s="15">
        <v>42685</v>
      </c>
    </row>
    <row r="507" spans="1:6" x14ac:dyDescent="0.3">
      <c r="A507" s="7">
        <v>2019</v>
      </c>
      <c r="B507" s="8" t="s">
        <v>55</v>
      </c>
      <c r="C507" s="8" t="s">
        <v>26</v>
      </c>
      <c r="D507" s="8">
        <v>618</v>
      </c>
      <c r="E507" s="14">
        <v>19841</v>
      </c>
      <c r="F507" s="15">
        <v>86362</v>
      </c>
    </row>
    <row r="508" spans="1:6" x14ac:dyDescent="0.3">
      <c r="A508" s="7">
        <v>2019</v>
      </c>
      <c r="B508" s="8" t="s">
        <v>55</v>
      </c>
      <c r="C508" s="8" t="s">
        <v>27</v>
      </c>
      <c r="D508" s="8">
        <v>350</v>
      </c>
      <c r="E508" s="14">
        <v>2627</v>
      </c>
      <c r="F508" s="15">
        <v>44073</v>
      </c>
    </row>
    <row r="509" spans="1:6" x14ac:dyDescent="0.3">
      <c r="A509" s="7">
        <v>2019</v>
      </c>
      <c r="B509" s="8" t="s">
        <v>55</v>
      </c>
      <c r="C509" s="8" t="s">
        <v>28</v>
      </c>
      <c r="D509" s="8">
        <v>998</v>
      </c>
      <c r="E509" s="14">
        <v>12407</v>
      </c>
      <c r="F509" s="15">
        <v>41732</v>
      </c>
    </row>
    <row r="510" spans="1:6" x14ac:dyDescent="0.3">
      <c r="A510" s="7">
        <v>2019</v>
      </c>
      <c r="B510" s="8" t="s">
        <v>55</v>
      </c>
      <c r="C510" s="8" t="s">
        <v>29</v>
      </c>
      <c r="D510" s="14">
        <v>2100</v>
      </c>
      <c r="E510" s="14">
        <v>36949</v>
      </c>
      <c r="F510" s="15">
        <v>68427</v>
      </c>
    </row>
    <row r="511" spans="1:6" x14ac:dyDescent="0.3">
      <c r="A511" s="7">
        <v>2019</v>
      </c>
      <c r="B511" s="8" t="s">
        <v>55</v>
      </c>
      <c r="C511" s="8" t="s">
        <v>30</v>
      </c>
      <c r="D511" s="14">
        <v>3053</v>
      </c>
      <c r="E511" s="14">
        <v>31787</v>
      </c>
      <c r="F511" s="15">
        <v>42992</v>
      </c>
    </row>
    <row r="512" spans="1:6" x14ac:dyDescent="0.3">
      <c r="A512" s="7">
        <v>2019</v>
      </c>
      <c r="B512" s="8" t="s">
        <v>55</v>
      </c>
      <c r="C512" s="8" t="s">
        <v>31</v>
      </c>
      <c r="D512" s="14">
        <v>3378</v>
      </c>
      <c r="E512" s="14">
        <v>29828</v>
      </c>
      <c r="F512" s="15">
        <v>40862</v>
      </c>
    </row>
    <row r="513" spans="1:6" x14ac:dyDescent="0.3">
      <c r="A513" s="7">
        <v>2019</v>
      </c>
      <c r="B513" s="8" t="s">
        <v>55</v>
      </c>
      <c r="C513" s="8" t="s">
        <v>32</v>
      </c>
      <c r="D513" s="14">
        <v>1784</v>
      </c>
      <c r="E513" s="14">
        <v>25973</v>
      </c>
      <c r="F513" s="15">
        <v>97355</v>
      </c>
    </row>
    <row r="514" spans="1:6" x14ac:dyDescent="0.3">
      <c r="A514" s="7">
        <v>2019</v>
      </c>
      <c r="B514" s="8" t="s">
        <v>55</v>
      </c>
      <c r="C514" s="8" t="s">
        <v>33</v>
      </c>
      <c r="D514" s="14">
        <v>2531</v>
      </c>
      <c r="E514" s="14">
        <v>28532</v>
      </c>
      <c r="F514" s="15">
        <v>51860</v>
      </c>
    </row>
    <row r="515" spans="1:6" x14ac:dyDescent="0.3">
      <c r="A515" s="7">
        <v>2019</v>
      </c>
      <c r="B515" s="8" t="s">
        <v>55</v>
      </c>
      <c r="C515" s="8" t="s">
        <v>34</v>
      </c>
      <c r="D515" s="14">
        <v>4402</v>
      </c>
      <c r="E515" s="14">
        <v>56786</v>
      </c>
      <c r="F515" s="15">
        <v>91249</v>
      </c>
    </row>
    <row r="516" spans="1:6" x14ac:dyDescent="0.3">
      <c r="A516" s="7">
        <v>2019</v>
      </c>
      <c r="B516" s="8" t="s">
        <v>55</v>
      </c>
      <c r="C516" s="8" t="s">
        <v>35</v>
      </c>
      <c r="D516" s="14">
        <v>4633</v>
      </c>
      <c r="E516" s="14">
        <v>54550</v>
      </c>
      <c r="F516" s="15">
        <v>37586</v>
      </c>
    </row>
    <row r="517" spans="1:6" x14ac:dyDescent="0.3">
      <c r="A517" s="7">
        <v>2019</v>
      </c>
      <c r="B517" s="8" t="s">
        <v>55</v>
      </c>
      <c r="C517" s="8" t="s">
        <v>36</v>
      </c>
      <c r="D517" s="14">
        <v>3616</v>
      </c>
      <c r="E517" s="14">
        <v>52904</v>
      </c>
      <c r="F517" s="15">
        <v>65014</v>
      </c>
    </row>
    <row r="518" spans="1:6" x14ac:dyDescent="0.3">
      <c r="A518" s="7">
        <v>2019</v>
      </c>
      <c r="B518" s="8" t="s">
        <v>55</v>
      </c>
      <c r="C518" s="8" t="s">
        <v>37</v>
      </c>
      <c r="D518" s="8">
        <v>198</v>
      </c>
      <c r="E518" s="14">
        <v>1121</v>
      </c>
      <c r="F518" s="15">
        <v>39917</v>
      </c>
    </row>
    <row r="519" spans="1:6" x14ac:dyDescent="0.3">
      <c r="A519" s="7">
        <v>2019</v>
      </c>
      <c r="B519" s="8" t="s">
        <v>55</v>
      </c>
      <c r="C519" s="8" t="s">
        <v>38</v>
      </c>
      <c r="D519" s="14">
        <v>1345</v>
      </c>
      <c r="E519" s="14">
        <v>12552</v>
      </c>
      <c r="F519" s="15">
        <v>43952</v>
      </c>
    </row>
    <row r="520" spans="1:6" x14ac:dyDescent="0.3">
      <c r="A520" s="7">
        <v>2019</v>
      </c>
      <c r="B520" s="8" t="s">
        <v>55</v>
      </c>
      <c r="C520" s="8" t="s">
        <v>39</v>
      </c>
      <c r="D520" s="14">
        <v>1063</v>
      </c>
      <c r="E520" s="14">
        <v>6986</v>
      </c>
      <c r="F520" s="15">
        <v>43642</v>
      </c>
    </row>
    <row r="521" spans="1:6" x14ac:dyDescent="0.3">
      <c r="A521" s="7">
        <v>2019</v>
      </c>
      <c r="B521" s="8" t="s">
        <v>55</v>
      </c>
      <c r="C521" s="8" t="s">
        <v>40</v>
      </c>
      <c r="D521" s="14">
        <v>1107</v>
      </c>
      <c r="E521" s="14">
        <v>11568</v>
      </c>
      <c r="F521" s="15">
        <v>46865</v>
      </c>
    </row>
    <row r="522" spans="1:6" x14ac:dyDescent="0.3">
      <c r="A522" s="7">
        <v>2019</v>
      </c>
      <c r="B522" s="8" t="s">
        <v>55</v>
      </c>
      <c r="C522" s="8" t="s">
        <v>41</v>
      </c>
      <c r="D522" s="14">
        <v>19971</v>
      </c>
      <c r="E522" s="14">
        <v>307800</v>
      </c>
      <c r="F522" s="15">
        <v>114918</v>
      </c>
    </row>
    <row r="523" spans="1:6" x14ac:dyDescent="0.3">
      <c r="A523" s="7">
        <v>2019</v>
      </c>
      <c r="B523" s="8" t="s">
        <v>55</v>
      </c>
      <c r="C523" s="8" t="s">
        <v>42</v>
      </c>
      <c r="D523" s="14">
        <v>1032</v>
      </c>
      <c r="E523" s="14">
        <v>15160</v>
      </c>
      <c r="F523" s="15">
        <v>63604</v>
      </c>
    </row>
    <row r="524" spans="1:6" x14ac:dyDescent="0.3">
      <c r="A524" s="7">
        <v>2019</v>
      </c>
      <c r="B524" s="8" t="s">
        <v>55</v>
      </c>
      <c r="C524" s="8" t="s">
        <v>43</v>
      </c>
      <c r="D524" s="8">
        <v>564</v>
      </c>
      <c r="E524" s="14">
        <v>4130</v>
      </c>
      <c r="F524" s="15">
        <v>39607</v>
      </c>
    </row>
    <row r="525" spans="1:6" x14ac:dyDescent="0.3">
      <c r="A525" s="7">
        <v>2019</v>
      </c>
      <c r="B525" s="8" t="s">
        <v>55</v>
      </c>
      <c r="C525" s="8" t="s">
        <v>44</v>
      </c>
      <c r="D525" s="14">
        <v>2095</v>
      </c>
      <c r="E525" s="14">
        <v>18691</v>
      </c>
      <c r="F525" s="15">
        <v>48704</v>
      </c>
    </row>
    <row r="526" spans="1:6" x14ac:dyDescent="0.3">
      <c r="A526" s="7">
        <v>2019</v>
      </c>
      <c r="B526" s="8" t="s">
        <v>55</v>
      </c>
      <c r="C526" s="8" t="s">
        <v>45</v>
      </c>
      <c r="D526" s="14">
        <v>7117</v>
      </c>
      <c r="E526" s="14">
        <v>105362</v>
      </c>
      <c r="F526" s="15">
        <v>34547</v>
      </c>
    </row>
    <row r="527" spans="1:6" x14ac:dyDescent="0.3">
      <c r="A527" s="7">
        <v>2019</v>
      </c>
      <c r="B527" s="8" t="s">
        <v>55</v>
      </c>
      <c r="C527" s="8" t="s">
        <v>46</v>
      </c>
      <c r="D527" s="14">
        <v>1166</v>
      </c>
      <c r="E527" s="14">
        <v>23333</v>
      </c>
      <c r="F527" s="15">
        <v>80470</v>
      </c>
    </row>
    <row r="528" spans="1:6" x14ac:dyDescent="0.3">
      <c r="A528" s="7">
        <v>2019</v>
      </c>
      <c r="B528" s="8" t="s">
        <v>55</v>
      </c>
      <c r="C528" s="8" t="s">
        <v>47</v>
      </c>
      <c r="D528" s="14">
        <v>2876</v>
      </c>
      <c r="E528" s="14">
        <v>31424</v>
      </c>
      <c r="F528" s="15">
        <v>40225</v>
      </c>
    </row>
    <row r="529" spans="1:6" x14ac:dyDescent="0.3">
      <c r="A529" s="7">
        <v>2019</v>
      </c>
      <c r="B529" s="8" t="s">
        <v>55</v>
      </c>
      <c r="C529" s="8" t="s">
        <v>48</v>
      </c>
      <c r="D529" s="14">
        <v>1463</v>
      </c>
      <c r="E529" s="14">
        <v>23524</v>
      </c>
      <c r="F529" s="15">
        <v>86467</v>
      </c>
    </row>
    <row r="530" spans="1:6" x14ac:dyDescent="0.3">
      <c r="A530" s="7">
        <v>2019</v>
      </c>
      <c r="B530" s="8" t="s">
        <v>51</v>
      </c>
      <c r="C530" s="8" t="s">
        <v>1</v>
      </c>
      <c r="D530" s="14">
        <v>10069</v>
      </c>
      <c r="E530" s="14">
        <v>93619</v>
      </c>
      <c r="F530" s="15">
        <v>56141</v>
      </c>
    </row>
    <row r="531" spans="1:6" x14ac:dyDescent="0.3">
      <c r="A531" s="7">
        <v>2019</v>
      </c>
      <c r="B531" s="8" t="s">
        <v>51</v>
      </c>
      <c r="C531" s="8" t="s">
        <v>2</v>
      </c>
      <c r="D531" s="14">
        <v>13677</v>
      </c>
      <c r="E531" s="14">
        <v>171309</v>
      </c>
      <c r="F531" s="15">
        <v>58621</v>
      </c>
    </row>
    <row r="532" spans="1:6" x14ac:dyDescent="0.3">
      <c r="A532" s="7">
        <v>2019</v>
      </c>
      <c r="B532" s="8" t="s">
        <v>51</v>
      </c>
      <c r="C532" s="8" t="s">
        <v>3</v>
      </c>
      <c r="D532" s="14">
        <v>7093</v>
      </c>
      <c r="E532" s="14">
        <v>52538</v>
      </c>
      <c r="F532" s="15">
        <v>49541</v>
      </c>
    </row>
    <row r="533" spans="1:6" x14ac:dyDescent="0.3">
      <c r="A533" s="7">
        <v>2019</v>
      </c>
      <c r="B533" s="8" t="s">
        <v>51</v>
      </c>
      <c r="C533" s="8" t="s">
        <v>4</v>
      </c>
      <c r="D533" s="14">
        <v>84247</v>
      </c>
      <c r="E533" s="14">
        <v>885668</v>
      </c>
      <c r="F533" s="15">
        <v>73343</v>
      </c>
    </row>
    <row r="534" spans="1:6" x14ac:dyDescent="0.3">
      <c r="A534" s="7">
        <v>2019</v>
      </c>
      <c r="B534" s="8" t="s">
        <v>51</v>
      </c>
      <c r="C534" s="8" t="s">
        <v>5</v>
      </c>
      <c r="D534" s="14">
        <v>20430</v>
      </c>
      <c r="E534" s="14">
        <v>178880</v>
      </c>
      <c r="F534" s="15">
        <v>64603</v>
      </c>
    </row>
    <row r="535" spans="1:6" x14ac:dyDescent="0.3">
      <c r="A535" s="7">
        <v>2019</v>
      </c>
      <c r="B535" s="8" t="s">
        <v>51</v>
      </c>
      <c r="C535" s="8" t="s">
        <v>6</v>
      </c>
      <c r="D535" s="14">
        <v>9496</v>
      </c>
      <c r="E535" s="14">
        <v>59731</v>
      </c>
      <c r="F535" s="15">
        <v>72413</v>
      </c>
    </row>
    <row r="536" spans="1:6" x14ac:dyDescent="0.3">
      <c r="A536" s="7">
        <v>2019</v>
      </c>
      <c r="B536" s="8" t="s">
        <v>51</v>
      </c>
      <c r="C536" s="8" t="s">
        <v>7</v>
      </c>
      <c r="D536" s="14">
        <v>3007</v>
      </c>
      <c r="E536" s="14">
        <v>22909</v>
      </c>
      <c r="F536" s="15">
        <v>62481</v>
      </c>
    </row>
    <row r="537" spans="1:6" x14ac:dyDescent="0.3">
      <c r="A537" s="7">
        <v>2019</v>
      </c>
      <c r="B537" s="8" t="s">
        <v>51</v>
      </c>
      <c r="C537" s="8" t="s">
        <v>8</v>
      </c>
      <c r="D537" s="14">
        <v>74711</v>
      </c>
      <c r="E537" s="14">
        <v>563526</v>
      </c>
      <c r="F537" s="15">
        <v>52893</v>
      </c>
    </row>
    <row r="538" spans="1:6" x14ac:dyDescent="0.3">
      <c r="A538" s="7">
        <v>2019</v>
      </c>
      <c r="B538" s="8" t="s">
        <v>51</v>
      </c>
      <c r="C538" s="8" t="s">
        <v>9</v>
      </c>
      <c r="D538" s="14">
        <v>21408</v>
      </c>
      <c r="E538" s="14">
        <v>203951</v>
      </c>
      <c r="F538" s="15">
        <v>63683</v>
      </c>
    </row>
    <row r="539" spans="1:6" x14ac:dyDescent="0.3">
      <c r="A539" s="7">
        <v>2019</v>
      </c>
      <c r="B539" s="8" t="s">
        <v>51</v>
      </c>
      <c r="C539" s="8" t="s">
        <v>10</v>
      </c>
      <c r="D539" s="14">
        <v>8175</v>
      </c>
      <c r="E539" s="14">
        <v>50684</v>
      </c>
      <c r="F539" s="15">
        <v>46258</v>
      </c>
    </row>
    <row r="540" spans="1:6" x14ac:dyDescent="0.3">
      <c r="A540" s="7">
        <v>2019</v>
      </c>
      <c r="B540" s="8" t="s">
        <v>51</v>
      </c>
      <c r="C540" s="8" t="s">
        <v>11</v>
      </c>
      <c r="D540" s="14">
        <v>32686</v>
      </c>
      <c r="E540" s="14">
        <v>227968</v>
      </c>
      <c r="F540" s="15">
        <v>73799</v>
      </c>
    </row>
    <row r="541" spans="1:6" x14ac:dyDescent="0.3">
      <c r="A541" s="7">
        <v>2019</v>
      </c>
      <c r="B541" s="8" t="s">
        <v>51</v>
      </c>
      <c r="C541" s="8" t="s">
        <v>12</v>
      </c>
      <c r="D541" s="14">
        <v>15232</v>
      </c>
      <c r="E541" s="14">
        <v>145851</v>
      </c>
      <c r="F541" s="15">
        <v>60057</v>
      </c>
    </row>
    <row r="542" spans="1:6" x14ac:dyDescent="0.3">
      <c r="A542" s="7">
        <v>2019</v>
      </c>
      <c r="B542" s="8" t="s">
        <v>51</v>
      </c>
      <c r="C542" s="8" t="s">
        <v>13</v>
      </c>
      <c r="D542" s="14">
        <v>9462</v>
      </c>
      <c r="E542" s="14">
        <v>78134</v>
      </c>
      <c r="F542" s="15">
        <v>58962</v>
      </c>
    </row>
    <row r="543" spans="1:6" x14ac:dyDescent="0.3">
      <c r="A543" s="7">
        <v>2019</v>
      </c>
      <c r="B543" s="8" t="s">
        <v>51</v>
      </c>
      <c r="C543" s="8" t="s">
        <v>14</v>
      </c>
      <c r="D543" s="14">
        <v>7399</v>
      </c>
      <c r="E543" s="14">
        <v>63735</v>
      </c>
      <c r="F543" s="15">
        <v>57030</v>
      </c>
    </row>
    <row r="544" spans="1:6" x14ac:dyDescent="0.3">
      <c r="A544" s="7">
        <v>2019</v>
      </c>
      <c r="B544" s="8" t="s">
        <v>51</v>
      </c>
      <c r="C544" s="8" t="s">
        <v>15</v>
      </c>
      <c r="D544" s="14">
        <v>9517</v>
      </c>
      <c r="E544" s="14">
        <v>80463</v>
      </c>
      <c r="F544" s="15">
        <v>55601</v>
      </c>
    </row>
    <row r="545" spans="1:6" x14ac:dyDescent="0.3">
      <c r="A545" s="7">
        <v>2019</v>
      </c>
      <c r="B545" s="8" t="s">
        <v>51</v>
      </c>
      <c r="C545" s="8" t="s">
        <v>16</v>
      </c>
      <c r="D545" s="14">
        <v>10991</v>
      </c>
      <c r="E545" s="14">
        <v>142033</v>
      </c>
      <c r="F545" s="15">
        <v>64940</v>
      </c>
    </row>
    <row r="546" spans="1:6" x14ac:dyDescent="0.3">
      <c r="A546" s="7">
        <v>2019</v>
      </c>
      <c r="B546" s="8" t="s">
        <v>51</v>
      </c>
      <c r="C546" s="8" t="s">
        <v>17</v>
      </c>
      <c r="D546" s="14">
        <v>5605</v>
      </c>
      <c r="E546" s="14">
        <v>29987</v>
      </c>
      <c r="F546" s="15">
        <v>51654</v>
      </c>
    </row>
    <row r="547" spans="1:6" x14ac:dyDescent="0.3">
      <c r="A547" s="7">
        <v>2019</v>
      </c>
      <c r="B547" s="8" t="s">
        <v>51</v>
      </c>
      <c r="C547" s="8" t="s">
        <v>18</v>
      </c>
      <c r="D547" s="14">
        <v>16694</v>
      </c>
      <c r="E547" s="14">
        <v>166132</v>
      </c>
      <c r="F547" s="15">
        <v>67799</v>
      </c>
    </row>
    <row r="548" spans="1:6" x14ac:dyDescent="0.3">
      <c r="A548" s="7">
        <v>2019</v>
      </c>
      <c r="B548" s="8" t="s">
        <v>51</v>
      </c>
      <c r="C548" s="8" t="s">
        <v>19</v>
      </c>
      <c r="D548" s="14">
        <v>21309</v>
      </c>
      <c r="E548" s="14">
        <v>163062</v>
      </c>
      <c r="F548" s="15">
        <v>81436</v>
      </c>
    </row>
    <row r="549" spans="1:6" x14ac:dyDescent="0.3">
      <c r="A549" s="7">
        <v>2019</v>
      </c>
      <c r="B549" s="8" t="s">
        <v>51</v>
      </c>
      <c r="C549" s="8" t="s">
        <v>20</v>
      </c>
      <c r="D549" s="14">
        <v>21106</v>
      </c>
      <c r="E549" s="14">
        <v>173015</v>
      </c>
      <c r="F549" s="15">
        <v>63588</v>
      </c>
    </row>
    <row r="550" spans="1:6" x14ac:dyDescent="0.3">
      <c r="A550" s="7">
        <v>2019</v>
      </c>
      <c r="B550" s="8" t="s">
        <v>51</v>
      </c>
      <c r="C550" s="8" t="s">
        <v>21</v>
      </c>
      <c r="D550" s="14">
        <v>16700</v>
      </c>
      <c r="E550" s="14">
        <v>127092</v>
      </c>
      <c r="F550" s="15">
        <v>69734</v>
      </c>
    </row>
    <row r="551" spans="1:6" x14ac:dyDescent="0.3">
      <c r="A551" s="7">
        <v>2019</v>
      </c>
      <c r="B551" s="8" t="s">
        <v>51</v>
      </c>
      <c r="C551" s="8" t="s">
        <v>22</v>
      </c>
      <c r="D551" s="14">
        <v>5771</v>
      </c>
      <c r="E551" s="14">
        <v>44543</v>
      </c>
      <c r="F551" s="15">
        <v>50925</v>
      </c>
    </row>
    <row r="552" spans="1:6" x14ac:dyDescent="0.3">
      <c r="A552" s="7">
        <v>2019</v>
      </c>
      <c r="B552" s="8" t="s">
        <v>51</v>
      </c>
      <c r="C552" s="8" t="s">
        <v>23</v>
      </c>
      <c r="D552" s="14">
        <v>15133</v>
      </c>
      <c r="E552" s="14">
        <v>126641</v>
      </c>
      <c r="F552" s="15">
        <v>61762</v>
      </c>
    </row>
    <row r="553" spans="1:6" x14ac:dyDescent="0.3">
      <c r="A553" s="7">
        <v>2019</v>
      </c>
      <c r="B553" s="8" t="s">
        <v>51</v>
      </c>
      <c r="C553" s="8" t="s">
        <v>24</v>
      </c>
      <c r="D553" s="14">
        <v>6432</v>
      </c>
      <c r="E553" s="14">
        <v>29914</v>
      </c>
      <c r="F553" s="15">
        <v>53962</v>
      </c>
    </row>
    <row r="554" spans="1:6" x14ac:dyDescent="0.3">
      <c r="A554" s="7">
        <v>2019</v>
      </c>
      <c r="B554" s="8" t="s">
        <v>51</v>
      </c>
      <c r="C554" s="8" t="s">
        <v>25</v>
      </c>
      <c r="D554" s="14">
        <v>7038</v>
      </c>
      <c r="E554" s="14">
        <v>53732</v>
      </c>
      <c r="F554" s="15">
        <v>53794</v>
      </c>
    </row>
    <row r="555" spans="1:6" x14ac:dyDescent="0.3">
      <c r="A555" s="7">
        <v>2019</v>
      </c>
      <c r="B555" s="8" t="s">
        <v>51</v>
      </c>
      <c r="C555" s="8" t="s">
        <v>26</v>
      </c>
      <c r="D555" s="14">
        <v>5852</v>
      </c>
      <c r="E555" s="14">
        <v>95939</v>
      </c>
      <c r="F555" s="15">
        <v>64365</v>
      </c>
    </row>
    <row r="556" spans="1:6" x14ac:dyDescent="0.3">
      <c r="A556" s="7">
        <v>2019</v>
      </c>
      <c r="B556" s="8" t="s">
        <v>51</v>
      </c>
      <c r="C556" s="8" t="s">
        <v>27</v>
      </c>
      <c r="D556" s="14">
        <v>4692</v>
      </c>
      <c r="E556" s="14">
        <v>27825</v>
      </c>
      <c r="F556" s="15">
        <v>64868</v>
      </c>
    </row>
    <row r="557" spans="1:6" x14ac:dyDescent="0.3">
      <c r="A557" s="7">
        <v>2019</v>
      </c>
      <c r="B557" s="8" t="s">
        <v>51</v>
      </c>
      <c r="C557" s="8" t="s">
        <v>28</v>
      </c>
      <c r="D557" s="14">
        <v>22556</v>
      </c>
      <c r="E557" s="14">
        <v>159462</v>
      </c>
      <c r="F557" s="15">
        <v>74644</v>
      </c>
    </row>
    <row r="558" spans="1:6" x14ac:dyDescent="0.3">
      <c r="A558" s="7">
        <v>2019</v>
      </c>
      <c r="B558" s="8" t="s">
        <v>51</v>
      </c>
      <c r="C558" s="8" t="s">
        <v>29</v>
      </c>
      <c r="D558" s="14">
        <v>5571</v>
      </c>
      <c r="E558" s="14">
        <v>50153</v>
      </c>
      <c r="F558" s="15">
        <v>52091</v>
      </c>
    </row>
    <row r="559" spans="1:6" x14ac:dyDescent="0.3">
      <c r="A559" s="7">
        <v>2019</v>
      </c>
      <c r="B559" s="8" t="s">
        <v>51</v>
      </c>
      <c r="C559" s="8" t="s">
        <v>30</v>
      </c>
      <c r="D559" s="14">
        <v>50432</v>
      </c>
      <c r="E559" s="14">
        <v>405650</v>
      </c>
      <c r="F559" s="15">
        <v>75570</v>
      </c>
    </row>
    <row r="560" spans="1:6" x14ac:dyDescent="0.3">
      <c r="A560" s="7">
        <v>2019</v>
      </c>
      <c r="B560" s="8" t="s">
        <v>51</v>
      </c>
      <c r="C560" s="8" t="s">
        <v>31</v>
      </c>
      <c r="D560" s="14">
        <v>27974</v>
      </c>
      <c r="E560" s="14">
        <v>231739</v>
      </c>
      <c r="F560" s="15">
        <v>56974</v>
      </c>
    </row>
    <row r="561" spans="1:6" x14ac:dyDescent="0.3">
      <c r="A561" s="7">
        <v>2019</v>
      </c>
      <c r="B561" s="8" t="s">
        <v>51</v>
      </c>
      <c r="C561" s="8" t="s">
        <v>32</v>
      </c>
      <c r="D561" s="14">
        <v>3692</v>
      </c>
      <c r="E561" s="14">
        <v>27961</v>
      </c>
      <c r="F561" s="15">
        <v>68153</v>
      </c>
    </row>
    <row r="562" spans="1:6" x14ac:dyDescent="0.3">
      <c r="A562" s="7">
        <v>2019</v>
      </c>
      <c r="B562" s="8" t="s">
        <v>51</v>
      </c>
      <c r="C562" s="8" t="s">
        <v>33</v>
      </c>
      <c r="D562" s="14">
        <v>23405</v>
      </c>
      <c r="E562" s="14">
        <v>226563</v>
      </c>
      <c r="F562" s="15">
        <v>62383</v>
      </c>
    </row>
    <row r="563" spans="1:6" x14ac:dyDescent="0.3">
      <c r="A563" s="7">
        <v>2019</v>
      </c>
      <c r="B563" s="8" t="s">
        <v>51</v>
      </c>
      <c r="C563" s="8" t="s">
        <v>34</v>
      </c>
      <c r="D563" s="14">
        <v>9801</v>
      </c>
      <c r="E563" s="14">
        <v>82834</v>
      </c>
      <c r="F563" s="15">
        <v>54435</v>
      </c>
    </row>
    <row r="564" spans="1:6" x14ac:dyDescent="0.3">
      <c r="A564" s="7">
        <v>2019</v>
      </c>
      <c r="B564" s="8" t="s">
        <v>51</v>
      </c>
      <c r="C564" s="8" t="s">
        <v>35</v>
      </c>
      <c r="D564" s="14">
        <v>14626</v>
      </c>
      <c r="E564" s="14">
        <v>108871</v>
      </c>
      <c r="F564" s="15">
        <v>63148</v>
      </c>
    </row>
    <row r="565" spans="1:6" x14ac:dyDescent="0.3">
      <c r="A565" s="7">
        <v>2019</v>
      </c>
      <c r="B565" s="8" t="s">
        <v>51</v>
      </c>
      <c r="C565" s="8" t="s">
        <v>36</v>
      </c>
      <c r="D565" s="14">
        <v>29139</v>
      </c>
      <c r="E565" s="14">
        <v>260895</v>
      </c>
      <c r="F565" s="15">
        <v>68612</v>
      </c>
    </row>
    <row r="566" spans="1:6" x14ac:dyDescent="0.3">
      <c r="A566" s="7">
        <v>2019</v>
      </c>
      <c r="B566" s="8" t="s">
        <v>51</v>
      </c>
      <c r="C566" s="8" t="s">
        <v>37</v>
      </c>
      <c r="D566" s="14">
        <v>3833</v>
      </c>
      <c r="E566" s="14">
        <v>19980</v>
      </c>
      <c r="F566" s="15">
        <v>63414</v>
      </c>
    </row>
    <row r="567" spans="1:6" x14ac:dyDescent="0.3">
      <c r="A567" s="7">
        <v>2019</v>
      </c>
      <c r="B567" s="8" t="s">
        <v>51</v>
      </c>
      <c r="C567" s="8" t="s">
        <v>38</v>
      </c>
      <c r="D567" s="14">
        <v>12956</v>
      </c>
      <c r="E567" s="14">
        <v>107028</v>
      </c>
      <c r="F567" s="15">
        <v>55230</v>
      </c>
    </row>
    <row r="568" spans="1:6" x14ac:dyDescent="0.3">
      <c r="A568" s="7">
        <v>2019</v>
      </c>
      <c r="B568" s="8" t="s">
        <v>51</v>
      </c>
      <c r="C568" s="8" t="s">
        <v>39</v>
      </c>
      <c r="D568" s="14">
        <v>3897</v>
      </c>
      <c r="E568" s="14">
        <v>23609</v>
      </c>
      <c r="F568" s="15">
        <v>50997</v>
      </c>
    </row>
    <row r="569" spans="1:6" x14ac:dyDescent="0.3">
      <c r="A569" s="7">
        <v>2019</v>
      </c>
      <c r="B569" s="8" t="s">
        <v>51</v>
      </c>
      <c r="C569" s="8" t="s">
        <v>40</v>
      </c>
      <c r="D569" s="14">
        <v>12487</v>
      </c>
      <c r="E569" s="14">
        <v>130126</v>
      </c>
      <c r="F569" s="15">
        <v>58777</v>
      </c>
    </row>
    <row r="570" spans="1:6" x14ac:dyDescent="0.3">
      <c r="A570" s="7">
        <v>2019</v>
      </c>
      <c r="B570" s="8" t="s">
        <v>51</v>
      </c>
      <c r="C570" s="8" t="s">
        <v>41</v>
      </c>
      <c r="D570" s="14">
        <v>53248</v>
      </c>
      <c r="E570" s="14">
        <v>774190</v>
      </c>
      <c r="F570" s="15">
        <v>67564</v>
      </c>
    </row>
    <row r="571" spans="1:6" x14ac:dyDescent="0.3">
      <c r="A571" s="7">
        <v>2019</v>
      </c>
      <c r="B571" s="8" t="s">
        <v>51</v>
      </c>
      <c r="C571" s="8" t="s">
        <v>42</v>
      </c>
      <c r="D571" s="14">
        <v>12212</v>
      </c>
      <c r="E571" s="14">
        <v>109486</v>
      </c>
      <c r="F571" s="15">
        <v>53428</v>
      </c>
    </row>
    <row r="572" spans="1:6" x14ac:dyDescent="0.3">
      <c r="A572" s="7">
        <v>2019</v>
      </c>
      <c r="B572" s="8" t="s">
        <v>51</v>
      </c>
      <c r="C572" s="8" t="s">
        <v>43</v>
      </c>
      <c r="D572" s="14">
        <v>2846</v>
      </c>
      <c r="E572" s="14">
        <v>15283</v>
      </c>
      <c r="F572" s="15">
        <v>52585</v>
      </c>
    </row>
    <row r="573" spans="1:6" x14ac:dyDescent="0.3">
      <c r="A573" s="7">
        <v>2019</v>
      </c>
      <c r="B573" s="8" t="s">
        <v>51</v>
      </c>
      <c r="C573" s="8" t="s">
        <v>44</v>
      </c>
      <c r="D573" s="14">
        <v>21468</v>
      </c>
      <c r="E573" s="14">
        <v>202134</v>
      </c>
      <c r="F573" s="15">
        <v>60504</v>
      </c>
    </row>
    <row r="574" spans="1:6" x14ac:dyDescent="0.3">
      <c r="A574" s="7">
        <v>2019</v>
      </c>
      <c r="B574" s="8" t="s">
        <v>51</v>
      </c>
      <c r="C574" s="8" t="s">
        <v>45</v>
      </c>
      <c r="D574" s="14">
        <v>26472</v>
      </c>
      <c r="E574" s="14">
        <v>205717</v>
      </c>
      <c r="F574" s="15">
        <v>67833</v>
      </c>
    </row>
    <row r="575" spans="1:6" x14ac:dyDescent="0.3">
      <c r="A575" s="7">
        <v>2019</v>
      </c>
      <c r="B575" s="8" t="s">
        <v>51</v>
      </c>
      <c r="C575" s="8" t="s">
        <v>46</v>
      </c>
      <c r="D575" s="14">
        <v>4338</v>
      </c>
      <c r="E575" s="14">
        <v>35459</v>
      </c>
      <c r="F575" s="15">
        <v>64460</v>
      </c>
    </row>
    <row r="576" spans="1:6" x14ac:dyDescent="0.3">
      <c r="A576" s="7">
        <v>2019</v>
      </c>
      <c r="B576" s="8" t="s">
        <v>51</v>
      </c>
      <c r="C576" s="8" t="s">
        <v>47</v>
      </c>
      <c r="D576" s="14">
        <v>14823</v>
      </c>
      <c r="E576" s="14">
        <v>124384</v>
      </c>
      <c r="F576" s="15">
        <v>63874</v>
      </c>
    </row>
    <row r="577" spans="1:6" x14ac:dyDescent="0.3">
      <c r="A577" s="7">
        <v>2019</v>
      </c>
      <c r="B577" s="8" t="s">
        <v>51</v>
      </c>
      <c r="C577" s="8" t="s">
        <v>48</v>
      </c>
      <c r="D577" s="14">
        <v>3427</v>
      </c>
      <c r="E577" s="14">
        <v>22875</v>
      </c>
      <c r="F577" s="15">
        <v>57417</v>
      </c>
    </row>
    <row r="578" spans="1:6" x14ac:dyDescent="0.3">
      <c r="A578" s="7">
        <v>2019</v>
      </c>
      <c r="B578" s="8" t="s">
        <v>52</v>
      </c>
      <c r="C578" s="8" t="s">
        <v>1</v>
      </c>
      <c r="D578" s="14">
        <v>5677</v>
      </c>
      <c r="E578" s="14">
        <v>268948</v>
      </c>
      <c r="F578" s="15">
        <v>58532</v>
      </c>
    </row>
    <row r="579" spans="1:6" x14ac:dyDescent="0.3">
      <c r="A579" s="7">
        <v>2019</v>
      </c>
      <c r="B579" s="8" t="s">
        <v>52</v>
      </c>
      <c r="C579" s="8" t="s">
        <v>2</v>
      </c>
      <c r="D579" s="14">
        <v>5157</v>
      </c>
      <c r="E579" s="14">
        <v>177610</v>
      </c>
      <c r="F579" s="15">
        <v>78966</v>
      </c>
    </row>
    <row r="580" spans="1:6" x14ac:dyDescent="0.3">
      <c r="A580" s="7">
        <v>2019</v>
      </c>
      <c r="B580" s="8" t="s">
        <v>52</v>
      </c>
      <c r="C580" s="8" t="s">
        <v>3</v>
      </c>
      <c r="D580" s="14">
        <v>2930</v>
      </c>
      <c r="E580" s="14">
        <v>162214</v>
      </c>
      <c r="F580" s="15">
        <v>49202</v>
      </c>
    </row>
    <row r="581" spans="1:6" x14ac:dyDescent="0.3">
      <c r="A581" s="7">
        <v>2019</v>
      </c>
      <c r="B581" s="8" t="s">
        <v>52</v>
      </c>
      <c r="C581" s="8" t="s">
        <v>4</v>
      </c>
      <c r="D581" s="14">
        <v>44539</v>
      </c>
      <c r="E581" s="14">
        <v>1322455</v>
      </c>
      <c r="F581" s="15">
        <v>98222</v>
      </c>
    </row>
    <row r="582" spans="1:6" x14ac:dyDescent="0.3">
      <c r="A582" s="7">
        <v>2019</v>
      </c>
      <c r="B582" s="8" t="s">
        <v>52</v>
      </c>
      <c r="C582" s="8" t="s">
        <v>5</v>
      </c>
      <c r="D582" s="14">
        <v>5849</v>
      </c>
      <c r="E582" s="14">
        <v>150109</v>
      </c>
      <c r="F582" s="15">
        <v>73935</v>
      </c>
    </row>
    <row r="583" spans="1:6" x14ac:dyDescent="0.3">
      <c r="A583" s="7">
        <v>2019</v>
      </c>
      <c r="B583" s="8" t="s">
        <v>52</v>
      </c>
      <c r="C583" s="8" t="s">
        <v>6</v>
      </c>
      <c r="D583" s="14">
        <v>4405</v>
      </c>
      <c r="E583" s="14">
        <v>161899</v>
      </c>
      <c r="F583" s="15">
        <v>85024</v>
      </c>
    </row>
    <row r="584" spans="1:6" x14ac:dyDescent="0.3">
      <c r="A584" s="7">
        <v>2019</v>
      </c>
      <c r="B584" s="8" t="s">
        <v>52</v>
      </c>
      <c r="C584" s="8" t="s">
        <v>7</v>
      </c>
      <c r="D584" s="8">
        <v>663</v>
      </c>
      <c r="E584" s="14">
        <v>27298</v>
      </c>
      <c r="F584" s="15">
        <v>66194</v>
      </c>
    </row>
    <row r="585" spans="1:6" x14ac:dyDescent="0.3">
      <c r="A585" s="7">
        <v>2019</v>
      </c>
      <c r="B585" s="8" t="s">
        <v>52</v>
      </c>
      <c r="C585" s="8" t="s">
        <v>8</v>
      </c>
      <c r="D585" s="14">
        <v>20799</v>
      </c>
      <c r="E585" s="14">
        <v>383956</v>
      </c>
      <c r="F585" s="15">
        <v>63877</v>
      </c>
    </row>
    <row r="586" spans="1:6" x14ac:dyDescent="0.3">
      <c r="A586" s="7">
        <v>2019</v>
      </c>
      <c r="B586" s="8" t="s">
        <v>52</v>
      </c>
      <c r="C586" s="8" t="s">
        <v>9</v>
      </c>
      <c r="D586" s="14">
        <v>10066</v>
      </c>
      <c r="E586" s="14">
        <v>404085</v>
      </c>
      <c r="F586" s="15">
        <v>58246</v>
      </c>
    </row>
    <row r="587" spans="1:6" x14ac:dyDescent="0.3">
      <c r="A587" s="7">
        <v>2019</v>
      </c>
      <c r="B587" s="8" t="s">
        <v>52</v>
      </c>
      <c r="C587" s="8" t="s">
        <v>10</v>
      </c>
      <c r="D587" s="14">
        <v>2680</v>
      </c>
      <c r="E587" s="14">
        <v>68404</v>
      </c>
      <c r="F587" s="15">
        <v>62480</v>
      </c>
    </row>
    <row r="588" spans="1:6" x14ac:dyDescent="0.3">
      <c r="A588" s="7">
        <v>2019</v>
      </c>
      <c r="B588" s="8" t="s">
        <v>52</v>
      </c>
      <c r="C588" s="8" t="s">
        <v>11</v>
      </c>
      <c r="D588" s="14">
        <v>18066</v>
      </c>
      <c r="E588" s="14">
        <v>585894</v>
      </c>
      <c r="F588" s="15">
        <v>72819</v>
      </c>
    </row>
    <row r="589" spans="1:6" x14ac:dyDescent="0.3">
      <c r="A589" s="7">
        <v>2019</v>
      </c>
      <c r="B589" s="8" t="s">
        <v>52</v>
      </c>
      <c r="C589" s="8" t="s">
        <v>12</v>
      </c>
      <c r="D589" s="14">
        <v>9083</v>
      </c>
      <c r="E589" s="14">
        <v>541099</v>
      </c>
      <c r="F589" s="15">
        <v>63320</v>
      </c>
    </row>
    <row r="590" spans="1:6" x14ac:dyDescent="0.3">
      <c r="A590" s="7">
        <v>2019</v>
      </c>
      <c r="B590" s="8" t="s">
        <v>52</v>
      </c>
      <c r="C590" s="8" t="s">
        <v>13</v>
      </c>
      <c r="D590" s="14">
        <v>4132</v>
      </c>
      <c r="E590" s="14">
        <v>226152</v>
      </c>
      <c r="F590" s="15">
        <v>60185</v>
      </c>
    </row>
    <row r="591" spans="1:6" x14ac:dyDescent="0.3">
      <c r="A591" s="7">
        <v>2019</v>
      </c>
      <c r="B591" s="8" t="s">
        <v>52</v>
      </c>
      <c r="C591" s="8" t="s">
        <v>14</v>
      </c>
      <c r="D591" s="14">
        <v>3105</v>
      </c>
      <c r="E591" s="14">
        <v>167196</v>
      </c>
      <c r="F591" s="15">
        <v>59652</v>
      </c>
    </row>
    <row r="592" spans="1:6" x14ac:dyDescent="0.3">
      <c r="A592" s="7">
        <v>2019</v>
      </c>
      <c r="B592" s="8" t="s">
        <v>52</v>
      </c>
      <c r="C592" s="8" t="s">
        <v>15</v>
      </c>
      <c r="D592" s="14">
        <v>4583</v>
      </c>
      <c r="E592" s="14">
        <v>252626</v>
      </c>
      <c r="F592" s="15">
        <v>61167</v>
      </c>
    </row>
    <row r="593" spans="1:6" x14ac:dyDescent="0.3">
      <c r="A593" s="7">
        <v>2019</v>
      </c>
      <c r="B593" s="8" t="s">
        <v>52</v>
      </c>
      <c r="C593" s="8" t="s">
        <v>16</v>
      </c>
      <c r="D593" s="14">
        <v>4453</v>
      </c>
      <c r="E593" s="14">
        <v>137729</v>
      </c>
      <c r="F593" s="15">
        <v>77600</v>
      </c>
    </row>
    <row r="594" spans="1:6" x14ac:dyDescent="0.3">
      <c r="A594" s="7">
        <v>2019</v>
      </c>
      <c r="B594" s="8" t="s">
        <v>52</v>
      </c>
      <c r="C594" s="8" t="s">
        <v>17</v>
      </c>
      <c r="D594" s="14">
        <v>1870</v>
      </c>
      <c r="E594" s="14">
        <v>53047</v>
      </c>
      <c r="F594" s="15">
        <v>57227</v>
      </c>
    </row>
    <row r="595" spans="1:6" x14ac:dyDescent="0.3">
      <c r="A595" s="7">
        <v>2019</v>
      </c>
      <c r="B595" s="8" t="s">
        <v>52</v>
      </c>
      <c r="C595" s="8" t="s">
        <v>18</v>
      </c>
      <c r="D595" s="14">
        <v>4145</v>
      </c>
      <c r="E595" s="14">
        <v>112273</v>
      </c>
      <c r="F595" s="15">
        <v>79016</v>
      </c>
    </row>
    <row r="596" spans="1:6" x14ac:dyDescent="0.3">
      <c r="A596" s="7">
        <v>2019</v>
      </c>
      <c r="B596" s="8" t="s">
        <v>52</v>
      </c>
      <c r="C596" s="8" t="s">
        <v>19</v>
      </c>
      <c r="D596" s="14">
        <v>6682</v>
      </c>
      <c r="E596" s="14">
        <v>244258</v>
      </c>
      <c r="F596" s="15">
        <v>89698</v>
      </c>
    </row>
    <row r="597" spans="1:6" x14ac:dyDescent="0.3">
      <c r="A597" s="7">
        <v>2019</v>
      </c>
      <c r="B597" s="8" t="s">
        <v>52</v>
      </c>
      <c r="C597" s="8" t="s">
        <v>20</v>
      </c>
      <c r="D597" s="14">
        <v>16948</v>
      </c>
      <c r="E597" s="14">
        <v>625676</v>
      </c>
      <c r="F597" s="15">
        <v>68465</v>
      </c>
    </row>
    <row r="598" spans="1:6" x14ac:dyDescent="0.3">
      <c r="A598" s="7">
        <v>2019</v>
      </c>
      <c r="B598" s="8" t="s">
        <v>52</v>
      </c>
      <c r="C598" s="8" t="s">
        <v>21</v>
      </c>
      <c r="D598" s="14">
        <v>8265</v>
      </c>
      <c r="E598" s="14">
        <v>324018</v>
      </c>
      <c r="F598" s="15">
        <v>68082</v>
      </c>
    </row>
    <row r="599" spans="1:6" x14ac:dyDescent="0.3">
      <c r="A599" s="7">
        <v>2019</v>
      </c>
      <c r="B599" s="8" t="s">
        <v>52</v>
      </c>
      <c r="C599" s="8" t="s">
        <v>22</v>
      </c>
      <c r="D599" s="14">
        <v>2396</v>
      </c>
      <c r="E599" s="14">
        <v>146775</v>
      </c>
      <c r="F599" s="15">
        <v>50065</v>
      </c>
    </row>
    <row r="600" spans="1:6" x14ac:dyDescent="0.3">
      <c r="A600" s="7">
        <v>2019</v>
      </c>
      <c r="B600" s="8" t="s">
        <v>52</v>
      </c>
      <c r="C600" s="8" t="s">
        <v>23</v>
      </c>
      <c r="D600" s="14">
        <v>6681</v>
      </c>
      <c r="E600" s="14">
        <v>277104</v>
      </c>
      <c r="F600" s="15">
        <v>59758</v>
      </c>
    </row>
    <row r="601" spans="1:6" x14ac:dyDescent="0.3">
      <c r="A601" s="7">
        <v>2019</v>
      </c>
      <c r="B601" s="8" t="s">
        <v>52</v>
      </c>
      <c r="C601" s="8" t="s">
        <v>24</v>
      </c>
      <c r="D601" s="14">
        <v>1625</v>
      </c>
      <c r="E601" s="14">
        <v>20972</v>
      </c>
      <c r="F601" s="15">
        <v>51666</v>
      </c>
    </row>
    <row r="602" spans="1:6" x14ac:dyDescent="0.3">
      <c r="A602" s="7">
        <v>2019</v>
      </c>
      <c r="B602" s="8" t="s">
        <v>52</v>
      </c>
      <c r="C602" s="8" t="s">
        <v>25</v>
      </c>
      <c r="D602" s="14">
        <v>1974</v>
      </c>
      <c r="E602" s="14">
        <v>99914</v>
      </c>
      <c r="F602" s="15">
        <v>52716</v>
      </c>
    </row>
    <row r="603" spans="1:6" x14ac:dyDescent="0.3">
      <c r="A603" s="7">
        <v>2019</v>
      </c>
      <c r="B603" s="8" t="s">
        <v>52</v>
      </c>
      <c r="C603" s="8" t="s">
        <v>26</v>
      </c>
      <c r="D603" s="14">
        <v>2069</v>
      </c>
      <c r="E603" s="14">
        <v>59279</v>
      </c>
      <c r="F603" s="15">
        <v>59498</v>
      </c>
    </row>
    <row r="604" spans="1:6" x14ac:dyDescent="0.3">
      <c r="A604" s="7">
        <v>2019</v>
      </c>
      <c r="B604" s="8" t="s">
        <v>52</v>
      </c>
      <c r="C604" s="8" t="s">
        <v>27</v>
      </c>
      <c r="D604" s="14">
        <v>2012</v>
      </c>
      <c r="E604" s="14">
        <v>71459</v>
      </c>
      <c r="F604" s="15">
        <v>73007</v>
      </c>
    </row>
    <row r="605" spans="1:6" x14ac:dyDescent="0.3">
      <c r="A605" s="7">
        <v>2019</v>
      </c>
      <c r="B605" s="8" t="s">
        <v>52</v>
      </c>
      <c r="C605" s="8" t="s">
        <v>28</v>
      </c>
      <c r="D605" s="14">
        <v>8994</v>
      </c>
      <c r="E605" s="14">
        <v>249464</v>
      </c>
      <c r="F605" s="15">
        <v>81649</v>
      </c>
    </row>
    <row r="606" spans="1:6" x14ac:dyDescent="0.3">
      <c r="A606" s="7">
        <v>2019</v>
      </c>
      <c r="B606" s="8" t="s">
        <v>52</v>
      </c>
      <c r="C606" s="8" t="s">
        <v>29</v>
      </c>
      <c r="D606" s="14">
        <v>1810</v>
      </c>
      <c r="E606" s="14">
        <v>28514</v>
      </c>
      <c r="F606" s="15">
        <v>55737</v>
      </c>
    </row>
    <row r="607" spans="1:6" x14ac:dyDescent="0.3">
      <c r="A607" s="7">
        <v>2019</v>
      </c>
      <c r="B607" s="8" t="s">
        <v>52</v>
      </c>
      <c r="C607" s="8" t="s">
        <v>30</v>
      </c>
      <c r="D607" s="14">
        <v>16457</v>
      </c>
      <c r="E607" s="14">
        <v>437040</v>
      </c>
      <c r="F607" s="15">
        <v>69154</v>
      </c>
    </row>
    <row r="608" spans="1:6" x14ac:dyDescent="0.3">
      <c r="A608" s="7">
        <v>2019</v>
      </c>
      <c r="B608" s="8" t="s">
        <v>52</v>
      </c>
      <c r="C608" s="8" t="s">
        <v>31</v>
      </c>
      <c r="D608" s="14">
        <v>10247</v>
      </c>
      <c r="E608" s="14">
        <v>477086</v>
      </c>
      <c r="F608" s="15">
        <v>61095</v>
      </c>
    </row>
    <row r="609" spans="1:6" x14ac:dyDescent="0.3">
      <c r="A609" s="7">
        <v>2019</v>
      </c>
      <c r="B609" s="8" t="s">
        <v>52</v>
      </c>
      <c r="C609" s="8" t="s">
        <v>32</v>
      </c>
      <c r="D609" s="8">
        <v>808</v>
      </c>
      <c r="E609" s="14">
        <v>26471</v>
      </c>
      <c r="F609" s="15">
        <v>55179</v>
      </c>
    </row>
    <row r="610" spans="1:6" x14ac:dyDescent="0.3">
      <c r="A610" s="7">
        <v>2019</v>
      </c>
      <c r="B610" s="8" t="s">
        <v>52</v>
      </c>
      <c r="C610" s="8" t="s">
        <v>33</v>
      </c>
      <c r="D610" s="14">
        <v>15486</v>
      </c>
      <c r="E610" s="14">
        <v>700786</v>
      </c>
      <c r="F610" s="15">
        <v>62878</v>
      </c>
    </row>
    <row r="611" spans="1:6" x14ac:dyDescent="0.3">
      <c r="A611" s="7">
        <v>2019</v>
      </c>
      <c r="B611" s="8" t="s">
        <v>52</v>
      </c>
      <c r="C611" s="8" t="s">
        <v>34</v>
      </c>
      <c r="D611" s="14">
        <v>4213</v>
      </c>
      <c r="E611" s="14">
        <v>140812</v>
      </c>
      <c r="F611" s="15">
        <v>59951</v>
      </c>
    </row>
    <row r="612" spans="1:6" x14ac:dyDescent="0.3">
      <c r="A612" s="7">
        <v>2019</v>
      </c>
      <c r="B612" s="8" t="s">
        <v>52</v>
      </c>
      <c r="C612" s="8" t="s">
        <v>35</v>
      </c>
      <c r="D612" s="14">
        <v>6396</v>
      </c>
      <c r="E612" s="14">
        <v>197626</v>
      </c>
      <c r="F612" s="15">
        <v>71436</v>
      </c>
    </row>
    <row r="613" spans="1:6" x14ac:dyDescent="0.3">
      <c r="A613" s="7">
        <v>2019</v>
      </c>
      <c r="B613" s="8" t="s">
        <v>52</v>
      </c>
      <c r="C613" s="8" t="s">
        <v>36</v>
      </c>
      <c r="D613" s="14">
        <v>14432</v>
      </c>
      <c r="E613" s="14">
        <v>574751</v>
      </c>
      <c r="F613" s="15">
        <v>64231</v>
      </c>
    </row>
    <row r="614" spans="1:6" x14ac:dyDescent="0.3">
      <c r="A614" s="7">
        <v>2019</v>
      </c>
      <c r="B614" s="8" t="s">
        <v>52</v>
      </c>
      <c r="C614" s="8" t="s">
        <v>37</v>
      </c>
      <c r="D614" s="14">
        <v>1636</v>
      </c>
      <c r="E614" s="14">
        <v>39736</v>
      </c>
      <c r="F614" s="15">
        <v>60286</v>
      </c>
    </row>
    <row r="615" spans="1:6" x14ac:dyDescent="0.3">
      <c r="A615" s="7">
        <v>2019</v>
      </c>
      <c r="B615" s="8" t="s">
        <v>52</v>
      </c>
      <c r="C615" s="8" t="s">
        <v>38</v>
      </c>
      <c r="D615" s="14">
        <v>6414</v>
      </c>
      <c r="E615" s="14">
        <v>258252</v>
      </c>
      <c r="F615" s="15">
        <v>60850</v>
      </c>
    </row>
    <row r="616" spans="1:6" x14ac:dyDescent="0.3">
      <c r="A616" s="7">
        <v>2019</v>
      </c>
      <c r="B616" s="8" t="s">
        <v>52</v>
      </c>
      <c r="C616" s="8" t="s">
        <v>39</v>
      </c>
      <c r="D616" s="14">
        <v>1067</v>
      </c>
      <c r="E616" s="14">
        <v>44972</v>
      </c>
      <c r="F616" s="15">
        <v>50219</v>
      </c>
    </row>
    <row r="617" spans="1:6" x14ac:dyDescent="0.3">
      <c r="A617" s="7">
        <v>2019</v>
      </c>
      <c r="B617" s="8" t="s">
        <v>52</v>
      </c>
      <c r="C617" s="8" t="s">
        <v>40</v>
      </c>
      <c r="D617" s="14">
        <v>7272</v>
      </c>
      <c r="E617" s="14">
        <v>354961</v>
      </c>
      <c r="F617" s="15">
        <v>60305</v>
      </c>
    </row>
    <row r="618" spans="1:6" x14ac:dyDescent="0.3">
      <c r="A618" s="7">
        <v>2019</v>
      </c>
      <c r="B618" s="8" t="s">
        <v>52</v>
      </c>
      <c r="C618" s="8" t="s">
        <v>41</v>
      </c>
      <c r="D618" s="14">
        <v>25577</v>
      </c>
      <c r="E618" s="14">
        <v>905953</v>
      </c>
      <c r="F618" s="15">
        <v>79766</v>
      </c>
    </row>
    <row r="619" spans="1:6" x14ac:dyDescent="0.3">
      <c r="A619" s="7">
        <v>2019</v>
      </c>
      <c r="B619" s="8" t="s">
        <v>52</v>
      </c>
      <c r="C619" s="8" t="s">
        <v>42</v>
      </c>
      <c r="D619" s="14">
        <v>4547</v>
      </c>
      <c r="E619" s="14">
        <v>136085</v>
      </c>
      <c r="F619" s="15">
        <v>59426</v>
      </c>
    </row>
    <row r="620" spans="1:6" x14ac:dyDescent="0.3">
      <c r="A620" s="7">
        <v>2019</v>
      </c>
      <c r="B620" s="8" t="s">
        <v>52</v>
      </c>
      <c r="C620" s="8" t="s">
        <v>43</v>
      </c>
      <c r="D620" s="14">
        <v>1108</v>
      </c>
      <c r="E620" s="14">
        <v>30091</v>
      </c>
      <c r="F620" s="15">
        <v>60807</v>
      </c>
    </row>
    <row r="621" spans="1:6" x14ac:dyDescent="0.3">
      <c r="A621" s="7">
        <v>2019</v>
      </c>
      <c r="B621" s="8" t="s">
        <v>52</v>
      </c>
      <c r="C621" s="8" t="s">
        <v>44</v>
      </c>
      <c r="D621" s="14">
        <v>6864</v>
      </c>
      <c r="E621" s="14">
        <v>242160</v>
      </c>
      <c r="F621" s="15">
        <v>61341</v>
      </c>
    </row>
    <row r="622" spans="1:6" x14ac:dyDescent="0.3">
      <c r="A622" s="7">
        <v>2019</v>
      </c>
      <c r="B622" s="8" t="s">
        <v>52</v>
      </c>
      <c r="C622" s="8" t="s">
        <v>45</v>
      </c>
      <c r="D622" s="14">
        <v>7824</v>
      </c>
      <c r="E622" s="14">
        <v>290326</v>
      </c>
      <c r="F622" s="15">
        <v>81228</v>
      </c>
    </row>
    <row r="623" spans="1:6" x14ac:dyDescent="0.3">
      <c r="A623" s="7">
        <v>2019</v>
      </c>
      <c r="B623" s="8" t="s">
        <v>52</v>
      </c>
      <c r="C623" s="8" t="s">
        <v>46</v>
      </c>
      <c r="D623" s="14">
        <v>1251</v>
      </c>
      <c r="E623" s="14">
        <v>46979</v>
      </c>
      <c r="F623" s="15">
        <v>61074</v>
      </c>
    </row>
    <row r="624" spans="1:6" x14ac:dyDescent="0.3">
      <c r="A624" s="7">
        <v>2019</v>
      </c>
      <c r="B624" s="8" t="s">
        <v>52</v>
      </c>
      <c r="C624" s="8" t="s">
        <v>47</v>
      </c>
      <c r="D624" s="14">
        <v>9333</v>
      </c>
      <c r="E624" s="14">
        <v>483196</v>
      </c>
      <c r="F624" s="15">
        <v>59083</v>
      </c>
    </row>
    <row r="625" spans="1:6" x14ac:dyDescent="0.3">
      <c r="A625" s="7">
        <v>2019</v>
      </c>
      <c r="B625" s="8" t="s">
        <v>52</v>
      </c>
      <c r="C625" s="8" t="s">
        <v>48</v>
      </c>
      <c r="D625" s="8">
        <v>615</v>
      </c>
      <c r="E625" s="14">
        <v>10043</v>
      </c>
      <c r="F625" s="15">
        <v>68738</v>
      </c>
    </row>
    <row r="626" spans="1:6" x14ac:dyDescent="0.3">
      <c r="A626" s="7">
        <v>2019</v>
      </c>
      <c r="B626" s="8" t="s">
        <v>54</v>
      </c>
      <c r="C626" s="8" t="s">
        <v>1</v>
      </c>
      <c r="D626" s="14">
        <v>32423</v>
      </c>
      <c r="E626" s="14">
        <v>380193</v>
      </c>
      <c r="F626" s="15">
        <v>43426</v>
      </c>
    </row>
    <row r="627" spans="1:6" x14ac:dyDescent="0.3">
      <c r="A627" s="7">
        <v>2019</v>
      </c>
      <c r="B627" s="8" t="s">
        <v>54</v>
      </c>
      <c r="C627" s="8" t="s">
        <v>2</v>
      </c>
      <c r="D627" s="14">
        <v>33190</v>
      </c>
      <c r="E627" s="14">
        <v>541793</v>
      </c>
      <c r="F627" s="15">
        <v>48023</v>
      </c>
    </row>
    <row r="628" spans="1:6" x14ac:dyDescent="0.3">
      <c r="A628" s="7">
        <v>2019</v>
      </c>
      <c r="B628" s="8" t="s">
        <v>54</v>
      </c>
      <c r="C628" s="8" t="s">
        <v>3</v>
      </c>
      <c r="D628" s="14">
        <v>21821</v>
      </c>
      <c r="E628" s="14">
        <v>248631</v>
      </c>
      <c r="F628" s="15">
        <v>42897</v>
      </c>
    </row>
    <row r="629" spans="1:6" x14ac:dyDescent="0.3">
      <c r="A629" s="7">
        <v>2019</v>
      </c>
      <c r="B629" s="8" t="s">
        <v>54</v>
      </c>
      <c r="C629" s="8" t="s">
        <v>4</v>
      </c>
      <c r="D629" s="14">
        <v>198955</v>
      </c>
      <c r="E629" s="14">
        <v>3042089</v>
      </c>
      <c r="F629" s="15">
        <v>54908</v>
      </c>
    </row>
    <row r="630" spans="1:6" x14ac:dyDescent="0.3">
      <c r="A630" s="7">
        <v>2019</v>
      </c>
      <c r="B630" s="8" t="s">
        <v>54</v>
      </c>
      <c r="C630" s="8" t="s">
        <v>5</v>
      </c>
      <c r="D630" s="14">
        <v>36041</v>
      </c>
      <c r="E630" s="14">
        <v>474011</v>
      </c>
      <c r="F630" s="15">
        <v>52675</v>
      </c>
    </row>
    <row r="631" spans="1:6" x14ac:dyDescent="0.3">
      <c r="A631" s="7">
        <v>2019</v>
      </c>
      <c r="B631" s="8" t="s">
        <v>54</v>
      </c>
      <c r="C631" s="8" t="s">
        <v>6</v>
      </c>
      <c r="D631" s="14">
        <v>24868</v>
      </c>
      <c r="E631" s="14">
        <v>291966</v>
      </c>
      <c r="F631" s="15">
        <v>52540</v>
      </c>
    </row>
    <row r="632" spans="1:6" x14ac:dyDescent="0.3">
      <c r="A632" s="7">
        <v>2019</v>
      </c>
      <c r="B632" s="8" t="s">
        <v>54</v>
      </c>
      <c r="C632" s="8" t="s">
        <v>7</v>
      </c>
      <c r="D632" s="14">
        <v>7005</v>
      </c>
      <c r="E632" s="14">
        <v>79487</v>
      </c>
      <c r="F632" s="15">
        <v>42440</v>
      </c>
    </row>
    <row r="633" spans="1:6" x14ac:dyDescent="0.3">
      <c r="A633" s="7">
        <v>2019</v>
      </c>
      <c r="B633" s="8" t="s">
        <v>54</v>
      </c>
      <c r="C633" s="8" t="s">
        <v>8</v>
      </c>
      <c r="D633" s="14">
        <v>140278</v>
      </c>
      <c r="E633" s="14">
        <v>1799930</v>
      </c>
      <c r="F633" s="15">
        <v>46232</v>
      </c>
    </row>
    <row r="634" spans="1:6" x14ac:dyDescent="0.3">
      <c r="A634" s="7">
        <v>2019</v>
      </c>
      <c r="B634" s="8" t="s">
        <v>54</v>
      </c>
      <c r="C634" s="8" t="s">
        <v>9</v>
      </c>
      <c r="D634" s="14">
        <v>61774</v>
      </c>
      <c r="E634" s="14">
        <v>938063</v>
      </c>
      <c r="F634" s="15">
        <v>49817</v>
      </c>
    </row>
    <row r="635" spans="1:6" x14ac:dyDescent="0.3">
      <c r="A635" s="7">
        <v>2019</v>
      </c>
      <c r="B635" s="8" t="s">
        <v>54</v>
      </c>
      <c r="C635" s="8" t="s">
        <v>10</v>
      </c>
      <c r="D635" s="14">
        <v>11892</v>
      </c>
      <c r="E635" s="14">
        <v>142186</v>
      </c>
      <c r="F635" s="15">
        <v>41533</v>
      </c>
    </row>
    <row r="636" spans="1:6" x14ac:dyDescent="0.3">
      <c r="A636" s="7">
        <v>2019</v>
      </c>
      <c r="B636" s="8" t="s">
        <v>54</v>
      </c>
      <c r="C636" s="8" t="s">
        <v>11</v>
      </c>
      <c r="D636" s="14">
        <v>78822</v>
      </c>
      <c r="E636" s="14">
        <v>1187941</v>
      </c>
      <c r="F636" s="15">
        <v>53573</v>
      </c>
    </row>
    <row r="637" spans="1:6" x14ac:dyDescent="0.3">
      <c r="A637" s="7">
        <v>2019</v>
      </c>
      <c r="B637" s="8" t="s">
        <v>54</v>
      </c>
      <c r="C637" s="8" t="s">
        <v>12</v>
      </c>
      <c r="D637" s="14">
        <v>40283</v>
      </c>
      <c r="E637" s="14">
        <v>594348</v>
      </c>
      <c r="F637" s="15">
        <v>43345</v>
      </c>
    </row>
    <row r="638" spans="1:6" x14ac:dyDescent="0.3">
      <c r="A638" s="7">
        <v>2019</v>
      </c>
      <c r="B638" s="8" t="s">
        <v>54</v>
      </c>
      <c r="C638" s="8" t="s">
        <v>13</v>
      </c>
      <c r="D638" s="14">
        <v>23557</v>
      </c>
      <c r="E638" s="14">
        <v>307822</v>
      </c>
      <c r="F638" s="15">
        <v>41407</v>
      </c>
    </row>
    <row r="639" spans="1:6" x14ac:dyDescent="0.3">
      <c r="A639" s="7">
        <v>2019</v>
      </c>
      <c r="B639" s="8" t="s">
        <v>54</v>
      </c>
      <c r="C639" s="8" t="s">
        <v>14</v>
      </c>
      <c r="D639" s="14">
        <v>19844</v>
      </c>
      <c r="E639" s="14">
        <v>262383</v>
      </c>
      <c r="F639" s="15">
        <v>43539</v>
      </c>
    </row>
    <row r="640" spans="1:6" x14ac:dyDescent="0.3">
      <c r="A640" s="7">
        <v>2019</v>
      </c>
      <c r="B640" s="8" t="s">
        <v>54</v>
      </c>
      <c r="C640" s="8" t="s">
        <v>15</v>
      </c>
      <c r="D640" s="14">
        <v>27892</v>
      </c>
      <c r="E640" s="14">
        <v>401804</v>
      </c>
      <c r="F640" s="15">
        <v>44163</v>
      </c>
    </row>
    <row r="641" spans="1:6" x14ac:dyDescent="0.3">
      <c r="A641" s="7">
        <v>2019</v>
      </c>
      <c r="B641" s="8" t="s">
        <v>54</v>
      </c>
      <c r="C641" s="8" t="s">
        <v>16</v>
      </c>
      <c r="D641" s="14">
        <v>30876</v>
      </c>
      <c r="E641" s="14">
        <v>376026</v>
      </c>
      <c r="F641" s="15">
        <v>43579</v>
      </c>
    </row>
    <row r="642" spans="1:6" x14ac:dyDescent="0.3">
      <c r="A642" s="7">
        <v>2019</v>
      </c>
      <c r="B642" s="8" t="s">
        <v>54</v>
      </c>
      <c r="C642" s="8" t="s">
        <v>17</v>
      </c>
      <c r="D642" s="14">
        <v>10676</v>
      </c>
      <c r="E642" s="14">
        <v>117746</v>
      </c>
      <c r="F642" s="15">
        <v>39115</v>
      </c>
    </row>
    <row r="643" spans="1:6" x14ac:dyDescent="0.3">
      <c r="A643" s="7">
        <v>2019</v>
      </c>
      <c r="B643" s="8" t="s">
        <v>54</v>
      </c>
      <c r="C643" s="8" t="s">
        <v>18</v>
      </c>
      <c r="D643" s="14">
        <v>32640</v>
      </c>
      <c r="E643" s="14">
        <v>463647</v>
      </c>
      <c r="F643" s="15">
        <v>47503</v>
      </c>
    </row>
    <row r="644" spans="1:6" x14ac:dyDescent="0.3">
      <c r="A644" s="7">
        <v>2019</v>
      </c>
      <c r="B644" s="8" t="s">
        <v>54</v>
      </c>
      <c r="C644" s="8" t="s">
        <v>19</v>
      </c>
      <c r="D644" s="14">
        <v>41620</v>
      </c>
      <c r="E644" s="14">
        <v>577282</v>
      </c>
      <c r="F644" s="15">
        <v>55423</v>
      </c>
    </row>
    <row r="645" spans="1:6" x14ac:dyDescent="0.3">
      <c r="A645" s="7">
        <v>2019</v>
      </c>
      <c r="B645" s="8" t="s">
        <v>54</v>
      </c>
      <c r="C645" s="8" t="s">
        <v>20</v>
      </c>
      <c r="D645" s="14">
        <v>55150</v>
      </c>
      <c r="E645" s="14">
        <v>791177</v>
      </c>
      <c r="F645" s="15">
        <v>48357</v>
      </c>
    </row>
    <row r="646" spans="1:6" x14ac:dyDescent="0.3">
      <c r="A646" s="7">
        <v>2019</v>
      </c>
      <c r="B646" s="8" t="s">
        <v>54</v>
      </c>
      <c r="C646" s="8" t="s">
        <v>21</v>
      </c>
      <c r="D646" s="14">
        <v>37323</v>
      </c>
      <c r="E646" s="14">
        <v>525857</v>
      </c>
      <c r="F646" s="15">
        <v>50523</v>
      </c>
    </row>
    <row r="647" spans="1:6" x14ac:dyDescent="0.3">
      <c r="A647" s="7">
        <v>2019</v>
      </c>
      <c r="B647" s="8" t="s">
        <v>54</v>
      </c>
      <c r="C647" s="8" t="s">
        <v>22</v>
      </c>
      <c r="D647" s="14">
        <v>19568</v>
      </c>
      <c r="E647" s="14">
        <v>229039</v>
      </c>
      <c r="F647" s="15">
        <v>37621</v>
      </c>
    </row>
    <row r="648" spans="1:6" x14ac:dyDescent="0.3">
      <c r="A648" s="7">
        <v>2019</v>
      </c>
      <c r="B648" s="8" t="s">
        <v>54</v>
      </c>
      <c r="C648" s="8" t="s">
        <v>23</v>
      </c>
      <c r="D648" s="14">
        <v>39400</v>
      </c>
      <c r="E648" s="14">
        <v>536753</v>
      </c>
      <c r="F648" s="15">
        <v>43646</v>
      </c>
    </row>
    <row r="649" spans="1:6" x14ac:dyDescent="0.3">
      <c r="A649" s="7">
        <v>2019</v>
      </c>
      <c r="B649" s="8" t="s">
        <v>54</v>
      </c>
      <c r="C649" s="8" t="s">
        <v>24</v>
      </c>
      <c r="D649" s="14">
        <v>9112</v>
      </c>
      <c r="E649" s="14">
        <v>90946</v>
      </c>
      <c r="F649" s="15">
        <v>40937</v>
      </c>
    </row>
    <row r="650" spans="1:6" x14ac:dyDescent="0.3">
      <c r="A650" s="7">
        <v>2019</v>
      </c>
      <c r="B650" s="8" t="s">
        <v>54</v>
      </c>
      <c r="C650" s="8" t="s">
        <v>25</v>
      </c>
      <c r="D650" s="14">
        <v>14969</v>
      </c>
      <c r="E650" s="14">
        <v>188094</v>
      </c>
      <c r="F650" s="15">
        <v>41557</v>
      </c>
    </row>
    <row r="651" spans="1:6" x14ac:dyDescent="0.3">
      <c r="A651" s="7">
        <v>2019</v>
      </c>
      <c r="B651" s="8" t="s">
        <v>54</v>
      </c>
      <c r="C651" s="8" t="s">
        <v>26</v>
      </c>
      <c r="D651" s="14">
        <v>15866</v>
      </c>
      <c r="E651" s="14">
        <v>261018</v>
      </c>
      <c r="F651" s="15">
        <v>45452</v>
      </c>
    </row>
    <row r="652" spans="1:6" x14ac:dyDescent="0.3">
      <c r="A652" s="7">
        <v>2019</v>
      </c>
      <c r="B652" s="8" t="s">
        <v>54</v>
      </c>
      <c r="C652" s="8" t="s">
        <v>27</v>
      </c>
      <c r="D652" s="14">
        <v>12448</v>
      </c>
      <c r="E652" s="14">
        <v>139278</v>
      </c>
      <c r="F652" s="15">
        <v>49409</v>
      </c>
    </row>
    <row r="653" spans="1:6" x14ac:dyDescent="0.3">
      <c r="A653" s="7">
        <v>2019</v>
      </c>
      <c r="B653" s="8" t="s">
        <v>54</v>
      </c>
      <c r="C653" s="8" t="s">
        <v>28</v>
      </c>
      <c r="D653" s="14">
        <v>54227</v>
      </c>
      <c r="E653" s="14">
        <v>876452</v>
      </c>
      <c r="F653" s="15">
        <v>55204</v>
      </c>
    </row>
    <row r="654" spans="1:6" x14ac:dyDescent="0.3">
      <c r="A654" s="7">
        <v>2019</v>
      </c>
      <c r="B654" s="8" t="s">
        <v>54</v>
      </c>
      <c r="C654" s="8" t="s">
        <v>29</v>
      </c>
      <c r="D654" s="14">
        <v>10974</v>
      </c>
      <c r="E654" s="14">
        <v>135131</v>
      </c>
      <c r="F654" s="15">
        <v>39275</v>
      </c>
    </row>
    <row r="655" spans="1:6" x14ac:dyDescent="0.3">
      <c r="A655" s="7">
        <v>2019</v>
      </c>
      <c r="B655" s="8" t="s">
        <v>54</v>
      </c>
      <c r="C655" s="8" t="s">
        <v>30</v>
      </c>
      <c r="D655" s="14">
        <v>120950</v>
      </c>
      <c r="E655" s="14">
        <v>1543991</v>
      </c>
      <c r="F655" s="15">
        <v>53710</v>
      </c>
    </row>
    <row r="656" spans="1:6" x14ac:dyDescent="0.3">
      <c r="A656" s="7">
        <v>2019</v>
      </c>
      <c r="B656" s="8" t="s">
        <v>54</v>
      </c>
      <c r="C656" s="8" t="s">
        <v>31</v>
      </c>
      <c r="D656" s="14">
        <v>62397</v>
      </c>
      <c r="E656" s="14">
        <v>846177</v>
      </c>
      <c r="F656" s="15">
        <v>44579</v>
      </c>
    </row>
    <row r="657" spans="1:6" x14ac:dyDescent="0.3">
      <c r="A657" s="7">
        <v>2019</v>
      </c>
      <c r="B657" s="8" t="s">
        <v>54</v>
      </c>
      <c r="C657" s="8" t="s">
        <v>32</v>
      </c>
      <c r="D657" s="14">
        <v>7738</v>
      </c>
      <c r="E657" s="14">
        <v>91333</v>
      </c>
      <c r="F657" s="15">
        <v>51925</v>
      </c>
    </row>
    <row r="658" spans="1:6" x14ac:dyDescent="0.3">
      <c r="A658" s="7">
        <v>2019</v>
      </c>
      <c r="B658" s="8" t="s">
        <v>54</v>
      </c>
      <c r="C658" s="8" t="s">
        <v>33</v>
      </c>
      <c r="D658" s="14">
        <v>68958</v>
      </c>
      <c r="E658" s="14">
        <v>1021890</v>
      </c>
      <c r="F658" s="15">
        <v>45569</v>
      </c>
    </row>
    <row r="659" spans="1:6" x14ac:dyDescent="0.3">
      <c r="A659" s="7">
        <v>2019</v>
      </c>
      <c r="B659" s="8" t="s">
        <v>54</v>
      </c>
      <c r="C659" s="8" t="s">
        <v>34</v>
      </c>
      <c r="D659" s="14">
        <v>23883</v>
      </c>
      <c r="E659" s="14">
        <v>300268</v>
      </c>
      <c r="F659" s="15">
        <v>43049</v>
      </c>
    </row>
    <row r="660" spans="1:6" x14ac:dyDescent="0.3">
      <c r="A660" s="7">
        <v>2019</v>
      </c>
      <c r="B660" s="8" t="s">
        <v>54</v>
      </c>
      <c r="C660" s="8" t="s">
        <v>35</v>
      </c>
      <c r="D660" s="14">
        <v>26460</v>
      </c>
      <c r="E660" s="14">
        <v>354168</v>
      </c>
      <c r="F660" s="15">
        <v>45879</v>
      </c>
    </row>
    <row r="661" spans="1:6" x14ac:dyDescent="0.3">
      <c r="A661" s="7">
        <v>2019</v>
      </c>
      <c r="B661" s="8" t="s">
        <v>54</v>
      </c>
      <c r="C661" s="8" t="s">
        <v>36</v>
      </c>
      <c r="D661" s="14">
        <v>74684</v>
      </c>
      <c r="E661" s="14">
        <v>1117033</v>
      </c>
      <c r="F661" s="15">
        <v>46296</v>
      </c>
    </row>
    <row r="662" spans="1:6" x14ac:dyDescent="0.3">
      <c r="A662" s="7">
        <v>2019</v>
      </c>
      <c r="B662" s="8" t="s">
        <v>54</v>
      </c>
      <c r="C662" s="8" t="s">
        <v>37</v>
      </c>
      <c r="D662" s="14">
        <v>7648</v>
      </c>
      <c r="E662" s="14">
        <v>76672</v>
      </c>
      <c r="F662" s="15">
        <v>45232</v>
      </c>
    </row>
    <row r="663" spans="1:6" x14ac:dyDescent="0.3">
      <c r="A663" s="7">
        <v>2019</v>
      </c>
      <c r="B663" s="8" t="s">
        <v>54</v>
      </c>
      <c r="C663" s="8" t="s">
        <v>38</v>
      </c>
      <c r="D663" s="14">
        <v>31073</v>
      </c>
      <c r="E663" s="14">
        <v>406455</v>
      </c>
      <c r="F663" s="15">
        <v>41048</v>
      </c>
    </row>
    <row r="664" spans="1:6" x14ac:dyDescent="0.3">
      <c r="A664" s="7">
        <v>2019</v>
      </c>
      <c r="B664" s="8" t="s">
        <v>54</v>
      </c>
      <c r="C664" s="8" t="s">
        <v>39</v>
      </c>
      <c r="D664" s="14">
        <v>8027</v>
      </c>
      <c r="E664" s="14">
        <v>85125</v>
      </c>
      <c r="F664" s="15">
        <v>40980</v>
      </c>
    </row>
    <row r="665" spans="1:6" x14ac:dyDescent="0.3">
      <c r="A665" s="7">
        <v>2019</v>
      </c>
      <c r="B665" s="8" t="s">
        <v>54</v>
      </c>
      <c r="C665" s="8" t="s">
        <v>40</v>
      </c>
      <c r="D665" s="14">
        <v>40380</v>
      </c>
      <c r="E665" s="14">
        <v>633819</v>
      </c>
      <c r="F665" s="15">
        <v>46991</v>
      </c>
    </row>
    <row r="666" spans="1:6" x14ac:dyDescent="0.3">
      <c r="A666" s="7">
        <v>2019</v>
      </c>
      <c r="B666" s="8" t="s">
        <v>54</v>
      </c>
      <c r="C666" s="8" t="s">
        <v>41</v>
      </c>
      <c r="D666" s="14">
        <v>150310</v>
      </c>
      <c r="E666" s="14">
        <v>2496193</v>
      </c>
      <c r="F666" s="15">
        <v>54323</v>
      </c>
    </row>
    <row r="667" spans="1:6" x14ac:dyDescent="0.3">
      <c r="A667" s="7">
        <v>2019</v>
      </c>
      <c r="B667" s="8" t="s">
        <v>54</v>
      </c>
      <c r="C667" s="8" t="s">
        <v>42</v>
      </c>
      <c r="D667" s="14">
        <v>20066</v>
      </c>
      <c r="E667" s="14">
        <v>289140</v>
      </c>
      <c r="F667" s="15">
        <v>45785</v>
      </c>
    </row>
    <row r="668" spans="1:6" x14ac:dyDescent="0.3">
      <c r="A668" s="7">
        <v>2019</v>
      </c>
      <c r="B668" s="8" t="s">
        <v>54</v>
      </c>
      <c r="C668" s="8" t="s">
        <v>43</v>
      </c>
      <c r="D668" s="14">
        <v>5040</v>
      </c>
      <c r="E668" s="14">
        <v>53817</v>
      </c>
      <c r="F668" s="15">
        <v>41456</v>
      </c>
    </row>
    <row r="669" spans="1:6" x14ac:dyDescent="0.3">
      <c r="A669" s="7">
        <v>2019</v>
      </c>
      <c r="B669" s="8" t="s">
        <v>54</v>
      </c>
      <c r="C669" s="8" t="s">
        <v>44</v>
      </c>
      <c r="D669" s="14">
        <v>42839</v>
      </c>
      <c r="E669" s="14">
        <v>650148</v>
      </c>
      <c r="F669" s="15">
        <v>45486</v>
      </c>
    </row>
    <row r="670" spans="1:6" x14ac:dyDescent="0.3">
      <c r="A670" s="7">
        <v>2019</v>
      </c>
      <c r="B670" s="8" t="s">
        <v>54</v>
      </c>
      <c r="C670" s="8" t="s">
        <v>45</v>
      </c>
      <c r="D670" s="14">
        <v>38692</v>
      </c>
      <c r="E670" s="14">
        <v>628543</v>
      </c>
      <c r="F670" s="15">
        <v>67312</v>
      </c>
    </row>
    <row r="671" spans="1:6" x14ac:dyDescent="0.3">
      <c r="A671" s="7">
        <v>2019</v>
      </c>
      <c r="B671" s="8" t="s">
        <v>54</v>
      </c>
      <c r="C671" s="8" t="s">
        <v>46</v>
      </c>
      <c r="D671" s="14">
        <v>10709</v>
      </c>
      <c r="E671" s="14">
        <v>125470</v>
      </c>
      <c r="F671" s="15">
        <v>40148</v>
      </c>
    </row>
    <row r="672" spans="1:6" x14ac:dyDescent="0.3">
      <c r="A672" s="7">
        <v>2019</v>
      </c>
      <c r="B672" s="8" t="s">
        <v>54</v>
      </c>
      <c r="C672" s="8" t="s">
        <v>47</v>
      </c>
      <c r="D672" s="14">
        <v>36253</v>
      </c>
      <c r="E672" s="14">
        <v>533175</v>
      </c>
      <c r="F672" s="15">
        <v>42647</v>
      </c>
    </row>
    <row r="673" spans="1:6" x14ac:dyDescent="0.3">
      <c r="A673" s="7">
        <v>2019</v>
      </c>
      <c r="B673" s="8" t="s">
        <v>54</v>
      </c>
      <c r="C673" s="8" t="s">
        <v>48</v>
      </c>
      <c r="D673" s="14">
        <v>4819</v>
      </c>
      <c r="E673" s="14">
        <v>49901</v>
      </c>
      <c r="F673" s="15">
        <v>44408</v>
      </c>
    </row>
    <row r="674" spans="1:6" x14ac:dyDescent="0.3">
      <c r="A674" s="7">
        <v>2019</v>
      </c>
      <c r="B674" s="8" t="s">
        <v>53</v>
      </c>
      <c r="C674" s="8" t="s">
        <v>1</v>
      </c>
      <c r="D674" s="14">
        <v>2309</v>
      </c>
      <c r="E674" s="14">
        <v>21296</v>
      </c>
      <c r="F674" s="15">
        <v>62845</v>
      </c>
    </row>
    <row r="675" spans="1:6" x14ac:dyDescent="0.3">
      <c r="A675" s="7">
        <v>2019</v>
      </c>
      <c r="B675" s="8" t="s">
        <v>53</v>
      </c>
      <c r="C675" s="8" t="s">
        <v>2</v>
      </c>
      <c r="D675" s="14">
        <v>3691</v>
      </c>
      <c r="E675" s="14">
        <v>49188</v>
      </c>
      <c r="F675" s="15">
        <v>77822</v>
      </c>
    </row>
    <row r="676" spans="1:6" x14ac:dyDescent="0.3">
      <c r="A676" s="7">
        <v>2019</v>
      </c>
      <c r="B676" s="8" t="s">
        <v>53</v>
      </c>
      <c r="C676" s="8" t="s">
        <v>3</v>
      </c>
      <c r="D676" s="14">
        <v>1303</v>
      </c>
      <c r="E676" s="14">
        <v>10974</v>
      </c>
      <c r="F676" s="15">
        <v>57981</v>
      </c>
    </row>
    <row r="677" spans="1:6" x14ac:dyDescent="0.3">
      <c r="A677" s="7">
        <v>2019</v>
      </c>
      <c r="B677" s="8" t="s">
        <v>53</v>
      </c>
      <c r="C677" s="8" t="s">
        <v>4</v>
      </c>
      <c r="D677" s="14">
        <v>28529</v>
      </c>
      <c r="E677" s="14">
        <v>550084</v>
      </c>
      <c r="F677" s="15">
        <v>191278</v>
      </c>
    </row>
    <row r="678" spans="1:6" x14ac:dyDescent="0.3">
      <c r="A678" s="7">
        <v>2019</v>
      </c>
      <c r="B678" s="8" t="s">
        <v>53</v>
      </c>
      <c r="C678" s="8" t="s">
        <v>5</v>
      </c>
      <c r="D678" s="14">
        <v>4330</v>
      </c>
      <c r="E678" s="14">
        <v>76292</v>
      </c>
      <c r="F678" s="15">
        <v>109380</v>
      </c>
    </row>
    <row r="679" spans="1:6" x14ac:dyDescent="0.3">
      <c r="A679" s="7">
        <v>2019</v>
      </c>
      <c r="B679" s="8" t="s">
        <v>53</v>
      </c>
      <c r="C679" s="8" t="s">
        <v>6</v>
      </c>
      <c r="D679" s="14">
        <v>2551</v>
      </c>
      <c r="E679" s="14">
        <v>31469</v>
      </c>
      <c r="F679" s="15">
        <v>120406</v>
      </c>
    </row>
    <row r="680" spans="1:6" x14ac:dyDescent="0.3">
      <c r="A680" s="7">
        <v>2019</v>
      </c>
      <c r="B680" s="8" t="s">
        <v>53</v>
      </c>
      <c r="C680" s="8" t="s">
        <v>7</v>
      </c>
      <c r="D680" s="8">
        <v>497</v>
      </c>
      <c r="E680" s="14">
        <v>3905</v>
      </c>
      <c r="F680" s="15">
        <v>70031</v>
      </c>
    </row>
    <row r="681" spans="1:6" x14ac:dyDescent="0.3">
      <c r="A681" s="7">
        <v>2019</v>
      </c>
      <c r="B681" s="8" t="s">
        <v>53</v>
      </c>
      <c r="C681" s="8" t="s">
        <v>8</v>
      </c>
      <c r="D681" s="14">
        <v>11744</v>
      </c>
      <c r="E681" s="14">
        <v>138845</v>
      </c>
      <c r="F681" s="15">
        <v>86153</v>
      </c>
    </row>
    <row r="682" spans="1:6" x14ac:dyDescent="0.3">
      <c r="A682" s="7">
        <v>2019</v>
      </c>
      <c r="B682" s="8" t="s">
        <v>53</v>
      </c>
      <c r="C682" s="8" t="s">
        <v>9</v>
      </c>
      <c r="D682" s="14">
        <v>5380</v>
      </c>
      <c r="E682" s="14">
        <v>116215</v>
      </c>
      <c r="F682" s="15">
        <v>100462</v>
      </c>
    </row>
    <row r="683" spans="1:6" x14ac:dyDescent="0.3">
      <c r="A683" s="7">
        <v>2019</v>
      </c>
      <c r="B683" s="8" t="s">
        <v>53</v>
      </c>
      <c r="C683" s="8" t="s">
        <v>10</v>
      </c>
      <c r="D683" s="14">
        <v>1231</v>
      </c>
      <c r="E683" s="14">
        <v>8802</v>
      </c>
      <c r="F683" s="15">
        <v>56211</v>
      </c>
    </row>
    <row r="684" spans="1:6" x14ac:dyDescent="0.3">
      <c r="A684" s="7">
        <v>2019</v>
      </c>
      <c r="B684" s="8" t="s">
        <v>53</v>
      </c>
      <c r="C684" s="8" t="s">
        <v>11</v>
      </c>
      <c r="D684" s="14">
        <v>6998</v>
      </c>
      <c r="E684" s="14">
        <v>94879</v>
      </c>
      <c r="F684" s="15">
        <v>96732</v>
      </c>
    </row>
    <row r="685" spans="1:6" x14ac:dyDescent="0.3">
      <c r="A685" s="7">
        <v>2019</v>
      </c>
      <c r="B685" s="8" t="s">
        <v>53</v>
      </c>
      <c r="C685" s="8" t="s">
        <v>12</v>
      </c>
      <c r="D685" s="14">
        <v>2278</v>
      </c>
      <c r="E685" s="14">
        <v>28628</v>
      </c>
      <c r="F685" s="15">
        <v>62444</v>
      </c>
    </row>
    <row r="686" spans="1:6" x14ac:dyDescent="0.3">
      <c r="A686" s="7">
        <v>2019</v>
      </c>
      <c r="B686" s="8" t="s">
        <v>53</v>
      </c>
      <c r="C686" s="8" t="s">
        <v>13</v>
      </c>
      <c r="D686" s="14">
        <v>1778</v>
      </c>
      <c r="E686" s="14">
        <v>21356</v>
      </c>
      <c r="F686" s="15">
        <v>60664</v>
      </c>
    </row>
    <row r="687" spans="1:6" x14ac:dyDescent="0.3">
      <c r="A687" s="7">
        <v>2019</v>
      </c>
      <c r="B687" s="8" t="s">
        <v>53</v>
      </c>
      <c r="C687" s="8" t="s">
        <v>14</v>
      </c>
      <c r="D687" s="14">
        <v>1386</v>
      </c>
      <c r="E687" s="14">
        <v>18137</v>
      </c>
      <c r="F687" s="15">
        <v>66434</v>
      </c>
    </row>
    <row r="688" spans="1:6" x14ac:dyDescent="0.3">
      <c r="A688" s="7">
        <v>2019</v>
      </c>
      <c r="B688" s="8" t="s">
        <v>53</v>
      </c>
      <c r="C688" s="8" t="s">
        <v>15</v>
      </c>
      <c r="D688" s="14">
        <v>1924</v>
      </c>
      <c r="E688" s="14">
        <v>21670</v>
      </c>
      <c r="F688" s="15">
        <v>58590</v>
      </c>
    </row>
    <row r="689" spans="1:6" x14ac:dyDescent="0.3">
      <c r="A689" s="7">
        <v>2019</v>
      </c>
      <c r="B689" s="8" t="s">
        <v>53</v>
      </c>
      <c r="C689" s="8" t="s">
        <v>16</v>
      </c>
      <c r="D689" s="14">
        <v>1801</v>
      </c>
      <c r="E689" s="14">
        <v>22427</v>
      </c>
      <c r="F689" s="15">
        <v>60638</v>
      </c>
    </row>
    <row r="690" spans="1:6" x14ac:dyDescent="0.3">
      <c r="A690" s="7">
        <v>2019</v>
      </c>
      <c r="B690" s="8" t="s">
        <v>53</v>
      </c>
      <c r="C690" s="8" t="s">
        <v>17</v>
      </c>
      <c r="D690" s="8">
        <v>869</v>
      </c>
      <c r="E690" s="14">
        <v>7158</v>
      </c>
      <c r="F690" s="15">
        <v>57442</v>
      </c>
    </row>
    <row r="691" spans="1:6" x14ac:dyDescent="0.3">
      <c r="A691" s="7">
        <v>2019</v>
      </c>
      <c r="B691" s="8" t="s">
        <v>53</v>
      </c>
      <c r="C691" s="8" t="s">
        <v>18</v>
      </c>
      <c r="D691" s="14">
        <v>2846</v>
      </c>
      <c r="E691" s="14">
        <v>35678</v>
      </c>
      <c r="F691" s="15">
        <v>98834</v>
      </c>
    </row>
    <row r="692" spans="1:6" x14ac:dyDescent="0.3">
      <c r="A692" s="7">
        <v>2019</v>
      </c>
      <c r="B692" s="8" t="s">
        <v>53</v>
      </c>
      <c r="C692" s="8" t="s">
        <v>19</v>
      </c>
      <c r="D692" s="14">
        <v>5717</v>
      </c>
      <c r="E692" s="14">
        <v>93033</v>
      </c>
      <c r="F692" s="15">
        <v>128022</v>
      </c>
    </row>
    <row r="693" spans="1:6" x14ac:dyDescent="0.3">
      <c r="A693" s="7">
        <v>2019</v>
      </c>
      <c r="B693" s="8" t="s">
        <v>53</v>
      </c>
      <c r="C693" s="8" t="s">
        <v>20</v>
      </c>
      <c r="D693" s="14">
        <v>7146</v>
      </c>
      <c r="E693" s="14">
        <v>55298</v>
      </c>
      <c r="F693" s="15">
        <v>77504</v>
      </c>
    </row>
    <row r="694" spans="1:6" x14ac:dyDescent="0.3">
      <c r="A694" s="7">
        <v>2019</v>
      </c>
      <c r="B694" s="8" t="s">
        <v>53</v>
      </c>
      <c r="C694" s="8" t="s">
        <v>21</v>
      </c>
      <c r="D694" s="14">
        <v>4133</v>
      </c>
      <c r="E694" s="14">
        <v>46906</v>
      </c>
      <c r="F694" s="15">
        <v>83846</v>
      </c>
    </row>
    <row r="695" spans="1:6" x14ac:dyDescent="0.3">
      <c r="A695" s="7">
        <v>2019</v>
      </c>
      <c r="B695" s="8" t="s">
        <v>53</v>
      </c>
      <c r="C695" s="8" t="s">
        <v>22</v>
      </c>
      <c r="D695" s="8">
        <v>944</v>
      </c>
      <c r="E695" s="14">
        <v>10695</v>
      </c>
      <c r="F695" s="15">
        <v>49438</v>
      </c>
    </row>
    <row r="696" spans="1:6" x14ac:dyDescent="0.3">
      <c r="A696" s="7">
        <v>2019</v>
      </c>
      <c r="B696" s="8" t="s">
        <v>53</v>
      </c>
      <c r="C696" s="8" t="s">
        <v>23</v>
      </c>
      <c r="D696" s="14">
        <v>3310</v>
      </c>
      <c r="E696" s="14">
        <v>46729</v>
      </c>
      <c r="F696" s="15">
        <v>85960</v>
      </c>
    </row>
    <row r="697" spans="1:6" x14ac:dyDescent="0.3">
      <c r="A697" s="7">
        <v>2019</v>
      </c>
      <c r="B697" s="8" t="s">
        <v>53</v>
      </c>
      <c r="C697" s="8" t="s">
        <v>24</v>
      </c>
      <c r="D697" s="8">
        <v>799</v>
      </c>
      <c r="E697" s="14">
        <v>6210</v>
      </c>
      <c r="F697" s="15">
        <v>56592</v>
      </c>
    </row>
    <row r="698" spans="1:6" x14ac:dyDescent="0.3">
      <c r="A698" s="7">
        <v>2019</v>
      </c>
      <c r="B698" s="8" t="s">
        <v>53</v>
      </c>
      <c r="C698" s="8" t="s">
        <v>25</v>
      </c>
      <c r="D698" s="14">
        <v>1015</v>
      </c>
      <c r="E698" s="14">
        <v>17258</v>
      </c>
      <c r="F698" s="15">
        <v>66732</v>
      </c>
    </row>
    <row r="699" spans="1:6" x14ac:dyDescent="0.3">
      <c r="A699" s="7">
        <v>2019</v>
      </c>
      <c r="B699" s="8" t="s">
        <v>53</v>
      </c>
      <c r="C699" s="8" t="s">
        <v>26</v>
      </c>
      <c r="D699" s="14">
        <v>1664</v>
      </c>
      <c r="E699" s="14">
        <v>15847</v>
      </c>
      <c r="F699" s="15">
        <v>73213</v>
      </c>
    </row>
    <row r="700" spans="1:6" x14ac:dyDescent="0.3">
      <c r="A700" s="7">
        <v>2019</v>
      </c>
      <c r="B700" s="8" t="s">
        <v>53</v>
      </c>
      <c r="C700" s="8" t="s">
        <v>27</v>
      </c>
      <c r="D700" s="14">
        <v>1037</v>
      </c>
      <c r="E700" s="14">
        <v>12334</v>
      </c>
      <c r="F700" s="15">
        <v>97212</v>
      </c>
    </row>
    <row r="701" spans="1:6" x14ac:dyDescent="0.3">
      <c r="A701" s="7">
        <v>2019</v>
      </c>
      <c r="B701" s="8" t="s">
        <v>53</v>
      </c>
      <c r="C701" s="8" t="s">
        <v>28</v>
      </c>
      <c r="D701" s="14">
        <v>3724</v>
      </c>
      <c r="E701" s="14">
        <v>67578</v>
      </c>
      <c r="F701" s="15">
        <v>117433</v>
      </c>
    </row>
    <row r="702" spans="1:6" x14ac:dyDescent="0.3">
      <c r="A702" s="7">
        <v>2019</v>
      </c>
      <c r="B702" s="8" t="s">
        <v>53</v>
      </c>
      <c r="C702" s="8" t="s">
        <v>29</v>
      </c>
      <c r="D702" s="14">
        <v>1074</v>
      </c>
      <c r="E702" s="14">
        <v>11166</v>
      </c>
      <c r="F702" s="15">
        <v>57554</v>
      </c>
    </row>
    <row r="703" spans="1:6" x14ac:dyDescent="0.3">
      <c r="A703" s="7">
        <v>2019</v>
      </c>
      <c r="B703" s="8" t="s">
        <v>53</v>
      </c>
      <c r="C703" s="8" t="s">
        <v>30</v>
      </c>
      <c r="D703" s="14">
        <v>12812</v>
      </c>
      <c r="E703" s="14">
        <v>277408</v>
      </c>
      <c r="F703" s="15">
        <v>135959</v>
      </c>
    </row>
    <row r="704" spans="1:6" x14ac:dyDescent="0.3">
      <c r="A704" s="7">
        <v>2019</v>
      </c>
      <c r="B704" s="8" t="s">
        <v>53</v>
      </c>
      <c r="C704" s="8" t="s">
        <v>31</v>
      </c>
      <c r="D704" s="14">
        <v>5669</v>
      </c>
      <c r="E704" s="14">
        <v>75919</v>
      </c>
      <c r="F704" s="15">
        <v>87039</v>
      </c>
    </row>
    <row r="705" spans="1:6" x14ac:dyDescent="0.3">
      <c r="A705" s="7">
        <v>2019</v>
      </c>
      <c r="B705" s="8" t="s">
        <v>53</v>
      </c>
      <c r="C705" s="8" t="s">
        <v>32</v>
      </c>
      <c r="D705" s="8">
        <v>402</v>
      </c>
      <c r="E705" s="14">
        <v>6093</v>
      </c>
      <c r="F705" s="15">
        <v>71543</v>
      </c>
    </row>
    <row r="706" spans="1:6" x14ac:dyDescent="0.3">
      <c r="A706" s="7">
        <v>2019</v>
      </c>
      <c r="B706" s="8" t="s">
        <v>53</v>
      </c>
      <c r="C706" s="8" t="s">
        <v>33</v>
      </c>
      <c r="D706" s="14">
        <v>4915</v>
      </c>
      <c r="E706" s="14">
        <v>69330</v>
      </c>
      <c r="F706" s="15">
        <v>72613</v>
      </c>
    </row>
    <row r="707" spans="1:6" x14ac:dyDescent="0.3">
      <c r="A707" s="7">
        <v>2019</v>
      </c>
      <c r="B707" s="8" t="s">
        <v>53</v>
      </c>
      <c r="C707" s="8" t="s">
        <v>34</v>
      </c>
      <c r="D707" s="14">
        <v>1550</v>
      </c>
      <c r="E707" s="14">
        <v>19627</v>
      </c>
      <c r="F707" s="15">
        <v>60407</v>
      </c>
    </row>
    <row r="708" spans="1:6" x14ac:dyDescent="0.3">
      <c r="A708" s="7">
        <v>2019</v>
      </c>
      <c r="B708" s="8" t="s">
        <v>53</v>
      </c>
      <c r="C708" s="8" t="s">
        <v>35</v>
      </c>
      <c r="D708" s="14">
        <v>4135</v>
      </c>
      <c r="E708" s="14">
        <v>35053</v>
      </c>
      <c r="F708" s="15">
        <v>89633</v>
      </c>
    </row>
    <row r="709" spans="1:6" x14ac:dyDescent="0.3">
      <c r="A709" s="7">
        <v>2019</v>
      </c>
      <c r="B709" s="8" t="s">
        <v>53</v>
      </c>
      <c r="C709" s="8" t="s">
        <v>36</v>
      </c>
      <c r="D709" s="14">
        <v>5348</v>
      </c>
      <c r="E709" s="14">
        <v>87043</v>
      </c>
      <c r="F709" s="15">
        <v>94900</v>
      </c>
    </row>
    <row r="710" spans="1:6" x14ac:dyDescent="0.3">
      <c r="A710" s="7">
        <v>2019</v>
      </c>
      <c r="B710" s="8" t="s">
        <v>53</v>
      </c>
      <c r="C710" s="8" t="s">
        <v>37</v>
      </c>
      <c r="D710" s="8">
        <v>714</v>
      </c>
      <c r="E710" s="14">
        <v>5878</v>
      </c>
      <c r="F710" s="15">
        <v>76409</v>
      </c>
    </row>
    <row r="711" spans="1:6" x14ac:dyDescent="0.3">
      <c r="A711" s="7">
        <v>2019</v>
      </c>
      <c r="B711" s="8" t="s">
        <v>53</v>
      </c>
      <c r="C711" s="8" t="s">
        <v>38</v>
      </c>
      <c r="D711" s="14">
        <v>2883</v>
      </c>
      <c r="E711" s="14">
        <v>26869</v>
      </c>
      <c r="F711" s="15">
        <v>66032</v>
      </c>
    </row>
    <row r="712" spans="1:6" x14ac:dyDescent="0.3">
      <c r="A712" s="7">
        <v>2019</v>
      </c>
      <c r="B712" s="8" t="s">
        <v>53</v>
      </c>
      <c r="C712" s="8" t="s">
        <v>39</v>
      </c>
      <c r="D712" s="8">
        <v>589</v>
      </c>
      <c r="E712" s="14">
        <v>5500</v>
      </c>
      <c r="F712" s="15">
        <v>51535</v>
      </c>
    </row>
    <row r="713" spans="1:6" x14ac:dyDescent="0.3">
      <c r="A713" s="7">
        <v>2019</v>
      </c>
      <c r="B713" s="8" t="s">
        <v>53</v>
      </c>
      <c r="C713" s="8" t="s">
        <v>40</v>
      </c>
      <c r="D713" s="14">
        <v>3981</v>
      </c>
      <c r="E713" s="14">
        <v>45042</v>
      </c>
      <c r="F713" s="15">
        <v>75375</v>
      </c>
    </row>
    <row r="714" spans="1:6" x14ac:dyDescent="0.3">
      <c r="A714" s="7">
        <v>2019</v>
      </c>
      <c r="B714" s="8" t="s">
        <v>53</v>
      </c>
      <c r="C714" s="8" t="s">
        <v>41</v>
      </c>
      <c r="D714" s="14">
        <v>10627</v>
      </c>
      <c r="E714" s="14">
        <v>208591</v>
      </c>
      <c r="F714" s="15">
        <v>90857</v>
      </c>
    </row>
    <row r="715" spans="1:6" x14ac:dyDescent="0.3">
      <c r="A715" s="7">
        <v>2019</v>
      </c>
      <c r="B715" s="8" t="s">
        <v>53</v>
      </c>
      <c r="C715" s="8" t="s">
        <v>42</v>
      </c>
      <c r="D715" s="14">
        <v>2776</v>
      </c>
      <c r="E715" s="14">
        <v>38323</v>
      </c>
      <c r="F715" s="15">
        <v>84735</v>
      </c>
    </row>
    <row r="716" spans="1:6" x14ac:dyDescent="0.3">
      <c r="A716" s="7">
        <v>2019</v>
      </c>
      <c r="B716" s="8" t="s">
        <v>53</v>
      </c>
      <c r="C716" s="8" t="s">
        <v>43</v>
      </c>
      <c r="D716" s="8">
        <v>527</v>
      </c>
      <c r="E716" s="14">
        <v>4322</v>
      </c>
      <c r="F716" s="15">
        <v>62861</v>
      </c>
    </row>
    <row r="717" spans="1:6" x14ac:dyDescent="0.3">
      <c r="A717" s="7">
        <v>2019</v>
      </c>
      <c r="B717" s="8" t="s">
        <v>53</v>
      </c>
      <c r="C717" s="8" t="s">
        <v>44</v>
      </c>
      <c r="D717" s="14">
        <v>4600</v>
      </c>
      <c r="E717" s="14">
        <v>67714</v>
      </c>
      <c r="F717" s="15">
        <v>107966</v>
      </c>
    </row>
    <row r="718" spans="1:6" x14ac:dyDescent="0.3">
      <c r="A718" s="7">
        <v>2019</v>
      </c>
      <c r="B718" s="8" t="s">
        <v>53</v>
      </c>
      <c r="C718" s="8" t="s">
        <v>45</v>
      </c>
      <c r="D718" s="14">
        <v>5007</v>
      </c>
      <c r="E718" s="14">
        <v>143883</v>
      </c>
      <c r="F718" s="15">
        <v>207135</v>
      </c>
    </row>
    <row r="719" spans="1:6" x14ac:dyDescent="0.3">
      <c r="A719" s="7">
        <v>2019</v>
      </c>
      <c r="B719" s="8" t="s">
        <v>53</v>
      </c>
      <c r="C719" s="8" t="s">
        <v>46</v>
      </c>
      <c r="D719" s="8">
        <v>818</v>
      </c>
      <c r="E719" s="14">
        <v>8072</v>
      </c>
      <c r="F719" s="15">
        <v>53281</v>
      </c>
    </row>
    <row r="720" spans="1:6" x14ac:dyDescent="0.3">
      <c r="A720" s="7">
        <v>2019</v>
      </c>
      <c r="B720" s="8" t="s">
        <v>53</v>
      </c>
      <c r="C720" s="8" t="s">
        <v>47</v>
      </c>
      <c r="D720" s="14">
        <v>2335</v>
      </c>
      <c r="E720" s="14">
        <v>46993</v>
      </c>
      <c r="F720" s="15">
        <v>82512</v>
      </c>
    </row>
    <row r="721" spans="1:6" x14ac:dyDescent="0.3">
      <c r="A721" s="7">
        <v>2019</v>
      </c>
      <c r="B721" s="8" t="s">
        <v>53</v>
      </c>
      <c r="C721" s="8" t="s">
        <v>48</v>
      </c>
      <c r="D721" s="8">
        <v>417</v>
      </c>
      <c r="E721" s="14">
        <v>3424</v>
      </c>
      <c r="F721" s="15">
        <v>49035</v>
      </c>
    </row>
    <row r="722" spans="1:6" x14ac:dyDescent="0.3">
      <c r="A722" s="7">
        <v>2019</v>
      </c>
      <c r="B722" s="8" t="s">
        <v>56</v>
      </c>
      <c r="C722" s="8" t="s">
        <v>1</v>
      </c>
      <c r="D722" s="14">
        <v>13590</v>
      </c>
      <c r="E722" s="14">
        <v>95053</v>
      </c>
      <c r="F722" s="15">
        <v>71076</v>
      </c>
    </row>
    <row r="723" spans="1:6" x14ac:dyDescent="0.3">
      <c r="A723" s="7">
        <v>2019</v>
      </c>
      <c r="B723" s="8" t="s">
        <v>56</v>
      </c>
      <c r="C723" s="8" t="s">
        <v>2</v>
      </c>
      <c r="D723" s="14">
        <v>19357</v>
      </c>
      <c r="E723" s="14">
        <v>223263</v>
      </c>
      <c r="F723" s="15">
        <v>74627</v>
      </c>
    </row>
    <row r="724" spans="1:6" x14ac:dyDescent="0.3">
      <c r="A724" s="7">
        <v>2019</v>
      </c>
      <c r="B724" s="8" t="s">
        <v>56</v>
      </c>
      <c r="C724" s="8" t="s">
        <v>3</v>
      </c>
      <c r="D724" s="14">
        <v>8591</v>
      </c>
      <c r="E724" s="14">
        <v>51934</v>
      </c>
      <c r="F724" s="15">
        <v>60198</v>
      </c>
    </row>
    <row r="725" spans="1:6" x14ac:dyDescent="0.3">
      <c r="A725" s="7">
        <v>2019</v>
      </c>
      <c r="B725" s="8" t="s">
        <v>56</v>
      </c>
      <c r="C725" s="8" t="s">
        <v>4</v>
      </c>
      <c r="D725" s="14">
        <v>109980</v>
      </c>
      <c r="E725" s="14">
        <v>841829</v>
      </c>
      <c r="F725" s="15">
        <v>112757</v>
      </c>
    </row>
    <row r="726" spans="1:6" x14ac:dyDescent="0.3">
      <c r="A726" s="7">
        <v>2019</v>
      </c>
      <c r="B726" s="8" t="s">
        <v>56</v>
      </c>
      <c r="C726" s="8" t="s">
        <v>5</v>
      </c>
      <c r="D726" s="14">
        <v>24028</v>
      </c>
      <c r="E726" s="14">
        <v>167272</v>
      </c>
      <c r="F726" s="15">
        <v>88613</v>
      </c>
    </row>
    <row r="727" spans="1:6" x14ac:dyDescent="0.3">
      <c r="A727" s="7">
        <v>2019</v>
      </c>
      <c r="B727" s="8" t="s">
        <v>56</v>
      </c>
      <c r="C727" s="8" t="s">
        <v>6</v>
      </c>
      <c r="D727" s="14">
        <v>11028</v>
      </c>
      <c r="E727" s="14">
        <v>121869</v>
      </c>
      <c r="F727" s="15">
        <v>157629</v>
      </c>
    </row>
    <row r="728" spans="1:6" x14ac:dyDescent="0.3">
      <c r="A728" s="7">
        <v>2019</v>
      </c>
      <c r="B728" s="8" t="s">
        <v>56</v>
      </c>
      <c r="C728" s="8" t="s">
        <v>7</v>
      </c>
      <c r="D728" s="14">
        <v>2907</v>
      </c>
      <c r="E728" s="14">
        <v>48162</v>
      </c>
      <c r="F728" s="15">
        <v>97426</v>
      </c>
    </row>
    <row r="729" spans="1:6" x14ac:dyDescent="0.3">
      <c r="A729" s="7">
        <v>2019</v>
      </c>
      <c r="B729" s="8" t="s">
        <v>56</v>
      </c>
      <c r="C729" s="8" t="s">
        <v>8</v>
      </c>
      <c r="D729" s="14">
        <v>76648</v>
      </c>
      <c r="E729" s="14">
        <v>585959</v>
      </c>
      <c r="F729" s="15">
        <v>77025</v>
      </c>
    </row>
    <row r="730" spans="1:6" x14ac:dyDescent="0.3">
      <c r="A730" s="7">
        <v>2019</v>
      </c>
      <c r="B730" s="8" t="s">
        <v>56</v>
      </c>
      <c r="C730" s="8" t="s">
        <v>9</v>
      </c>
      <c r="D730" s="14">
        <v>26961</v>
      </c>
      <c r="E730" s="14">
        <v>242468</v>
      </c>
      <c r="F730" s="15">
        <v>86701</v>
      </c>
    </row>
    <row r="731" spans="1:6" x14ac:dyDescent="0.3">
      <c r="A731" s="7">
        <v>2019</v>
      </c>
      <c r="B731" s="8" t="s">
        <v>56</v>
      </c>
      <c r="C731" s="8" t="s">
        <v>10</v>
      </c>
      <c r="D731" s="14">
        <v>5859</v>
      </c>
      <c r="E731" s="14">
        <v>33273</v>
      </c>
      <c r="F731" s="15">
        <v>59504</v>
      </c>
    </row>
    <row r="732" spans="1:6" x14ac:dyDescent="0.3">
      <c r="A732" s="7">
        <v>2019</v>
      </c>
      <c r="B732" s="8" t="s">
        <v>56</v>
      </c>
      <c r="C732" s="8" t="s">
        <v>11</v>
      </c>
      <c r="D732" s="14">
        <v>32792</v>
      </c>
      <c r="E732" s="14">
        <v>381941</v>
      </c>
      <c r="F732" s="15">
        <v>113091</v>
      </c>
    </row>
    <row r="733" spans="1:6" x14ac:dyDescent="0.3">
      <c r="A733" s="7">
        <v>2019</v>
      </c>
      <c r="B733" s="8" t="s">
        <v>56</v>
      </c>
      <c r="C733" s="8" t="s">
        <v>12</v>
      </c>
      <c r="D733" s="14">
        <v>16940</v>
      </c>
      <c r="E733" s="14">
        <v>135547</v>
      </c>
      <c r="F733" s="15">
        <v>67469</v>
      </c>
    </row>
    <row r="734" spans="1:6" x14ac:dyDescent="0.3">
      <c r="A734" s="7">
        <v>2019</v>
      </c>
      <c r="B734" s="8" t="s">
        <v>56</v>
      </c>
      <c r="C734" s="8" t="s">
        <v>13</v>
      </c>
      <c r="D734" s="14">
        <v>10414</v>
      </c>
      <c r="E734" s="14">
        <v>110010</v>
      </c>
      <c r="F734" s="15">
        <v>76212</v>
      </c>
    </row>
    <row r="735" spans="1:6" x14ac:dyDescent="0.3">
      <c r="A735" s="7">
        <v>2019</v>
      </c>
      <c r="B735" s="8" t="s">
        <v>56</v>
      </c>
      <c r="C735" s="8" t="s">
        <v>14</v>
      </c>
      <c r="D735" s="14">
        <v>8744</v>
      </c>
      <c r="E735" s="14">
        <v>74336</v>
      </c>
      <c r="F735" s="15">
        <v>68950</v>
      </c>
    </row>
    <row r="736" spans="1:6" x14ac:dyDescent="0.3">
      <c r="A736" s="7">
        <v>2019</v>
      </c>
      <c r="B736" s="8" t="s">
        <v>56</v>
      </c>
      <c r="C736" s="8" t="s">
        <v>15</v>
      </c>
      <c r="D736" s="14">
        <v>11201</v>
      </c>
      <c r="E736" s="14">
        <v>93556</v>
      </c>
      <c r="F736" s="15">
        <v>69885</v>
      </c>
    </row>
    <row r="737" spans="1:6" x14ac:dyDescent="0.3">
      <c r="A737" s="7">
        <v>2019</v>
      </c>
      <c r="B737" s="8" t="s">
        <v>56</v>
      </c>
      <c r="C737" s="8" t="s">
        <v>16</v>
      </c>
      <c r="D737" s="14">
        <v>13852</v>
      </c>
      <c r="E737" s="14">
        <v>84791</v>
      </c>
      <c r="F737" s="15">
        <v>63590</v>
      </c>
    </row>
    <row r="738" spans="1:6" x14ac:dyDescent="0.3">
      <c r="A738" s="7">
        <v>2019</v>
      </c>
      <c r="B738" s="8" t="s">
        <v>56</v>
      </c>
      <c r="C738" s="8" t="s">
        <v>17</v>
      </c>
      <c r="D738" s="14">
        <v>3854</v>
      </c>
      <c r="E738" s="14">
        <v>30481</v>
      </c>
      <c r="F738" s="15">
        <v>70030</v>
      </c>
    </row>
    <row r="739" spans="1:6" x14ac:dyDescent="0.3">
      <c r="A739" s="7">
        <v>2019</v>
      </c>
      <c r="B739" s="8" t="s">
        <v>56</v>
      </c>
      <c r="C739" s="8" t="s">
        <v>18</v>
      </c>
      <c r="D739" s="14">
        <v>15512</v>
      </c>
      <c r="E739" s="14">
        <v>135216</v>
      </c>
      <c r="F739" s="15">
        <v>98024</v>
      </c>
    </row>
    <row r="740" spans="1:6" x14ac:dyDescent="0.3">
      <c r="A740" s="7">
        <v>2019</v>
      </c>
      <c r="B740" s="8" t="s">
        <v>56</v>
      </c>
      <c r="C740" s="8" t="s">
        <v>19</v>
      </c>
      <c r="D740" s="14">
        <v>17883</v>
      </c>
      <c r="E740" s="14">
        <v>218858</v>
      </c>
      <c r="F740" s="15">
        <v>147565</v>
      </c>
    </row>
    <row r="741" spans="1:6" x14ac:dyDescent="0.3">
      <c r="A741" s="7">
        <v>2019</v>
      </c>
      <c r="B741" s="8" t="s">
        <v>56</v>
      </c>
      <c r="C741" s="8" t="s">
        <v>20</v>
      </c>
      <c r="D741" s="14">
        <v>19641</v>
      </c>
      <c r="E741" s="14">
        <v>208812</v>
      </c>
      <c r="F741" s="15">
        <v>73691</v>
      </c>
    </row>
    <row r="742" spans="1:6" x14ac:dyDescent="0.3">
      <c r="A742" s="7">
        <v>2019</v>
      </c>
      <c r="B742" s="8" t="s">
        <v>56</v>
      </c>
      <c r="C742" s="8" t="s">
        <v>21</v>
      </c>
      <c r="D742" s="14">
        <v>15855</v>
      </c>
      <c r="E742" s="14">
        <v>182914</v>
      </c>
      <c r="F742" s="15">
        <v>97673</v>
      </c>
    </row>
    <row r="743" spans="1:6" x14ac:dyDescent="0.3">
      <c r="A743" s="7">
        <v>2019</v>
      </c>
      <c r="B743" s="8" t="s">
        <v>56</v>
      </c>
      <c r="C743" s="8" t="s">
        <v>22</v>
      </c>
      <c r="D743" s="14">
        <v>7944</v>
      </c>
      <c r="E743" s="14">
        <v>43109</v>
      </c>
      <c r="F743" s="15">
        <v>54672</v>
      </c>
    </row>
    <row r="744" spans="1:6" x14ac:dyDescent="0.3">
      <c r="A744" s="7">
        <v>2019</v>
      </c>
      <c r="B744" s="8" t="s">
        <v>56</v>
      </c>
      <c r="C744" s="8" t="s">
        <v>23</v>
      </c>
      <c r="D744" s="14">
        <v>17951</v>
      </c>
      <c r="E744" s="14">
        <v>166025</v>
      </c>
      <c r="F744" s="15">
        <v>75387</v>
      </c>
    </row>
    <row r="745" spans="1:6" x14ac:dyDescent="0.3">
      <c r="A745" s="7">
        <v>2019</v>
      </c>
      <c r="B745" s="8" t="s">
        <v>56</v>
      </c>
      <c r="C745" s="8" t="s">
        <v>24</v>
      </c>
      <c r="D745" s="14">
        <v>4314</v>
      </c>
      <c r="E745" s="14">
        <v>22199</v>
      </c>
      <c r="F745" s="15">
        <v>60907</v>
      </c>
    </row>
    <row r="746" spans="1:6" x14ac:dyDescent="0.3">
      <c r="A746" s="7">
        <v>2019</v>
      </c>
      <c r="B746" s="8" t="s">
        <v>56</v>
      </c>
      <c r="C746" s="8" t="s">
        <v>25</v>
      </c>
      <c r="D746" s="14">
        <v>6842</v>
      </c>
      <c r="E746" s="14">
        <v>67425</v>
      </c>
      <c r="F746" s="15">
        <v>69072</v>
      </c>
    </row>
    <row r="747" spans="1:6" x14ac:dyDescent="0.3">
      <c r="A747" s="7">
        <v>2019</v>
      </c>
      <c r="B747" s="8" t="s">
        <v>56</v>
      </c>
      <c r="C747" s="8" t="s">
        <v>26</v>
      </c>
      <c r="D747" s="14">
        <v>9324</v>
      </c>
      <c r="E747" s="14">
        <v>64932</v>
      </c>
      <c r="F747" s="15">
        <v>70204</v>
      </c>
    </row>
    <row r="748" spans="1:6" x14ac:dyDescent="0.3">
      <c r="A748" s="7">
        <v>2019</v>
      </c>
      <c r="B748" s="8" t="s">
        <v>56</v>
      </c>
      <c r="C748" s="8" t="s">
        <v>27</v>
      </c>
      <c r="D748" s="14">
        <v>3881</v>
      </c>
      <c r="E748" s="14">
        <v>33418</v>
      </c>
      <c r="F748" s="15">
        <v>100104</v>
      </c>
    </row>
    <row r="749" spans="1:6" x14ac:dyDescent="0.3">
      <c r="A749" s="7">
        <v>2019</v>
      </c>
      <c r="B749" s="8" t="s">
        <v>56</v>
      </c>
      <c r="C749" s="8" t="s">
        <v>28</v>
      </c>
      <c r="D749" s="14">
        <v>20037</v>
      </c>
      <c r="E749" s="14">
        <v>243892</v>
      </c>
      <c r="F749" s="15">
        <v>117277</v>
      </c>
    </row>
    <row r="750" spans="1:6" x14ac:dyDescent="0.3">
      <c r="A750" s="7">
        <v>2019</v>
      </c>
      <c r="B750" s="8" t="s">
        <v>56</v>
      </c>
      <c r="C750" s="8" t="s">
        <v>29</v>
      </c>
      <c r="D750" s="14">
        <v>5460</v>
      </c>
      <c r="E750" s="14">
        <v>33799</v>
      </c>
      <c r="F750" s="15">
        <v>57768</v>
      </c>
    </row>
    <row r="751" spans="1:6" x14ac:dyDescent="0.3">
      <c r="A751" s="7">
        <v>2019</v>
      </c>
      <c r="B751" s="8" t="s">
        <v>56</v>
      </c>
      <c r="C751" s="8" t="s">
        <v>30</v>
      </c>
      <c r="D751" s="14">
        <v>63310</v>
      </c>
      <c r="E751" s="14">
        <v>720818</v>
      </c>
      <c r="F751" s="15">
        <v>191494</v>
      </c>
    </row>
    <row r="752" spans="1:6" x14ac:dyDescent="0.3">
      <c r="A752" s="7">
        <v>2019</v>
      </c>
      <c r="B752" s="8" t="s">
        <v>56</v>
      </c>
      <c r="C752" s="8" t="s">
        <v>31</v>
      </c>
      <c r="D752" s="14">
        <v>28672</v>
      </c>
      <c r="E752" s="14">
        <v>245903</v>
      </c>
      <c r="F752" s="15">
        <v>89886</v>
      </c>
    </row>
    <row r="753" spans="1:6" x14ac:dyDescent="0.3">
      <c r="A753" s="7">
        <v>2019</v>
      </c>
      <c r="B753" s="8" t="s">
        <v>56</v>
      </c>
      <c r="C753" s="8" t="s">
        <v>32</v>
      </c>
      <c r="D753" s="14">
        <v>2985</v>
      </c>
      <c r="E753" s="14">
        <v>23264</v>
      </c>
      <c r="F753" s="15">
        <v>65784</v>
      </c>
    </row>
    <row r="754" spans="1:6" x14ac:dyDescent="0.3">
      <c r="A754" s="7">
        <v>2019</v>
      </c>
      <c r="B754" s="8" t="s">
        <v>56</v>
      </c>
      <c r="C754" s="8" t="s">
        <v>33</v>
      </c>
      <c r="D754" s="14">
        <v>29119</v>
      </c>
      <c r="E754" s="14">
        <v>292556</v>
      </c>
      <c r="F754" s="15">
        <v>75683</v>
      </c>
    </row>
    <row r="755" spans="1:6" x14ac:dyDescent="0.3">
      <c r="A755" s="7">
        <v>2019</v>
      </c>
      <c r="B755" s="8" t="s">
        <v>56</v>
      </c>
      <c r="C755" s="8" t="s">
        <v>34</v>
      </c>
      <c r="D755" s="14">
        <v>11672</v>
      </c>
      <c r="E755" s="14">
        <v>77324</v>
      </c>
      <c r="F755" s="15">
        <v>59814</v>
      </c>
    </row>
    <row r="756" spans="1:6" x14ac:dyDescent="0.3">
      <c r="A756" s="7">
        <v>2019</v>
      </c>
      <c r="B756" s="8" t="s">
        <v>56</v>
      </c>
      <c r="C756" s="8" t="s">
        <v>35</v>
      </c>
      <c r="D756" s="14">
        <v>13190</v>
      </c>
      <c r="E756" s="14">
        <v>85425</v>
      </c>
      <c r="F756" s="15">
        <v>73291</v>
      </c>
    </row>
    <row r="757" spans="1:6" x14ac:dyDescent="0.3">
      <c r="A757" s="7">
        <v>2019</v>
      </c>
      <c r="B757" s="8" t="s">
        <v>56</v>
      </c>
      <c r="C757" s="8" t="s">
        <v>36</v>
      </c>
      <c r="D757" s="14">
        <v>29264</v>
      </c>
      <c r="E757" s="14">
        <v>329745</v>
      </c>
      <c r="F757" s="15">
        <v>90778</v>
      </c>
    </row>
    <row r="758" spans="1:6" x14ac:dyDescent="0.3">
      <c r="A758" s="7">
        <v>2019</v>
      </c>
      <c r="B758" s="8" t="s">
        <v>56</v>
      </c>
      <c r="C758" s="8" t="s">
        <v>37</v>
      </c>
      <c r="D758" s="14">
        <v>2934</v>
      </c>
      <c r="E758" s="14">
        <v>32223</v>
      </c>
      <c r="F758" s="15">
        <v>91537</v>
      </c>
    </row>
    <row r="759" spans="1:6" x14ac:dyDescent="0.3">
      <c r="A759" s="7">
        <v>2019</v>
      </c>
      <c r="B759" s="8" t="s">
        <v>56</v>
      </c>
      <c r="C759" s="8" t="s">
        <v>38</v>
      </c>
      <c r="D759" s="14">
        <v>14196</v>
      </c>
      <c r="E759" s="14">
        <v>101755</v>
      </c>
      <c r="F759" s="15">
        <v>64481</v>
      </c>
    </row>
    <row r="760" spans="1:6" x14ac:dyDescent="0.3">
      <c r="A760" s="7">
        <v>2019</v>
      </c>
      <c r="B760" s="8" t="s">
        <v>56</v>
      </c>
      <c r="C760" s="8" t="s">
        <v>39</v>
      </c>
      <c r="D760" s="14">
        <v>3315</v>
      </c>
      <c r="E760" s="14">
        <v>28483</v>
      </c>
      <c r="F760" s="15">
        <v>63499</v>
      </c>
    </row>
    <row r="761" spans="1:6" x14ac:dyDescent="0.3">
      <c r="A761" s="7">
        <v>2019</v>
      </c>
      <c r="B761" s="8" t="s">
        <v>56</v>
      </c>
      <c r="C761" s="8" t="s">
        <v>40</v>
      </c>
      <c r="D761" s="14">
        <v>16270</v>
      </c>
      <c r="E761" s="14">
        <v>157388</v>
      </c>
      <c r="F761" s="15">
        <v>77805</v>
      </c>
    </row>
    <row r="762" spans="1:6" x14ac:dyDescent="0.3">
      <c r="A762" s="7">
        <v>2019</v>
      </c>
      <c r="B762" s="8" t="s">
        <v>56</v>
      </c>
      <c r="C762" s="8" t="s">
        <v>41</v>
      </c>
      <c r="D762" s="14">
        <v>76169</v>
      </c>
      <c r="E762" s="14">
        <v>777574</v>
      </c>
      <c r="F762" s="15">
        <v>86718</v>
      </c>
    </row>
    <row r="763" spans="1:6" x14ac:dyDescent="0.3">
      <c r="A763" s="7">
        <v>2019</v>
      </c>
      <c r="B763" s="8" t="s">
        <v>56</v>
      </c>
      <c r="C763" s="8" t="s">
        <v>42</v>
      </c>
      <c r="D763" s="14">
        <v>11885</v>
      </c>
      <c r="E763" s="14">
        <v>90007</v>
      </c>
      <c r="F763" s="15">
        <v>70967</v>
      </c>
    </row>
    <row r="764" spans="1:6" x14ac:dyDescent="0.3">
      <c r="A764" s="7">
        <v>2019</v>
      </c>
      <c r="B764" s="8" t="s">
        <v>56</v>
      </c>
      <c r="C764" s="8" t="s">
        <v>43</v>
      </c>
      <c r="D764" s="14">
        <v>1709</v>
      </c>
      <c r="E764" s="14">
        <v>11948</v>
      </c>
      <c r="F764" s="15">
        <v>74642</v>
      </c>
    </row>
    <row r="765" spans="1:6" x14ac:dyDescent="0.3">
      <c r="A765" s="7">
        <v>2019</v>
      </c>
      <c r="B765" s="8" t="s">
        <v>56</v>
      </c>
      <c r="C765" s="8" t="s">
        <v>44</v>
      </c>
      <c r="D765" s="14">
        <v>22249</v>
      </c>
      <c r="E765" s="14">
        <v>198459</v>
      </c>
      <c r="F765" s="15">
        <v>88029</v>
      </c>
    </row>
    <row r="766" spans="1:6" x14ac:dyDescent="0.3">
      <c r="A766" s="7">
        <v>2019</v>
      </c>
      <c r="B766" s="8" t="s">
        <v>56</v>
      </c>
      <c r="C766" s="8" t="s">
        <v>45</v>
      </c>
      <c r="D766" s="14">
        <v>17624</v>
      </c>
      <c r="E766" s="14">
        <v>150178</v>
      </c>
      <c r="F766" s="15">
        <v>85242</v>
      </c>
    </row>
    <row r="767" spans="1:6" x14ac:dyDescent="0.3">
      <c r="A767" s="7">
        <v>2019</v>
      </c>
      <c r="B767" s="8" t="s">
        <v>56</v>
      </c>
      <c r="C767" s="8" t="s">
        <v>46</v>
      </c>
      <c r="D767" s="14">
        <v>4003</v>
      </c>
      <c r="E767" s="14">
        <v>24569</v>
      </c>
      <c r="F767" s="15">
        <v>54528</v>
      </c>
    </row>
    <row r="768" spans="1:6" x14ac:dyDescent="0.3">
      <c r="A768" s="7">
        <v>2019</v>
      </c>
      <c r="B768" s="8" t="s">
        <v>56</v>
      </c>
      <c r="C768" s="8" t="s">
        <v>47</v>
      </c>
      <c r="D768" s="14">
        <v>14066</v>
      </c>
      <c r="E768" s="14">
        <v>150327</v>
      </c>
      <c r="F768" s="15">
        <v>74040</v>
      </c>
    </row>
    <row r="769" spans="1:6" x14ac:dyDescent="0.3">
      <c r="A769" s="7">
        <v>2019</v>
      </c>
      <c r="B769" s="8" t="s">
        <v>56</v>
      </c>
      <c r="C769" s="8" t="s">
        <v>48</v>
      </c>
      <c r="D769" s="14">
        <v>2306</v>
      </c>
      <c r="E769" s="14">
        <v>11180</v>
      </c>
      <c r="F769" s="15">
        <v>60849</v>
      </c>
    </row>
    <row r="770" spans="1:6" x14ac:dyDescent="0.3">
      <c r="A770" s="7">
        <v>2019</v>
      </c>
      <c r="B770" s="8" t="s">
        <v>57</v>
      </c>
      <c r="C770" s="8" t="s">
        <v>1</v>
      </c>
      <c r="D770" s="14">
        <v>22186</v>
      </c>
      <c r="E770" s="14">
        <v>251073</v>
      </c>
      <c r="F770" s="15">
        <v>57061</v>
      </c>
    </row>
    <row r="771" spans="1:6" x14ac:dyDescent="0.3">
      <c r="A771" s="7">
        <v>2019</v>
      </c>
      <c r="B771" s="8" t="s">
        <v>57</v>
      </c>
      <c r="C771" s="8" t="s">
        <v>2</v>
      </c>
      <c r="D771" s="14">
        <v>38940</v>
      </c>
      <c r="E771" s="14">
        <v>445648</v>
      </c>
      <c r="F771" s="15">
        <v>58892</v>
      </c>
    </row>
    <row r="772" spans="1:6" x14ac:dyDescent="0.3">
      <c r="A772" s="7">
        <v>2019</v>
      </c>
      <c r="B772" s="8" t="s">
        <v>57</v>
      </c>
      <c r="C772" s="8" t="s">
        <v>3</v>
      </c>
      <c r="D772" s="14">
        <v>14911</v>
      </c>
      <c r="E772" s="14">
        <v>145841</v>
      </c>
      <c r="F772" s="15">
        <v>63354</v>
      </c>
    </row>
    <row r="773" spans="1:6" x14ac:dyDescent="0.3">
      <c r="A773" s="7">
        <v>2019</v>
      </c>
      <c r="B773" s="8" t="s">
        <v>57</v>
      </c>
      <c r="C773" s="8" t="s">
        <v>4</v>
      </c>
      <c r="D773" s="14">
        <v>215691</v>
      </c>
      <c r="E773" s="14">
        <v>2723437</v>
      </c>
      <c r="F773" s="15">
        <v>95348</v>
      </c>
    </row>
    <row r="774" spans="1:6" x14ac:dyDescent="0.3">
      <c r="A774" s="7">
        <v>2019</v>
      </c>
      <c r="B774" s="8" t="s">
        <v>57</v>
      </c>
      <c r="C774" s="8" t="s">
        <v>5</v>
      </c>
      <c r="D774" s="14">
        <v>55003</v>
      </c>
      <c r="E774" s="14">
        <v>439613</v>
      </c>
      <c r="F774" s="15">
        <v>86477</v>
      </c>
    </row>
    <row r="775" spans="1:6" x14ac:dyDescent="0.3">
      <c r="A775" s="7">
        <v>2019</v>
      </c>
      <c r="B775" s="8" t="s">
        <v>57</v>
      </c>
      <c r="C775" s="8" t="s">
        <v>6</v>
      </c>
      <c r="D775" s="14">
        <v>23755</v>
      </c>
      <c r="E775" s="14">
        <v>218815</v>
      </c>
      <c r="F775" s="15">
        <v>92139</v>
      </c>
    </row>
    <row r="776" spans="1:6" x14ac:dyDescent="0.3">
      <c r="A776" s="7">
        <v>2019</v>
      </c>
      <c r="B776" s="8" t="s">
        <v>57</v>
      </c>
      <c r="C776" s="8" t="s">
        <v>7</v>
      </c>
      <c r="D776" s="14">
        <v>9421</v>
      </c>
      <c r="E776" s="14">
        <v>63844</v>
      </c>
      <c r="F776" s="15">
        <v>82658</v>
      </c>
    </row>
    <row r="777" spans="1:6" x14ac:dyDescent="0.3">
      <c r="A777" s="7">
        <v>2019</v>
      </c>
      <c r="B777" s="8" t="s">
        <v>57</v>
      </c>
      <c r="C777" s="8" t="s">
        <v>8</v>
      </c>
      <c r="D777" s="14">
        <v>170397</v>
      </c>
      <c r="E777" s="14">
        <v>1391050</v>
      </c>
      <c r="F777" s="15">
        <v>63740</v>
      </c>
    </row>
    <row r="778" spans="1:6" x14ac:dyDescent="0.3">
      <c r="A778" s="7">
        <v>2019</v>
      </c>
      <c r="B778" s="8" t="s">
        <v>57</v>
      </c>
      <c r="C778" s="8" t="s">
        <v>9</v>
      </c>
      <c r="D778" s="14">
        <v>56304</v>
      </c>
      <c r="E778" s="14">
        <v>717238</v>
      </c>
      <c r="F778" s="15">
        <v>71861</v>
      </c>
    </row>
    <row r="779" spans="1:6" x14ac:dyDescent="0.3">
      <c r="A779" s="7">
        <v>2019</v>
      </c>
      <c r="B779" s="8" t="s">
        <v>57</v>
      </c>
      <c r="C779" s="8" t="s">
        <v>10</v>
      </c>
      <c r="D779" s="14">
        <v>11359</v>
      </c>
      <c r="E779" s="14">
        <v>94181</v>
      </c>
      <c r="F779" s="15">
        <v>55072</v>
      </c>
    </row>
    <row r="780" spans="1:6" x14ac:dyDescent="0.3">
      <c r="A780" s="7">
        <v>2019</v>
      </c>
      <c r="B780" s="8" t="s">
        <v>57</v>
      </c>
      <c r="C780" s="8" t="s">
        <v>11</v>
      </c>
      <c r="D780" s="14">
        <v>75870</v>
      </c>
      <c r="E780" s="14">
        <v>948055</v>
      </c>
      <c r="F780" s="15">
        <v>78228</v>
      </c>
    </row>
    <row r="781" spans="1:6" x14ac:dyDescent="0.3">
      <c r="A781" s="7">
        <v>2019</v>
      </c>
      <c r="B781" s="8" t="s">
        <v>57</v>
      </c>
      <c r="C781" s="8" t="s">
        <v>12</v>
      </c>
      <c r="D781" s="14">
        <v>30165</v>
      </c>
      <c r="E781" s="14">
        <v>346667</v>
      </c>
      <c r="F781" s="15">
        <v>53817</v>
      </c>
    </row>
    <row r="782" spans="1:6" x14ac:dyDescent="0.3">
      <c r="A782" s="7">
        <v>2019</v>
      </c>
      <c r="B782" s="8" t="s">
        <v>57</v>
      </c>
      <c r="C782" s="8" t="s">
        <v>13</v>
      </c>
      <c r="D782" s="14">
        <v>16421</v>
      </c>
      <c r="E782" s="14">
        <v>139337</v>
      </c>
      <c r="F782" s="15">
        <v>56755</v>
      </c>
    </row>
    <row r="783" spans="1:6" x14ac:dyDescent="0.3">
      <c r="A783" s="7">
        <v>2019</v>
      </c>
      <c r="B783" s="8" t="s">
        <v>57</v>
      </c>
      <c r="C783" s="8" t="s">
        <v>14</v>
      </c>
      <c r="D783" s="14">
        <v>16598</v>
      </c>
      <c r="E783" s="14">
        <v>179211</v>
      </c>
      <c r="F783" s="15">
        <v>64554</v>
      </c>
    </row>
    <row r="784" spans="1:6" x14ac:dyDescent="0.3">
      <c r="A784" s="7">
        <v>2019</v>
      </c>
      <c r="B784" s="8" t="s">
        <v>57</v>
      </c>
      <c r="C784" s="8" t="s">
        <v>15</v>
      </c>
      <c r="D784" s="14">
        <v>20866</v>
      </c>
      <c r="E784" s="14">
        <v>216049</v>
      </c>
      <c r="F784" s="15">
        <v>52511</v>
      </c>
    </row>
    <row r="785" spans="1:6" x14ac:dyDescent="0.3">
      <c r="A785" s="7">
        <v>2019</v>
      </c>
      <c r="B785" s="8" t="s">
        <v>57</v>
      </c>
      <c r="C785" s="8" t="s">
        <v>16</v>
      </c>
      <c r="D785" s="14">
        <v>25304</v>
      </c>
      <c r="E785" s="14">
        <v>216009</v>
      </c>
      <c r="F785" s="15">
        <v>57624</v>
      </c>
    </row>
    <row r="786" spans="1:6" x14ac:dyDescent="0.3">
      <c r="A786" s="7">
        <v>2019</v>
      </c>
      <c r="B786" s="8" t="s">
        <v>57</v>
      </c>
      <c r="C786" s="8" t="s">
        <v>17</v>
      </c>
      <c r="D786" s="14">
        <v>10504</v>
      </c>
      <c r="E786" s="14">
        <v>69931</v>
      </c>
      <c r="F786" s="15">
        <v>60893</v>
      </c>
    </row>
    <row r="787" spans="1:6" x14ac:dyDescent="0.3">
      <c r="A787" s="7">
        <v>2019</v>
      </c>
      <c r="B787" s="8" t="s">
        <v>57</v>
      </c>
      <c r="C787" s="8" t="s">
        <v>18</v>
      </c>
      <c r="D787" s="14">
        <v>44172</v>
      </c>
      <c r="E787" s="14">
        <v>461724</v>
      </c>
      <c r="F787" s="15">
        <v>82573</v>
      </c>
    </row>
    <row r="788" spans="1:6" x14ac:dyDescent="0.3">
      <c r="A788" s="7">
        <v>2019</v>
      </c>
      <c r="B788" s="8" t="s">
        <v>57</v>
      </c>
      <c r="C788" s="8" t="s">
        <v>19</v>
      </c>
      <c r="D788" s="14">
        <v>47892</v>
      </c>
      <c r="E788" s="14">
        <v>605822</v>
      </c>
      <c r="F788" s="15">
        <v>113872</v>
      </c>
    </row>
    <row r="789" spans="1:6" x14ac:dyDescent="0.3">
      <c r="A789" s="7">
        <v>2019</v>
      </c>
      <c r="B789" s="8" t="s">
        <v>57</v>
      </c>
      <c r="C789" s="8" t="s">
        <v>20</v>
      </c>
      <c r="D789" s="14">
        <v>44483</v>
      </c>
      <c r="E789" s="14">
        <v>655188</v>
      </c>
      <c r="F789" s="15">
        <v>70805</v>
      </c>
    </row>
    <row r="790" spans="1:6" x14ac:dyDescent="0.3">
      <c r="A790" s="7">
        <v>2019</v>
      </c>
      <c r="B790" s="8" t="s">
        <v>57</v>
      </c>
      <c r="C790" s="8" t="s">
        <v>21</v>
      </c>
      <c r="D790" s="14">
        <v>32903</v>
      </c>
      <c r="E790" s="14">
        <v>383591</v>
      </c>
      <c r="F790" s="15">
        <v>85736</v>
      </c>
    </row>
    <row r="791" spans="1:6" x14ac:dyDescent="0.3">
      <c r="A791" s="7">
        <v>2019</v>
      </c>
      <c r="B791" s="8" t="s">
        <v>57</v>
      </c>
      <c r="C791" s="8" t="s">
        <v>22</v>
      </c>
      <c r="D791" s="14">
        <v>12421</v>
      </c>
      <c r="E791" s="14">
        <v>108490</v>
      </c>
      <c r="F791" s="15">
        <v>43023</v>
      </c>
    </row>
    <row r="792" spans="1:6" x14ac:dyDescent="0.3">
      <c r="A792" s="7">
        <v>2019</v>
      </c>
      <c r="B792" s="8" t="s">
        <v>57</v>
      </c>
      <c r="C792" s="8" t="s">
        <v>23</v>
      </c>
      <c r="D792" s="14">
        <v>34349</v>
      </c>
      <c r="E792" s="14">
        <v>382484</v>
      </c>
      <c r="F792" s="15">
        <v>68700</v>
      </c>
    </row>
    <row r="793" spans="1:6" x14ac:dyDescent="0.3">
      <c r="A793" s="7">
        <v>2019</v>
      </c>
      <c r="B793" s="8" t="s">
        <v>57</v>
      </c>
      <c r="C793" s="8" t="s">
        <v>24</v>
      </c>
      <c r="D793" s="14">
        <v>9482</v>
      </c>
      <c r="E793" s="14">
        <v>43417</v>
      </c>
      <c r="F793" s="15">
        <v>54553</v>
      </c>
    </row>
    <row r="794" spans="1:6" x14ac:dyDescent="0.3">
      <c r="A794" s="7">
        <v>2019</v>
      </c>
      <c r="B794" s="8" t="s">
        <v>57</v>
      </c>
      <c r="C794" s="8" t="s">
        <v>25</v>
      </c>
      <c r="D794" s="14">
        <v>11737</v>
      </c>
      <c r="E794" s="14">
        <v>120560</v>
      </c>
      <c r="F794" s="15">
        <v>60603</v>
      </c>
    </row>
    <row r="795" spans="1:6" x14ac:dyDescent="0.3">
      <c r="A795" s="7">
        <v>2019</v>
      </c>
      <c r="B795" s="8" t="s">
        <v>57</v>
      </c>
      <c r="C795" s="8" t="s">
        <v>26</v>
      </c>
      <c r="D795" s="14">
        <v>20106</v>
      </c>
      <c r="E795" s="14">
        <v>196204</v>
      </c>
      <c r="F795" s="15">
        <v>62008</v>
      </c>
    </row>
    <row r="796" spans="1:6" x14ac:dyDescent="0.3">
      <c r="A796" s="7">
        <v>2019</v>
      </c>
      <c r="B796" s="8" t="s">
        <v>57</v>
      </c>
      <c r="C796" s="8" t="s">
        <v>27</v>
      </c>
      <c r="D796" s="14">
        <v>12808</v>
      </c>
      <c r="E796" s="14">
        <v>83513</v>
      </c>
      <c r="F796" s="15">
        <v>80647</v>
      </c>
    </row>
    <row r="797" spans="1:6" x14ac:dyDescent="0.3">
      <c r="A797" s="7">
        <v>2019</v>
      </c>
      <c r="B797" s="8" t="s">
        <v>57</v>
      </c>
      <c r="C797" s="8" t="s">
        <v>28</v>
      </c>
      <c r="D797" s="14">
        <v>52040</v>
      </c>
      <c r="E797" s="14">
        <v>677810</v>
      </c>
      <c r="F797" s="15">
        <v>94022</v>
      </c>
    </row>
    <row r="798" spans="1:6" x14ac:dyDescent="0.3">
      <c r="A798" s="7">
        <v>2019</v>
      </c>
      <c r="B798" s="8" t="s">
        <v>57</v>
      </c>
      <c r="C798" s="8" t="s">
        <v>29</v>
      </c>
      <c r="D798" s="14">
        <v>11347</v>
      </c>
      <c r="E798" s="14">
        <v>111478</v>
      </c>
      <c r="F798" s="15">
        <v>64156</v>
      </c>
    </row>
    <row r="799" spans="1:6" x14ac:dyDescent="0.3">
      <c r="A799" s="7">
        <v>2019</v>
      </c>
      <c r="B799" s="8" t="s">
        <v>57</v>
      </c>
      <c r="C799" s="8" t="s">
        <v>30</v>
      </c>
      <c r="D799" s="14">
        <v>112890</v>
      </c>
      <c r="E799" s="14">
        <v>1368950</v>
      </c>
      <c r="F799" s="15">
        <v>99615</v>
      </c>
    </row>
    <row r="800" spans="1:6" x14ac:dyDescent="0.3">
      <c r="A800" s="7">
        <v>2019</v>
      </c>
      <c r="B800" s="8" t="s">
        <v>57</v>
      </c>
      <c r="C800" s="8" t="s">
        <v>31</v>
      </c>
      <c r="D800" s="14">
        <v>61321</v>
      </c>
      <c r="E800" s="14">
        <v>649747</v>
      </c>
      <c r="F800" s="15">
        <v>67705</v>
      </c>
    </row>
    <row r="801" spans="1:6" x14ac:dyDescent="0.3">
      <c r="A801" s="7">
        <v>2019</v>
      </c>
      <c r="B801" s="8" t="s">
        <v>57</v>
      </c>
      <c r="C801" s="8" t="s">
        <v>32</v>
      </c>
      <c r="D801" s="14">
        <v>5198</v>
      </c>
      <c r="E801" s="14">
        <v>32856</v>
      </c>
      <c r="F801" s="15">
        <v>63897</v>
      </c>
    </row>
    <row r="802" spans="1:6" x14ac:dyDescent="0.3">
      <c r="A802" s="7">
        <v>2019</v>
      </c>
      <c r="B802" s="8" t="s">
        <v>57</v>
      </c>
      <c r="C802" s="8" t="s">
        <v>33</v>
      </c>
      <c r="D802" s="14">
        <v>54330</v>
      </c>
      <c r="E802" s="14">
        <v>734963</v>
      </c>
      <c r="F802" s="15">
        <v>66752</v>
      </c>
    </row>
    <row r="803" spans="1:6" x14ac:dyDescent="0.3">
      <c r="A803" s="7">
        <v>2019</v>
      </c>
      <c r="B803" s="8" t="s">
        <v>57</v>
      </c>
      <c r="C803" s="8" t="s">
        <v>34</v>
      </c>
      <c r="D803" s="14">
        <v>21148</v>
      </c>
      <c r="E803" s="14">
        <v>194601</v>
      </c>
      <c r="F803" s="15">
        <v>54841</v>
      </c>
    </row>
    <row r="804" spans="1:6" x14ac:dyDescent="0.3">
      <c r="A804" s="7">
        <v>2019</v>
      </c>
      <c r="B804" s="8" t="s">
        <v>57</v>
      </c>
      <c r="C804" s="8" t="s">
        <v>35</v>
      </c>
      <c r="D804" s="14">
        <v>26161</v>
      </c>
      <c r="E804" s="14">
        <v>253667</v>
      </c>
      <c r="F804" s="15">
        <v>73460</v>
      </c>
    </row>
    <row r="805" spans="1:6" x14ac:dyDescent="0.3">
      <c r="A805" s="7">
        <v>2019</v>
      </c>
      <c r="B805" s="8" t="s">
        <v>57</v>
      </c>
      <c r="C805" s="8" t="s">
        <v>36</v>
      </c>
      <c r="D805" s="14">
        <v>64541</v>
      </c>
      <c r="E805" s="14">
        <v>816358</v>
      </c>
      <c r="F805" s="15">
        <v>81681</v>
      </c>
    </row>
    <row r="806" spans="1:6" x14ac:dyDescent="0.3">
      <c r="A806" s="7">
        <v>2019</v>
      </c>
      <c r="B806" s="8" t="s">
        <v>57</v>
      </c>
      <c r="C806" s="8" t="s">
        <v>37</v>
      </c>
      <c r="D806" s="14">
        <v>9043</v>
      </c>
      <c r="E806" s="14">
        <v>68259</v>
      </c>
      <c r="F806" s="15">
        <v>68454</v>
      </c>
    </row>
    <row r="807" spans="1:6" x14ac:dyDescent="0.3">
      <c r="A807" s="7">
        <v>2019</v>
      </c>
      <c r="B807" s="8" t="s">
        <v>57</v>
      </c>
      <c r="C807" s="8" t="s">
        <v>38</v>
      </c>
      <c r="D807" s="14">
        <v>29329</v>
      </c>
      <c r="E807" s="14">
        <v>298404</v>
      </c>
      <c r="F807" s="15">
        <v>52492</v>
      </c>
    </row>
    <row r="808" spans="1:6" x14ac:dyDescent="0.3">
      <c r="A808" s="7">
        <v>2019</v>
      </c>
      <c r="B808" s="8" t="s">
        <v>57</v>
      </c>
      <c r="C808" s="8" t="s">
        <v>39</v>
      </c>
      <c r="D808" s="14">
        <v>5498</v>
      </c>
      <c r="E808" s="14">
        <v>33117</v>
      </c>
      <c r="F808" s="15">
        <v>58619</v>
      </c>
    </row>
    <row r="809" spans="1:6" x14ac:dyDescent="0.3">
      <c r="A809" s="7">
        <v>2019</v>
      </c>
      <c r="B809" s="8" t="s">
        <v>57</v>
      </c>
      <c r="C809" s="8" t="s">
        <v>40</v>
      </c>
      <c r="D809" s="14">
        <v>30774</v>
      </c>
      <c r="E809" s="14">
        <v>425933</v>
      </c>
      <c r="F809" s="15">
        <v>62990</v>
      </c>
    </row>
    <row r="810" spans="1:6" x14ac:dyDescent="0.3">
      <c r="A810" s="7">
        <v>2019</v>
      </c>
      <c r="B810" s="8" t="s">
        <v>57</v>
      </c>
      <c r="C810" s="8" t="s">
        <v>41</v>
      </c>
      <c r="D810" s="14">
        <v>139953</v>
      </c>
      <c r="E810" s="14">
        <v>1794316</v>
      </c>
      <c r="F810" s="15">
        <v>77197</v>
      </c>
    </row>
    <row r="811" spans="1:6" x14ac:dyDescent="0.3">
      <c r="A811" s="7">
        <v>2019</v>
      </c>
      <c r="B811" s="8" t="s">
        <v>57</v>
      </c>
      <c r="C811" s="8" t="s">
        <v>42</v>
      </c>
      <c r="D811" s="14">
        <v>24485</v>
      </c>
      <c r="E811" s="14">
        <v>221851</v>
      </c>
      <c r="F811" s="15">
        <v>64641</v>
      </c>
    </row>
    <row r="812" spans="1:6" x14ac:dyDescent="0.3">
      <c r="A812" s="7">
        <v>2019</v>
      </c>
      <c r="B812" s="8" t="s">
        <v>57</v>
      </c>
      <c r="C812" s="8" t="s">
        <v>43</v>
      </c>
      <c r="D812" s="14">
        <v>5970</v>
      </c>
      <c r="E812" s="14">
        <v>29394</v>
      </c>
      <c r="F812" s="15">
        <v>68986</v>
      </c>
    </row>
    <row r="813" spans="1:6" x14ac:dyDescent="0.3">
      <c r="A813" s="7">
        <v>2019</v>
      </c>
      <c r="B813" s="8" t="s">
        <v>57</v>
      </c>
      <c r="C813" s="8" t="s">
        <v>44</v>
      </c>
      <c r="D813" s="14">
        <v>59342</v>
      </c>
      <c r="E813" s="14">
        <v>762590</v>
      </c>
      <c r="F813" s="15">
        <v>90327</v>
      </c>
    </row>
    <row r="814" spans="1:6" x14ac:dyDescent="0.3">
      <c r="A814" s="7">
        <v>2019</v>
      </c>
      <c r="B814" s="8" t="s">
        <v>57</v>
      </c>
      <c r="C814" s="8" t="s">
        <v>45</v>
      </c>
      <c r="D814" s="14">
        <v>41249</v>
      </c>
      <c r="E814" s="14">
        <v>425615</v>
      </c>
      <c r="F814" s="15">
        <v>85460</v>
      </c>
    </row>
    <row r="815" spans="1:6" x14ac:dyDescent="0.3">
      <c r="A815" s="7">
        <v>2019</v>
      </c>
      <c r="B815" s="8" t="s">
        <v>57</v>
      </c>
      <c r="C815" s="8" t="s">
        <v>46</v>
      </c>
      <c r="D815" s="14">
        <v>8381</v>
      </c>
      <c r="E815" s="14">
        <v>69069</v>
      </c>
      <c r="F815" s="15">
        <v>52180</v>
      </c>
    </row>
    <row r="816" spans="1:6" x14ac:dyDescent="0.3">
      <c r="A816" s="7">
        <v>2019</v>
      </c>
      <c r="B816" s="8" t="s">
        <v>57</v>
      </c>
      <c r="C816" s="8" t="s">
        <v>47</v>
      </c>
      <c r="D816" s="14">
        <v>26927</v>
      </c>
      <c r="E816" s="14">
        <v>326120</v>
      </c>
      <c r="F816" s="15">
        <v>63192</v>
      </c>
    </row>
    <row r="817" spans="1:6" x14ac:dyDescent="0.3">
      <c r="A817" s="7">
        <v>2019</v>
      </c>
      <c r="B817" s="8" t="s">
        <v>57</v>
      </c>
      <c r="C817" s="8" t="s">
        <v>48</v>
      </c>
      <c r="D817" s="14">
        <v>4728</v>
      </c>
      <c r="E817" s="14">
        <v>19196</v>
      </c>
      <c r="F817" s="15">
        <v>56253</v>
      </c>
    </row>
    <row r="818" spans="1:6" x14ac:dyDescent="0.3">
      <c r="A818" s="7">
        <v>2019</v>
      </c>
      <c r="B818" s="8" t="s">
        <v>58</v>
      </c>
      <c r="C818" s="8" t="s">
        <v>1</v>
      </c>
      <c r="D818" s="14">
        <v>13692</v>
      </c>
      <c r="E818" s="14">
        <v>238078</v>
      </c>
      <c r="F818" s="15">
        <v>47785</v>
      </c>
    </row>
    <row r="819" spans="1:6" x14ac:dyDescent="0.3">
      <c r="A819" s="7">
        <v>2019</v>
      </c>
      <c r="B819" s="8" t="s">
        <v>58</v>
      </c>
      <c r="C819" s="8" t="s">
        <v>2</v>
      </c>
      <c r="D819" s="14">
        <v>19924</v>
      </c>
      <c r="E819" s="14">
        <v>457984</v>
      </c>
      <c r="F819" s="15">
        <v>52632</v>
      </c>
    </row>
    <row r="820" spans="1:6" x14ac:dyDescent="0.3">
      <c r="A820" s="7">
        <v>2019</v>
      </c>
      <c r="B820" s="8" t="s">
        <v>58</v>
      </c>
      <c r="C820" s="8" t="s">
        <v>3</v>
      </c>
      <c r="D820" s="14">
        <v>15780</v>
      </c>
      <c r="E820" s="14">
        <v>187607</v>
      </c>
      <c r="F820" s="15">
        <v>43983</v>
      </c>
    </row>
    <row r="821" spans="1:6" x14ac:dyDescent="0.3">
      <c r="A821" s="7">
        <v>2019</v>
      </c>
      <c r="B821" s="8" t="s">
        <v>58</v>
      </c>
      <c r="C821" s="8" t="s">
        <v>4</v>
      </c>
      <c r="D821" s="14">
        <v>639529</v>
      </c>
      <c r="E821" s="14">
        <v>2734574</v>
      </c>
      <c r="F821" s="15">
        <v>53909</v>
      </c>
    </row>
    <row r="822" spans="1:6" x14ac:dyDescent="0.3">
      <c r="A822" s="7">
        <v>2019</v>
      </c>
      <c r="B822" s="8" t="s">
        <v>58</v>
      </c>
      <c r="C822" s="8" t="s">
        <v>5</v>
      </c>
      <c r="D822" s="14">
        <v>21747</v>
      </c>
      <c r="E822" s="14">
        <v>341496</v>
      </c>
      <c r="F822" s="15">
        <v>51600</v>
      </c>
    </row>
    <row r="823" spans="1:6" x14ac:dyDescent="0.3">
      <c r="A823" s="7">
        <v>2019</v>
      </c>
      <c r="B823" s="8" t="s">
        <v>58</v>
      </c>
      <c r="C823" s="8" t="s">
        <v>6</v>
      </c>
      <c r="D823" s="14">
        <v>13478</v>
      </c>
      <c r="E823" s="14">
        <v>330418</v>
      </c>
      <c r="F823" s="15">
        <v>57419</v>
      </c>
    </row>
    <row r="824" spans="1:6" x14ac:dyDescent="0.3">
      <c r="A824" s="7">
        <v>2019</v>
      </c>
      <c r="B824" s="8" t="s">
        <v>58</v>
      </c>
      <c r="C824" s="8" t="s">
        <v>7</v>
      </c>
      <c r="D824" s="14">
        <v>5386</v>
      </c>
      <c r="E824" s="14">
        <v>76932</v>
      </c>
      <c r="F824" s="15">
        <v>55284</v>
      </c>
    </row>
    <row r="825" spans="1:6" x14ac:dyDescent="0.3">
      <c r="A825" s="7">
        <v>2019</v>
      </c>
      <c r="B825" s="8" t="s">
        <v>58</v>
      </c>
      <c r="C825" s="8" t="s">
        <v>8</v>
      </c>
      <c r="D825" s="14">
        <v>76615</v>
      </c>
      <c r="E825" s="14">
        <v>1324281</v>
      </c>
      <c r="F825" s="15">
        <v>52039</v>
      </c>
    </row>
    <row r="826" spans="1:6" x14ac:dyDescent="0.3">
      <c r="A826" s="7">
        <v>2019</v>
      </c>
      <c r="B826" s="8" t="s">
        <v>58</v>
      </c>
      <c r="C826" s="8" t="s">
        <v>9</v>
      </c>
      <c r="D826" s="14">
        <v>29998</v>
      </c>
      <c r="E826" s="14">
        <v>580134</v>
      </c>
      <c r="F826" s="15">
        <v>53810</v>
      </c>
    </row>
    <row r="827" spans="1:6" x14ac:dyDescent="0.3">
      <c r="A827" s="7">
        <v>2019</v>
      </c>
      <c r="B827" s="8" t="s">
        <v>58</v>
      </c>
      <c r="C827" s="8" t="s">
        <v>10</v>
      </c>
      <c r="D827" s="14">
        <v>8163</v>
      </c>
      <c r="E827" s="14">
        <v>105424</v>
      </c>
      <c r="F827" s="15">
        <v>43475</v>
      </c>
    </row>
    <row r="828" spans="1:6" x14ac:dyDescent="0.3">
      <c r="A828" s="7">
        <v>2019</v>
      </c>
      <c r="B828" s="8" t="s">
        <v>58</v>
      </c>
      <c r="C828" s="8" t="s">
        <v>11</v>
      </c>
      <c r="D828" s="14">
        <v>35102</v>
      </c>
      <c r="E828" s="14">
        <v>924699</v>
      </c>
      <c r="F828" s="15">
        <v>52038</v>
      </c>
    </row>
    <row r="829" spans="1:6" x14ac:dyDescent="0.3">
      <c r="A829" s="7">
        <v>2019</v>
      </c>
      <c r="B829" s="8" t="s">
        <v>58</v>
      </c>
      <c r="C829" s="8" t="s">
        <v>12</v>
      </c>
      <c r="D829" s="14">
        <v>16247</v>
      </c>
      <c r="E829" s="14">
        <v>468491</v>
      </c>
      <c r="F829" s="15">
        <v>49107</v>
      </c>
    </row>
    <row r="830" spans="1:6" x14ac:dyDescent="0.3">
      <c r="A830" s="7">
        <v>2019</v>
      </c>
      <c r="B830" s="8" t="s">
        <v>58</v>
      </c>
      <c r="C830" s="8" t="s">
        <v>13</v>
      </c>
      <c r="D830" s="14">
        <v>11966</v>
      </c>
      <c r="E830" s="14">
        <v>219013</v>
      </c>
      <c r="F830" s="15">
        <v>44392</v>
      </c>
    </row>
    <row r="831" spans="1:6" x14ac:dyDescent="0.3">
      <c r="A831" s="7">
        <v>2019</v>
      </c>
      <c r="B831" s="8" t="s">
        <v>58</v>
      </c>
      <c r="C831" s="8" t="s">
        <v>14</v>
      </c>
      <c r="D831" s="14">
        <v>10085</v>
      </c>
      <c r="E831" s="14">
        <v>197874</v>
      </c>
      <c r="F831" s="15">
        <v>43909</v>
      </c>
    </row>
    <row r="832" spans="1:6" x14ac:dyDescent="0.3">
      <c r="A832" s="7">
        <v>2019</v>
      </c>
      <c r="B832" s="8" t="s">
        <v>58</v>
      </c>
      <c r="C832" s="8" t="s">
        <v>15</v>
      </c>
      <c r="D832" s="14">
        <v>18442</v>
      </c>
      <c r="E832" s="14">
        <v>272579</v>
      </c>
      <c r="F832" s="15">
        <v>49141</v>
      </c>
    </row>
    <row r="833" spans="1:6" x14ac:dyDescent="0.3">
      <c r="A833" s="7">
        <v>2019</v>
      </c>
      <c r="B833" s="8" t="s">
        <v>58</v>
      </c>
      <c r="C833" s="8" t="s">
        <v>16</v>
      </c>
      <c r="D833" s="14">
        <v>16110</v>
      </c>
      <c r="E833" s="14">
        <v>305742</v>
      </c>
      <c r="F833" s="15">
        <v>44832</v>
      </c>
    </row>
    <row r="834" spans="1:6" x14ac:dyDescent="0.3">
      <c r="A834" s="7">
        <v>2019</v>
      </c>
      <c r="B834" s="8" t="s">
        <v>58</v>
      </c>
      <c r="C834" s="8" t="s">
        <v>17</v>
      </c>
      <c r="D834" s="14">
        <v>5474</v>
      </c>
      <c r="E834" s="14">
        <v>120085</v>
      </c>
      <c r="F834" s="15">
        <v>49342</v>
      </c>
    </row>
    <row r="835" spans="1:6" x14ac:dyDescent="0.3">
      <c r="A835" s="7">
        <v>2019</v>
      </c>
      <c r="B835" s="8" t="s">
        <v>58</v>
      </c>
      <c r="C835" s="8" t="s">
        <v>18</v>
      </c>
      <c r="D835" s="14">
        <v>21419</v>
      </c>
      <c r="E835" s="14">
        <v>451332</v>
      </c>
      <c r="F835" s="15">
        <v>55476</v>
      </c>
    </row>
    <row r="836" spans="1:6" x14ac:dyDescent="0.3">
      <c r="A836" s="7">
        <v>2019</v>
      </c>
      <c r="B836" s="8" t="s">
        <v>58</v>
      </c>
      <c r="C836" s="8" t="s">
        <v>19</v>
      </c>
      <c r="D836" s="14">
        <v>68761</v>
      </c>
      <c r="E836" s="14">
        <v>790552</v>
      </c>
      <c r="F836" s="15">
        <v>59886</v>
      </c>
    </row>
    <row r="837" spans="1:6" x14ac:dyDescent="0.3">
      <c r="A837" s="7">
        <v>2019</v>
      </c>
      <c r="B837" s="8" t="s">
        <v>58</v>
      </c>
      <c r="C837" s="8" t="s">
        <v>20</v>
      </c>
      <c r="D837" s="14">
        <v>25357</v>
      </c>
      <c r="E837" s="14">
        <v>661203</v>
      </c>
      <c r="F837" s="15">
        <v>50845</v>
      </c>
    </row>
    <row r="838" spans="1:6" x14ac:dyDescent="0.3">
      <c r="A838" s="7">
        <v>2019</v>
      </c>
      <c r="B838" s="8" t="s">
        <v>58</v>
      </c>
      <c r="C838" s="8" t="s">
        <v>21</v>
      </c>
      <c r="D838" s="14">
        <v>20728</v>
      </c>
      <c r="E838" s="14">
        <v>530749</v>
      </c>
      <c r="F838" s="15">
        <v>52656</v>
      </c>
    </row>
    <row r="839" spans="1:6" x14ac:dyDescent="0.3">
      <c r="A839" s="7">
        <v>2019</v>
      </c>
      <c r="B839" s="8" t="s">
        <v>58</v>
      </c>
      <c r="C839" s="8" t="s">
        <v>22</v>
      </c>
      <c r="D839" s="14">
        <v>7557</v>
      </c>
      <c r="E839" s="14">
        <v>146077</v>
      </c>
      <c r="F839" s="15">
        <v>42620</v>
      </c>
    </row>
    <row r="840" spans="1:6" x14ac:dyDescent="0.3">
      <c r="A840" s="7">
        <v>2019</v>
      </c>
      <c r="B840" s="8" t="s">
        <v>58</v>
      </c>
      <c r="C840" s="8" t="s">
        <v>23</v>
      </c>
      <c r="D840" s="14">
        <v>52078</v>
      </c>
      <c r="E840" s="14">
        <v>462462</v>
      </c>
      <c r="F840" s="15">
        <v>47562</v>
      </c>
    </row>
    <row r="841" spans="1:6" x14ac:dyDescent="0.3">
      <c r="A841" s="7">
        <v>2019</v>
      </c>
      <c r="B841" s="8" t="s">
        <v>58</v>
      </c>
      <c r="C841" s="8" t="s">
        <v>24</v>
      </c>
      <c r="D841" s="14">
        <v>4834</v>
      </c>
      <c r="E841" s="14">
        <v>74646</v>
      </c>
      <c r="F841" s="15">
        <v>49258</v>
      </c>
    </row>
    <row r="842" spans="1:6" x14ac:dyDescent="0.3">
      <c r="A842" s="7">
        <v>2019</v>
      </c>
      <c r="B842" s="8" t="s">
        <v>58</v>
      </c>
      <c r="C842" s="8" t="s">
        <v>25</v>
      </c>
      <c r="D842" s="14">
        <v>11559</v>
      </c>
      <c r="E842" s="14">
        <v>139275</v>
      </c>
      <c r="F842" s="15">
        <v>48735</v>
      </c>
    </row>
    <row r="843" spans="1:6" x14ac:dyDescent="0.3">
      <c r="A843" s="7">
        <v>2019</v>
      </c>
      <c r="B843" s="8" t="s">
        <v>58</v>
      </c>
      <c r="C843" s="8" t="s">
        <v>26</v>
      </c>
      <c r="D843" s="14">
        <v>8934</v>
      </c>
      <c r="E843" s="14">
        <v>143417</v>
      </c>
      <c r="F843" s="15">
        <v>54808</v>
      </c>
    </row>
    <row r="844" spans="1:6" x14ac:dyDescent="0.3">
      <c r="A844" s="7">
        <v>2019</v>
      </c>
      <c r="B844" s="8" t="s">
        <v>58</v>
      </c>
      <c r="C844" s="8" t="s">
        <v>27</v>
      </c>
      <c r="D844" s="14">
        <v>4773</v>
      </c>
      <c r="E844" s="14">
        <v>114430</v>
      </c>
      <c r="F844" s="15">
        <v>58363</v>
      </c>
    </row>
    <row r="845" spans="1:6" x14ac:dyDescent="0.3">
      <c r="A845" s="7">
        <v>2019</v>
      </c>
      <c r="B845" s="8" t="s">
        <v>58</v>
      </c>
      <c r="C845" s="8" t="s">
        <v>28</v>
      </c>
      <c r="D845" s="14">
        <v>40687</v>
      </c>
      <c r="E845" s="14">
        <v>670070</v>
      </c>
      <c r="F845" s="15">
        <v>55124</v>
      </c>
    </row>
    <row r="846" spans="1:6" x14ac:dyDescent="0.3">
      <c r="A846" s="7">
        <v>2019</v>
      </c>
      <c r="B846" s="8" t="s">
        <v>58</v>
      </c>
      <c r="C846" s="8" t="s">
        <v>29</v>
      </c>
      <c r="D846" s="14">
        <v>10974</v>
      </c>
      <c r="E846" s="14">
        <v>130181</v>
      </c>
      <c r="F846" s="15">
        <v>42852</v>
      </c>
    </row>
    <row r="847" spans="1:6" x14ac:dyDescent="0.3">
      <c r="A847" s="7">
        <v>2019</v>
      </c>
      <c r="B847" s="8" t="s">
        <v>58</v>
      </c>
      <c r="C847" s="8" t="s">
        <v>30</v>
      </c>
      <c r="D847" s="14">
        <v>67202</v>
      </c>
      <c r="E847" s="14">
        <v>1981493</v>
      </c>
      <c r="F847" s="15">
        <v>54638</v>
      </c>
    </row>
    <row r="848" spans="1:6" x14ac:dyDescent="0.3">
      <c r="A848" s="7">
        <v>2019</v>
      </c>
      <c r="B848" s="8" t="s">
        <v>58</v>
      </c>
      <c r="C848" s="8" t="s">
        <v>31</v>
      </c>
      <c r="D848" s="14">
        <v>28199</v>
      </c>
      <c r="E848" s="14">
        <v>606564</v>
      </c>
      <c r="F848" s="15">
        <v>50123</v>
      </c>
    </row>
    <row r="849" spans="1:6" x14ac:dyDescent="0.3">
      <c r="A849" s="7">
        <v>2019</v>
      </c>
      <c r="B849" s="8" t="s">
        <v>58</v>
      </c>
      <c r="C849" s="8" t="s">
        <v>32</v>
      </c>
      <c r="D849" s="14">
        <v>2581</v>
      </c>
      <c r="E849" s="14">
        <v>65771</v>
      </c>
      <c r="F849" s="15">
        <v>52585</v>
      </c>
    </row>
    <row r="850" spans="1:6" x14ac:dyDescent="0.3">
      <c r="A850" s="7">
        <v>2019</v>
      </c>
      <c r="B850" s="8" t="s">
        <v>58</v>
      </c>
      <c r="C850" s="8" t="s">
        <v>33</v>
      </c>
      <c r="D850" s="14">
        <v>35525</v>
      </c>
      <c r="E850" s="14">
        <v>908891</v>
      </c>
      <c r="F850" s="15">
        <v>47891</v>
      </c>
    </row>
    <row r="851" spans="1:6" x14ac:dyDescent="0.3">
      <c r="A851" s="7">
        <v>2019</v>
      </c>
      <c r="B851" s="8" t="s">
        <v>58</v>
      </c>
      <c r="C851" s="8" t="s">
        <v>34</v>
      </c>
      <c r="D851" s="14">
        <v>13345</v>
      </c>
      <c r="E851" s="14">
        <v>213244</v>
      </c>
      <c r="F851" s="15">
        <v>46841</v>
      </c>
    </row>
    <row r="852" spans="1:6" x14ac:dyDescent="0.3">
      <c r="A852" s="7">
        <v>2019</v>
      </c>
      <c r="B852" s="8" t="s">
        <v>58</v>
      </c>
      <c r="C852" s="8" t="s">
        <v>35</v>
      </c>
      <c r="D852" s="14">
        <v>16113</v>
      </c>
      <c r="E852" s="14">
        <v>295311</v>
      </c>
      <c r="F852" s="15">
        <v>51842</v>
      </c>
    </row>
    <row r="853" spans="1:6" x14ac:dyDescent="0.3">
      <c r="A853" s="7">
        <v>2019</v>
      </c>
      <c r="B853" s="8" t="s">
        <v>58</v>
      </c>
      <c r="C853" s="8" t="s">
        <v>36</v>
      </c>
      <c r="D853" s="14">
        <v>57945</v>
      </c>
      <c r="E853" s="14">
        <v>1230922</v>
      </c>
      <c r="F853" s="15">
        <v>53416</v>
      </c>
    </row>
    <row r="854" spans="1:6" x14ac:dyDescent="0.3">
      <c r="A854" s="7">
        <v>2019</v>
      </c>
      <c r="B854" s="8" t="s">
        <v>58</v>
      </c>
      <c r="C854" s="8" t="s">
        <v>37</v>
      </c>
      <c r="D854" s="14">
        <v>4664</v>
      </c>
      <c r="E854" s="14">
        <v>102395</v>
      </c>
      <c r="F854" s="15">
        <v>50458</v>
      </c>
    </row>
    <row r="855" spans="1:6" x14ac:dyDescent="0.3">
      <c r="A855" s="7">
        <v>2019</v>
      </c>
      <c r="B855" s="8" t="s">
        <v>58</v>
      </c>
      <c r="C855" s="8" t="s">
        <v>38</v>
      </c>
      <c r="D855" s="14">
        <v>12757</v>
      </c>
      <c r="E855" s="14">
        <v>237600</v>
      </c>
      <c r="F855" s="15">
        <v>47296</v>
      </c>
    </row>
    <row r="856" spans="1:6" x14ac:dyDescent="0.3">
      <c r="A856" s="7">
        <v>2019</v>
      </c>
      <c r="B856" s="8" t="s">
        <v>58</v>
      </c>
      <c r="C856" s="8" t="s">
        <v>39</v>
      </c>
      <c r="D856" s="14">
        <v>2904</v>
      </c>
      <c r="E856" s="14">
        <v>68913</v>
      </c>
      <c r="F856" s="15">
        <v>52412</v>
      </c>
    </row>
    <row r="857" spans="1:6" x14ac:dyDescent="0.3">
      <c r="A857" s="7">
        <v>2019</v>
      </c>
      <c r="B857" s="8" t="s">
        <v>58</v>
      </c>
      <c r="C857" s="8" t="s">
        <v>40</v>
      </c>
      <c r="D857" s="14">
        <v>16563</v>
      </c>
      <c r="E857" s="14">
        <v>427328</v>
      </c>
      <c r="F857" s="15">
        <v>53183</v>
      </c>
    </row>
    <row r="858" spans="1:6" x14ac:dyDescent="0.3">
      <c r="A858" s="7">
        <v>2019</v>
      </c>
      <c r="B858" s="8" t="s">
        <v>58</v>
      </c>
      <c r="C858" s="8" t="s">
        <v>41</v>
      </c>
      <c r="D858" s="14">
        <v>94237</v>
      </c>
      <c r="E858" s="14">
        <v>1684606</v>
      </c>
      <c r="F858" s="15">
        <v>49322</v>
      </c>
    </row>
    <row r="859" spans="1:6" x14ac:dyDescent="0.3">
      <c r="A859" s="7">
        <v>2019</v>
      </c>
      <c r="B859" s="8" t="s">
        <v>58</v>
      </c>
      <c r="C859" s="8" t="s">
        <v>42</v>
      </c>
      <c r="D859" s="14">
        <v>12857</v>
      </c>
      <c r="E859" s="14">
        <v>193373</v>
      </c>
      <c r="F859" s="15">
        <v>44983</v>
      </c>
    </row>
    <row r="860" spans="1:6" x14ac:dyDescent="0.3">
      <c r="A860" s="7">
        <v>2019</v>
      </c>
      <c r="B860" s="8" t="s">
        <v>58</v>
      </c>
      <c r="C860" s="8" t="s">
        <v>43</v>
      </c>
      <c r="D860" s="14">
        <v>2503</v>
      </c>
      <c r="E860" s="14">
        <v>62317</v>
      </c>
      <c r="F860" s="15">
        <v>48501</v>
      </c>
    </row>
    <row r="861" spans="1:6" x14ac:dyDescent="0.3">
      <c r="A861" s="7">
        <v>2019</v>
      </c>
      <c r="B861" s="8" t="s">
        <v>58</v>
      </c>
      <c r="C861" s="8" t="s">
        <v>44</v>
      </c>
      <c r="D861" s="14">
        <v>50144</v>
      </c>
      <c r="E861" s="14">
        <v>517645</v>
      </c>
      <c r="F861" s="15">
        <v>50876</v>
      </c>
    </row>
    <row r="862" spans="1:6" x14ac:dyDescent="0.3">
      <c r="A862" s="7">
        <v>2019</v>
      </c>
      <c r="B862" s="8" t="s">
        <v>58</v>
      </c>
      <c r="C862" s="8" t="s">
        <v>45</v>
      </c>
      <c r="D862" s="14">
        <v>64023</v>
      </c>
      <c r="E862" s="14">
        <v>478274</v>
      </c>
      <c r="F862" s="15">
        <v>53267</v>
      </c>
    </row>
    <row r="863" spans="1:6" x14ac:dyDescent="0.3">
      <c r="A863" s="7">
        <v>2019</v>
      </c>
      <c r="B863" s="8" t="s">
        <v>58</v>
      </c>
      <c r="C863" s="8" t="s">
        <v>46</v>
      </c>
      <c r="D863" s="14">
        <v>5755</v>
      </c>
      <c r="E863" s="14">
        <v>125528</v>
      </c>
      <c r="F863" s="15">
        <v>47876</v>
      </c>
    </row>
    <row r="864" spans="1:6" x14ac:dyDescent="0.3">
      <c r="A864" s="7">
        <v>2019</v>
      </c>
      <c r="B864" s="8" t="s">
        <v>58</v>
      </c>
      <c r="C864" s="8" t="s">
        <v>47</v>
      </c>
      <c r="D864" s="14">
        <v>29257</v>
      </c>
      <c r="E864" s="14">
        <v>440255</v>
      </c>
      <c r="F864" s="15">
        <v>50951</v>
      </c>
    </row>
    <row r="865" spans="1:6" x14ac:dyDescent="0.3">
      <c r="A865" s="7">
        <v>2019</v>
      </c>
      <c r="B865" s="8" t="s">
        <v>58</v>
      </c>
      <c r="C865" s="8" t="s">
        <v>48</v>
      </c>
      <c r="D865" s="14">
        <v>3384</v>
      </c>
      <c r="E865" s="14">
        <v>27323</v>
      </c>
      <c r="F865" s="15">
        <v>44083</v>
      </c>
    </row>
    <row r="866" spans="1:6" x14ac:dyDescent="0.3">
      <c r="A866" s="7">
        <v>2019</v>
      </c>
      <c r="B866" s="8" t="s">
        <v>59</v>
      </c>
      <c r="C866" s="8" t="s">
        <v>1</v>
      </c>
      <c r="D866" s="14">
        <v>11180</v>
      </c>
      <c r="E866" s="14">
        <v>208446</v>
      </c>
      <c r="F866" s="15">
        <v>17618</v>
      </c>
    </row>
    <row r="867" spans="1:6" x14ac:dyDescent="0.3">
      <c r="A867" s="7">
        <v>2019</v>
      </c>
      <c r="B867" s="8" t="s">
        <v>59</v>
      </c>
      <c r="C867" s="8" t="s">
        <v>2</v>
      </c>
      <c r="D867" s="14">
        <v>14256</v>
      </c>
      <c r="E867" s="14">
        <v>331295</v>
      </c>
      <c r="F867" s="15">
        <v>25557</v>
      </c>
    </row>
    <row r="868" spans="1:6" x14ac:dyDescent="0.3">
      <c r="A868" s="7">
        <v>2019</v>
      </c>
      <c r="B868" s="8" t="s">
        <v>59</v>
      </c>
      <c r="C868" s="8" t="s">
        <v>3</v>
      </c>
      <c r="D868" s="14">
        <v>7315</v>
      </c>
      <c r="E868" s="14">
        <v>120644</v>
      </c>
      <c r="F868" s="15">
        <v>17299</v>
      </c>
    </row>
    <row r="869" spans="1:6" x14ac:dyDescent="0.3">
      <c r="A869" s="7">
        <v>2019</v>
      </c>
      <c r="B869" s="8" t="s">
        <v>59</v>
      </c>
      <c r="C869" s="8" t="s">
        <v>4</v>
      </c>
      <c r="D869" s="14">
        <v>116191</v>
      </c>
      <c r="E869" s="14">
        <v>2034920</v>
      </c>
      <c r="F869" s="15">
        <v>32379</v>
      </c>
    </row>
    <row r="870" spans="1:6" x14ac:dyDescent="0.3">
      <c r="A870" s="7">
        <v>2019</v>
      </c>
      <c r="B870" s="8" t="s">
        <v>59</v>
      </c>
      <c r="C870" s="8" t="s">
        <v>5</v>
      </c>
      <c r="D870" s="14">
        <v>17317</v>
      </c>
      <c r="E870" s="14">
        <v>344935</v>
      </c>
      <c r="F870" s="15">
        <v>27131</v>
      </c>
    </row>
    <row r="871" spans="1:6" x14ac:dyDescent="0.3">
      <c r="A871" s="7">
        <v>2019</v>
      </c>
      <c r="B871" s="8" t="s">
        <v>59</v>
      </c>
      <c r="C871" s="8" t="s">
        <v>6</v>
      </c>
      <c r="D871" s="14">
        <v>10917</v>
      </c>
      <c r="E871" s="14">
        <v>157574</v>
      </c>
      <c r="F871" s="15">
        <v>24451</v>
      </c>
    </row>
    <row r="872" spans="1:6" x14ac:dyDescent="0.3">
      <c r="A872" s="7">
        <v>2019</v>
      </c>
      <c r="B872" s="8" t="s">
        <v>59</v>
      </c>
      <c r="C872" s="8" t="s">
        <v>7</v>
      </c>
      <c r="D872" s="14">
        <v>2710</v>
      </c>
      <c r="E872" s="14">
        <v>53038</v>
      </c>
      <c r="F872" s="15">
        <v>21264</v>
      </c>
    </row>
    <row r="873" spans="1:6" x14ac:dyDescent="0.3">
      <c r="A873" s="7">
        <v>2019</v>
      </c>
      <c r="B873" s="8" t="s">
        <v>59</v>
      </c>
      <c r="C873" s="8" t="s">
        <v>8</v>
      </c>
      <c r="D873" s="14">
        <v>58596</v>
      </c>
      <c r="E873" s="14">
        <v>1257201</v>
      </c>
      <c r="F873" s="15">
        <v>26675</v>
      </c>
    </row>
    <row r="874" spans="1:6" x14ac:dyDescent="0.3">
      <c r="A874" s="7">
        <v>2019</v>
      </c>
      <c r="B874" s="8" t="s">
        <v>59</v>
      </c>
      <c r="C874" s="8" t="s">
        <v>9</v>
      </c>
      <c r="D874" s="14">
        <v>25254</v>
      </c>
      <c r="E874" s="14">
        <v>498529</v>
      </c>
      <c r="F874" s="15">
        <v>21342</v>
      </c>
    </row>
    <row r="875" spans="1:6" x14ac:dyDescent="0.3">
      <c r="A875" s="7">
        <v>2019</v>
      </c>
      <c r="B875" s="8" t="s">
        <v>59</v>
      </c>
      <c r="C875" s="8" t="s">
        <v>10</v>
      </c>
      <c r="D875" s="14">
        <v>5038</v>
      </c>
      <c r="E875" s="14">
        <v>82521</v>
      </c>
      <c r="F875" s="15">
        <v>17770</v>
      </c>
    </row>
    <row r="876" spans="1:6" x14ac:dyDescent="0.3">
      <c r="A876" s="7">
        <v>2019</v>
      </c>
      <c r="B876" s="8" t="s">
        <v>59</v>
      </c>
      <c r="C876" s="8" t="s">
        <v>11</v>
      </c>
      <c r="D876" s="14">
        <v>33183</v>
      </c>
      <c r="E876" s="14">
        <v>622987</v>
      </c>
      <c r="F876" s="15">
        <v>24703</v>
      </c>
    </row>
    <row r="877" spans="1:6" x14ac:dyDescent="0.3">
      <c r="A877" s="7">
        <v>2019</v>
      </c>
      <c r="B877" s="8" t="s">
        <v>59</v>
      </c>
      <c r="C877" s="8" t="s">
        <v>12</v>
      </c>
      <c r="D877" s="14">
        <v>15776</v>
      </c>
      <c r="E877" s="14">
        <v>313889</v>
      </c>
      <c r="F877" s="15">
        <v>19660</v>
      </c>
    </row>
    <row r="878" spans="1:6" x14ac:dyDescent="0.3">
      <c r="A878" s="7">
        <v>2019</v>
      </c>
      <c r="B878" s="8" t="s">
        <v>59</v>
      </c>
      <c r="C878" s="8" t="s">
        <v>13</v>
      </c>
      <c r="D878" s="14">
        <v>8796</v>
      </c>
      <c r="E878" s="14">
        <v>144265</v>
      </c>
      <c r="F878" s="15">
        <v>17261</v>
      </c>
    </row>
    <row r="879" spans="1:6" x14ac:dyDescent="0.3">
      <c r="A879" s="7">
        <v>2019</v>
      </c>
      <c r="B879" s="8" t="s">
        <v>59</v>
      </c>
      <c r="C879" s="8" t="s">
        <v>14</v>
      </c>
      <c r="D879" s="14">
        <v>6871</v>
      </c>
      <c r="E879" s="14">
        <v>130101</v>
      </c>
      <c r="F879" s="15">
        <v>17333</v>
      </c>
    </row>
    <row r="880" spans="1:6" x14ac:dyDescent="0.3">
      <c r="A880" s="7">
        <v>2019</v>
      </c>
      <c r="B880" s="8" t="s">
        <v>59</v>
      </c>
      <c r="C880" s="8" t="s">
        <v>15</v>
      </c>
      <c r="D880" s="14">
        <v>10118</v>
      </c>
      <c r="E880" s="14">
        <v>201748</v>
      </c>
      <c r="F880" s="15">
        <v>18350</v>
      </c>
    </row>
    <row r="881" spans="1:6" x14ac:dyDescent="0.3">
      <c r="A881" s="7">
        <v>2019</v>
      </c>
      <c r="B881" s="8" t="s">
        <v>59</v>
      </c>
      <c r="C881" s="8" t="s">
        <v>16</v>
      </c>
      <c r="D881" s="14">
        <v>12912</v>
      </c>
      <c r="E881" s="14">
        <v>237469</v>
      </c>
      <c r="F881" s="15">
        <v>21789</v>
      </c>
    </row>
    <row r="882" spans="1:6" x14ac:dyDescent="0.3">
      <c r="A882" s="7">
        <v>2019</v>
      </c>
      <c r="B882" s="8" t="s">
        <v>59</v>
      </c>
      <c r="C882" s="8" t="s">
        <v>17</v>
      </c>
      <c r="D882" s="14">
        <v>5132</v>
      </c>
      <c r="E882" s="14">
        <v>69501</v>
      </c>
      <c r="F882" s="15">
        <v>23169</v>
      </c>
    </row>
    <row r="883" spans="1:6" x14ac:dyDescent="0.3">
      <c r="A883" s="7">
        <v>2019</v>
      </c>
      <c r="B883" s="8" t="s">
        <v>59</v>
      </c>
      <c r="C883" s="8" t="s">
        <v>18</v>
      </c>
      <c r="D883" s="14">
        <v>15043</v>
      </c>
      <c r="E883" s="14">
        <v>282746</v>
      </c>
      <c r="F883" s="15">
        <v>24758</v>
      </c>
    </row>
    <row r="884" spans="1:6" x14ac:dyDescent="0.3">
      <c r="A884" s="7">
        <v>2019</v>
      </c>
      <c r="B884" s="8" t="s">
        <v>59</v>
      </c>
      <c r="C884" s="8" t="s">
        <v>19</v>
      </c>
      <c r="D884" s="14">
        <v>20740</v>
      </c>
      <c r="E884" s="14">
        <v>379863</v>
      </c>
      <c r="F884" s="15">
        <v>29500</v>
      </c>
    </row>
    <row r="885" spans="1:6" x14ac:dyDescent="0.3">
      <c r="A885" s="7">
        <v>2019</v>
      </c>
      <c r="B885" s="8" t="s">
        <v>59</v>
      </c>
      <c r="C885" s="8" t="s">
        <v>20</v>
      </c>
      <c r="D885" s="14">
        <v>23113</v>
      </c>
      <c r="E885" s="14">
        <v>434299</v>
      </c>
      <c r="F885" s="15">
        <v>21121</v>
      </c>
    </row>
    <row r="886" spans="1:6" x14ac:dyDescent="0.3">
      <c r="A886" s="7">
        <v>2019</v>
      </c>
      <c r="B886" s="8" t="s">
        <v>59</v>
      </c>
      <c r="C886" s="8" t="s">
        <v>21</v>
      </c>
      <c r="D886" s="14">
        <v>15325</v>
      </c>
      <c r="E886" s="14">
        <v>275608</v>
      </c>
      <c r="F886" s="15">
        <v>23261</v>
      </c>
    </row>
    <row r="887" spans="1:6" x14ac:dyDescent="0.3">
      <c r="A887" s="7">
        <v>2019</v>
      </c>
      <c r="B887" s="8" t="s">
        <v>59</v>
      </c>
      <c r="C887" s="8" t="s">
        <v>22</v>
      </c>
      <c r="D887" s="14">
        <v>6514</v>
      </c>
      <c r="E887" s="14">
        <v>136282</v>
      </c>
      <c r="F887" s="15">
        <v>17817</v>
      </c>
    </row>
    <row r="888" spans="1:6" x14ac:dyDescent="0.3">
      <c r="A888" s="7">
        <v>2019</v>
      </c>
      <c r="B888" s="8" t="s">
        <v>59</v>
      </c>
      <c r="C888" s="8" t="s">
        <v>23</v>
      </c>
      <c r="D888" s="14">
        <v>15195</v>
      </c>
      <c r="E888" s="14">
        <v>308646</v>
      </c>
      <c r="F888" s="15">
        <v>21614</v>
      </c>
    </row>
    <row r="889" spans="1:6" x14ac:dyDescent="0.3">
      <c r="A889" s="7">
        <v>2019</v>
      </c>
      <c r="B889" s="8" t="s">
        <v>59</v>
      </c>
      <c r="C889" s="8" t="s">
        <v>24</v>
      </c>
      <c r="D889" s="14">
        <v>5052</v>
      </c>
      <c r="E889" s="14">
        <v>67008</v>
      </c>
      <c r="F889" s="15">
        <v>19955</v>
      </c>
    </row>
    <row r="890" spans="1:6" x14ac:dyDescent="0.3">
      <c r="A890" s="7">
        <v>2019</v>
      </c>
      <c r="B890" s="8" t="s">
        <v>59</v>
      </c>
      <c r="C890" s="8" t="s">
        <v>25</v>
      </c>
      <c r="D890" s="14">
        <v>5609</v>
      </c>
      <c r="E890" s="14">
        <v>93856</v>
      </c>
      <c r="F890" s="15">
        <v>17213</v>
      </c>
    </row>
    <row r="891" spans="1:6" x14ac:dyDescent="0.3">
      <c r="A891" s="7">
        <v>2019</v>
      </c>
      <c r="B891" s="8" t="s">
        <v>59</v>
      </c>
      <c r="C891" s="8" t="s">
        <v>26</v>
      </c>
      <c r="D891" s="14">
        <v>8716</v>
      </c>
      <c r="E891" s="14">
        <v>355178</v>
      </c>
      <c r="F891" s="15">
        <v>34432</v>
      </c>
    </row>
    <row r="892" spans="1:6" x14ac:dyDescent="0.3">
      <c r="A892" s="7">
        <v>2019</v>
      </c>
      <c r="B892" s="8" t="s">
        <v>59</v>
      </c>
      <c r="C892" s="8" t="s">
        <v>27</v>
      </c>
      <c r="D892" s="14">
        <v>4675</v>
      </c>
      <c r="E892" s="14">
        <v>73214</v>
      </c>
      <c r="F892" s="15">
        <v>22783</v>
      </c>
    </row>
    <row r="893" spans="1:6" x14ac:dyDescent="0.3">
      <c r="A893" s="7">
        <v>2019</v>
      </c>
      <c r="B893" s="8" t="s">
        <v>59</v>
      </c>
      <c r="C893" s="8" t="s">
        <v>28</v>
      </c>
      <c r="D893" s="14">
        <v>24526</v>
      </c>
      <c r="E893" s="14">
        <v>391519</v>
      </c>
      <c r="F893" s="15">
        <v>26347</v>
      </c>
    </row>
    <row r="894" spans="1:6" x14ac:dyDescent="0.3">
      <c r="A894" s="7">
        <v>2019</v>
      </c>
      <c r="B894" s="8" t="s">
        <v>59</v>
      </c>
      <c r="C894" s="8" t="s">
        <v>29</v>
      </c>
      <c r="D894" s="14">
        <v>5277</v>
      </c>
      <c r="E894" s="14">
        <v>99656</v>
      </c>
      <c r="F894" s="15">
        <v>19571</v>
      </c>
    </row>
    <row r="895" spans="1:6" x14ac:dyDescent="0.3">
      <c r="A895" s="7">
        <v>2019</v>
      </c>
      <c r="B895" s="8" t="s">
        <v>59</v>
      </c>
      <c r="C895" s="8" t="s">
        <v>30</v>
      </c>
      <c r="D895" s="14">
        <v>65868</v>
      </c>
      <c r="E895" s="14">
        <v>957897</v>
      </c>
      <c r="F895" s="15">
        <v>35828</v>
      </c>
    </row>
    <row r="896" spans="1:6" x14ac:dyDescent="0.3">
      <c r="A896" s="7">
        <v>2019</v>
      </c>
      <c r="B896" s="8" t="s">
        <v>59</v>
      </c>
      <c r="C896" s="8" t="s">
        <v>31</v>
      </c>
      <c r="D896" s="14">
        <v>26474</v>
      </c>
      <c r="E896" s="14">
        <v>515152</v>
      </c>
      <c r="F896" s="15">
        <v>20460</v>
      </c>
    </row>
    <row r="897" spans="1:6" x14ac:dyDescent="0.3">
      <c r="A897" s="7">
        <v>2019</v>
      </c>
      <c r="B897" s="8" t="s">
        <v>59</v>
      </c>
      <c r="C897" s="8" t="s">
        <v>32</v>
      </c>
      <c r="D897" s="14">
        <v>2610</v>
      </c>
      <c r="E897" s="14">
        <v>40423</v>
      </c>
      <c r="F897" s="15">
        <v>18573</v>
      </c>
    </row>
    <row r="898" spans="1:6" x14ac:dyDescent="0.3">
      <c r="A898" s="7">
        <v>2019</v>
      </c>
      <c r="B898" s="8" t="s">
        <v>59</v>
      </c>
      <c r="C898" s="8" t="s">
        <v>33</v>
      </c>
      <c r="D898" s="14">
        <v>29035</v>
      </c>
      <c r="E898" s="14">
        <v>570254</v>
      </c>
      <c r="F898" s="15">
        <v>20197</v>
      </c>
    </row>
    <row r="899" spans="1:6" x14ac:dyDescent="0.3">
      <c r="A899" s="7">
        <v>2019</v>
      </c>
      <c r="B899" s="8" t="s">
        <v>59</v>
      </c>
      <c r="C899" s="8" t="s">
        <v>34</v>
      </c>
      <c r="D899" s="14">
        <v>9209</v>
      </c>
      <c r="E899" s="14">
        <v>174213</v>
      </c>
      <c r="F899" s="15">
        <v>18600</v>
      </c>
    </row>
    <row r="900" spans="1:6" x14ac:dyDescent="0.3">
      <c r="A900" s="7">
        <v>2019</v>
      </c>
      <c r="B900" s="8" t="s">
        <v>59</v>
      </c>
      <c r="C900" s="8" t="s">
        <v>35</v>
      </c>
      <c r="D900" s="14">
        <v>14116</v>
      </c>
      <c r="E900" s="14">
        <v>213454</v>
      </c>
      <c r="F900" s="15">
        <v>23818</v>
      </c>
    </row>
    <row r="901" spans="1:6" x14ac:dyDescent="0.3">
      <c r="A901" s="7">
        <v>2019</v>
      </c>
      <c r="B901" s="8" t="s">
        <v>59</v>
      </c>
      <c r="C901" s="8" t="s">
        <v>36</v>
      </c>
      <c r="D901" s="14">
        <v>33729</v>
      </c>
      <c r="E901" s="14">
        <v>577911</v>
      </c>
      <c r="F901" s="15">
        <v>22011</v>
      </c>
    </row>
    <row r="902" spans="1:6" x14ac:dyDescent="0.3">
      <c r="A902" s="7">
        <v>2019</v>
      </c>
      <c r="B902" s="8" t="s">
        <v>59</v>
      </c>
      <c r="C902" s="8" t="s">
        <v>37</v>
      </c>
      <c r="D902" s="14">
        <v>3873</v>
      </c>
      <c r="E902" s="14">
        <v>60008</v>
      </c>
      <c r="F902" s="15">
        <v>23680</v>
      </c>
    </row>
    <row r="903" spans="1:6" x14ac:dyDescent="0.3">
      <c r="A903" s="7">
        <v>2019</v>
      </c>
      <c r="B903" s="8" t="s">
        <v>59</v>
      </c>
      <c r="C903" s="8" t="s">
        <v>38</v>
      </c>
      <c r="D903" s="14">
        <v>13400</v>
      </c>
      <c r="E903" s="14">
        <v>270473</v>
      </c>
      <c r="F903" s="15">
        <v>18816</v>
      </c>
    </row>
    <row r="904" spans="1:6" x14ac:dyDescent="0.3">
      <c r="A904" s="7">
        <v>2019</v>
      </c>
      <c r="B904" s="8" t="s">
        <v>59</v>
      </c>
      <c r="C904" s="8" t="s">
        <v>39</v>
      </c>
      <c r="D904" s="14">
        <v>3191</v>
      </c>
      <c r="E904" s="14">
        <v>47413</v>
      </c>
      <c r="F904" s="15">
        <v>17519</v>
      </c>
    </row>
    <row r="905" spans="1:6" x14ac:dyDescent="0.3">
      <c r="A905" s="7">
        <v>2019</v>
      </c>
      <c r="B905" s="8" t="s">
        <v>59</v>
      </c>
      <c r="C905" s="8" t="s">
        <v>40</v>
      </c>
      <c r="D905" s="14">
        <v>16924</v>
      </c>
      <c r="E905" s="14">
        <v>347181</v>
      </c>
      <c r="F905" s="15">
        <v>23878</v>
      </c>
    </row>
    <row r="906" spans="1:6" x14ac:dyDescent="0.3">
      <c r="A906" s="7">
        <v>2019</v>
      </c>
      <c r="B906" s="8" t="s">
        <v>59</v>
      </c>
      <c r="C906" s="8" t="s">
        <v>41</v>
      </c>
      <c r="D906" s="14">
        <v>65057</v>
      </c>
      <c r="E906" s="14">
        <v>1394036</v>
      </c>
      <c r="F906" s="15">
        <v>22762</v>
      </c>
    </row>
    <row r="907" spans="1:6" x14ac:dyDescent="0.3">
      <c r="A907" s="7">
        <v>2019</v>
      </c>
      <c r="B907" s="8" t="s">
        <v>59</v>
      </c>
      <c r="C907" s="8" t="s">
        <v>42</v>
      </c>
      <c r="D907" s="14">
        <v>7570</v>
      </c>
      <c r="E907" s="14">
        <v>153412</v>
      </c>
      <c r="F907" s="15">
        <v>20955</v>
      </c>
    </row>
    <row r="908" spans="1:6" x14ac:dyDescent="0.3">
      <c r="A908" s="7">
        <v>2019</v>
      </c>
      <c r="B908" s="8" t="s">
        <v>59</v>
      </c>
      <c r="C908" s="8" t="s">
        <v>43</v>
      </c>
      <c r="D908" s="14">
        <v>2268</v>
      </c>
      <c r="E908" s="14">
        <v>37208</v>
      </c>
      <c r="F908" s="15">
        <v>23863</v>
      </c>
    </row>
    <row r="909" spans="1:6" x14ac:dyDescent="0.3">
      <c r="A909" s="7">
        <v>2019</v>
      </c>
      <c r="B909" s="8" t="s">
        <v>59</v>
      </c>
      <c r="C909" s="8" t="s">
        <v>44</v>
      </c>
      <c r="D909" s="14">
        <v>20743</v>
      </c>
      <c r="E909" s="14">
        <v>408354</v>
      </c>
      <c r="F909" s="15">
        <v>21582</v>
      </c>
    </row>
    <row r="910" spans="1:6" x14ac:dyDescent="0.3">
      <c r="A910" s="7">
        <v>2019</v>
      </c>
      <c r="B910" s="8" t="s">
        <v>59</v>
      </c>
      <c r="C910" s="8" t="s">
        <v>45</v>
      </c>
      <c r="D910" s="14">
        <v>20637</v>
      </c>
      <c r="E910" s="14">
        <v>341265</v>
      </c>
      <c r="F910" s="15">
        <v>26566</v>
      </c>
    </row>
    <row r="911" spans="1:6" x14ac:dyDescent="0.3">
      <c r="A911" s="7">
        <v>2019</v>
      </c>
      <c r="B911" s="8" t="s">
        <v>59</v>
      </c>
      <c r="C911" s="8" t="s">
        <v>46</v>
      </c>
      <c r="D911" s="14">
        <v>4658</v>
      </c>
      <c r="E911" s="14">
        <v>75027</v>
      </c>
      <c r="F911" s="15">
        <v>18256</v>
      </c>
    </row>
    <row r="912" spans="1:6" x14ac:dyDescent="0.3">
      <c r="A912" s="7">
        <v>2019</v>
      </c>
      <c r="B912" s="8" t="s">
        <v>59</v>
      </c>
      <c r="C912" s="8" t="s">
        <v>47</v>
      </c>
      <c r="D912" s="14">
        <v>17015</v>
      </c>
      <c r="E912" s="14">
        <v>285279</v>
      </c>
      <c r="F912" s="15">
        <v>18758</v>
      </c>
    </row>
    <row r="913" spans="1:6" x14ac:dyDescent="0.3">
      <c r="A913" s="7">
        <v>2019</v>
      </c>
      <c r="B913" s="8" t="s">
        <v>59</v>
      </c>
      <c r="C913" s="8" t="s">
        <v>48</v>
      </c>
      <c r="D913" s="14">
        <v>2398</v>
      </c>
      <c r="E913" s="14">
        <v>37041</v>
      </c>
      <c r="F913" s="15">
        <v>21994</v>
      </c>
    </row>
    <row r="914" spans="1:6" x14ac:dyDescent="0.3">
      <c r="A914" s="7">
        <v>2019</v>
      </c>
      <c r="B914" s="8" t="s">
        <v>60</v>
      </c>
      <c r="C914" s="8" t="s">
        <v>1</v>
      </c>
      <c r="D914" s="14">
        <v>10189</v>
      </c>
      <c r="E914" s="14">
        <v>46816</v>
      </c>
      <c r="F914" s="15">
        <v>38607</v>
      </c>
    </row>
    <row r="915" spans="1:6" x14ac:dyDescent="0.3">
      <c r="A915" s="7">
        <v>2019</v>
      </c>
      <c r="B915" s="8" t="s">
        <v>60</v>
      </c>
      <c r="C915" s="8" t="s">
        <v>2</v>
      </c>
      <c r="D915" s="14">
        <v>10674</v>
      </c>
      <c r="E915" s="14">
        <v>75782</v>
      </c>
      <c r="F915" s="15">
        <v>39965</v>
      </c>
    </row>
    <row r="916" spans="1:6" x14ac:dyDescent="0.3">
      <c r="A916" s="7">
        <v>2019</v>
      </c>
      <c r="B916" s="8" t="s">
        <v>60</v>
      </c>
      <c r="C916" s="8" t="s">
        <v>3</v>
      </c>
      <c r="D916" s="14">
        <v>5359</v>
      </c>
      <c r="E916" s="14">
        <v>25279</v>
      </c>
      <c r="F916" s="15">
        <v>36115</v>
      </c>
    </row>
    <row r="917" spans="1:6" x14ac:dyDescent="0.3">
      <c r="A917" s="7">
        <v>2019</v>
      </c>
      <c r="B917" s="8" t="s">
        <v>60</v>
      </c>
      <c r="C917" s="8" t="s">
        <v>4</v>
      </c>
      <c r="D917" s="14">
        <v>97442</v>
      </c>
      <c r="E917" s="14">
        <v>547972</v>
      </c>
      <c r="F917" s="15">
        <v>42293</v>
      </c>
    </row>
    <row r="918" spans="1:6" x14ac:dyDescent="0.3">
      <c r="A918" s="7">
        <v>2019</v>
      </c>
      <c r="B918" s="8" t="s">
        <v>60</v>
      </c>
      <c r="C918" s="8" t="s">
        <v>5</v>
      </c>
      <c r="D918" s="14">
        <v>17008</v>
      </c>
      <c r="E918" s="14">
        <v>84571</v>
      </c>
      <c r="F918" s="15">
        <v>42381</v>
      </c>
    </row>
    <row r="919" spans="1:6" x14ac:dyDescent="0.3">
      <c r="A919" s="7">
        <v>2019</v>
      </c>
      <c r="B919" s="8" t="s">
        <v>60</v>
      </c>
      <c r="C919" s="8" t="s">
        <v>6</v>
      </c>
      <c r="D919" s="14">
        <v>18146</v>
      </c>
      <c r="E919" s="14">
        <v>66497</v>
      </c>
      <c r="F919" s="15">
        <v>34861</v>
      </c>
    </row>
    <row r="920" spans="1:6" x14ac:dyDescent="0.3">
      <c r="A920" s="7">
        <v>2019</v>
      </c>
      <c r="B920" s="8" t="s">
        <v>60</v>
      </c>
      <c r="C920" s="8" t="s">
        <v>7</v>
      </c>
      <c r="D920" s="14">
        <v>2052</v>
      </c>
      <c r="E920" s="14">
        <v>12125</v>
      </c>
      <c r="F920" s="15">
        <v>35636</v>
      </c>
    </row>
    <row r="921" spans="1:6" x14ac:dyDescent="0.3">
      <c r="A921" s="7">
        <v>2019</v>
      </c>
      <c r="B921" s="8" t="s">
        <v>60</v>
      </c>
      <c r="C921" s="8" t="s">
        <v>8</v>
      </c>
      <c r="D921" s="14">
        <v>56765</v>
      </c>
      <c r="E921" s="14">
        <v>281975</v>
      </c>
      <c r="F921" s="15">
        <v>37969</v>
      </c>
    </row>
    <row r="922" spans="1:6" x14ac:dyDescent="0.3">
      <c r="A922" s="7">
        <v>2019</v>
      </c>
      <c r="B922" s="8" t="s">
        <v>60</v>
      </c>
      <c r="C922" s="8" t="s">
        <v>9</v>
      </c>
      <c r="D922" s="14">
        <v>18227</v>
      </c>
      <c r="E922" s="14">
        <v>111902</v>
      </c>
      <c r="F922" s="15">
        <v>37971</v>
      </c>
    </row>
    <row r="923" spans="1:6" x14ac:dyDescent="0.3">
      <c r="A923" s="7">
        <v>2019</v>
      </c>
      <c r="B923" s="8" t="s">
        <v>60</v>
      </c>
      <c r="C923" s="8" t="s">
        <v>10</v>
      </c>
      <c r="D923" s="14">
        <v>3845</v>
      </c>
      <c r="E923" s="14">
        <v>19414</v>
      </c>
      <c r="F923" s="15">
        <v>32615</v>
      </c>
    </row>
    <row r="924" spans="1:6" x14ac:dyDescent="0.3">
      <c r="A924" s="7">
        <v>2019</v>
      </c>
      <c r="B924" s="8" t="s">
        <v>60</v>
      </c>
      <c r="C924" s="8" t="s">
        <v>11</v>
      </c>
      <c r="D924" s="14">
        <v>39884</v>
      </c>
      <c r="E924" s="14">
        <v>209967</v>
      </c>
      <c r="F924" s="15">
        <v>43714</v>
      </c>
    </row>
    <row r="925" spans="1:6" x14ac:dyDescent="0.3">
      <c r="A925" s="7">
        <v>2019</v>
      </c>
      <c r="B925" s="8" t="s">
        <v>60</v>
      </c>
      <c r="C925" s="8" t="s">
        <v>12</v>
      </c>
      <c r="D925" s="14">
        <v>12916</v>
      </c>
      <c r="E925" s="14">
        <v>89273</v>
      </c>
      <c r="F925" s="15">
        <v>33759</v>
      </c>
    </row>
    <row r="926" spans="1:6" x14ac:dyDescent="0.3">
      <c r="A926" s="7">
        <v>2019</v>
      </c>
      <c r="B926" s="8" t="s">
        <v>60</v>
      </c>
      <c r="C926" s="8" t="s">
        <v>13</v>
      </c>
      <c r="D926" s="14">
        <v>8547</v>
      </c>
      <c r="E926" s="14">
        <v>42519</v>
      </c>
      <c r="F926" s="15">
        <v>36534</v>
      </c>
    </row>
    <row r="927" spans="1:6" x14ac:dyDescent="0.3">
      <c r="A927" s="7">
        <v>2019</v>
      </c>
      <c r="B927" s="8" t="s">
        <v>60</v>
      </c>
      <c r="C927" s="8" t="s">
        <v>14</v>
      </c>
      <c r="D927" s="14">
        <v>5938</v>
      </c>
      <c r="E927" s="14">
        <v>34833</v>
      </c>
      <c r="F927" s="15">
        <v>35624</v>
      </c>
    </row>
    <row r="928" spans="1:6" x14ac:dyDescent="0.3">
      <c r="A928" s="7">
        <v>2019</v>
      </c>
      <c r="B928" s="8" t="s">
        <v>60</v>
      </c>
      <c r="C928" s="8" t="s">
        <v>15</v>
      </c>
      <c r="D928" s="14">
        <v>10404</v>
      </c>
      <c r="E928" s="14">
        <v>46571</v>
      </c>
      <c r="F928" s="15">
        <v>34846</v>
      </c>
    </row>
    <row r="929" spans="1:6" x14ac:dyDescent="0.3">
      <c r="A929" s="7">
        <v>2019</v>
      </c>
      <c r="B929" s="8" t="s">
        <v>60</v>
      </c>
      <c r="C929" s="8" t="s">
        <v>16</v>
      </c>
      <c r="D929" s="14">
        <v>9280</v>
      </c>
      <c r="E929" s="14">
        <v>46391</v>
      </c>
      <c r="F929" s="15">
        <v>38963</v>
      </c>
    </row>
    <row r="930" spans="1:6" x14ac:dyDescent="0.3">
      <c r="A930" s="7">
        <v>2019</v>
      </c>
      <c r="B930" s="8" t="s">
        <v>60</v>
      </c>
      <c r="C930" s="8" t="s">
        <v>17</v>
      </c>
      <c r="D930" s="14">
        <v>3777</v>
      </c>
      <c r="E930" s="14">
        <v>17863</v>
      </c>
      <c r="F930" s="15">
        <v>35322</v>
      </c>
    </row>
    <row r="931" spans="1:6" x14ac:dyDescent="0.3">
      <c r="A931" s="7">
        <v>2019</v>
      </c>
      <c r="B931" s="8" t="s">
        <v>60</v>
      </c>
      <c r="C931" s="8" t="s">
        <v>18</v>
      </c>
      <c r="D931" s="14">
        <v>19358</v>
      </c>
      <c r="E931" s="14">
        <v>91545</v>
      </c>
      <c r="F931" s="15">
        <v>44150</v>
      </c>
    </row>
    <row r="932" spans="1:6" x14ac:dyDescent="0.3">
      <c r="A932" s="7">
        <v>2019</v>
      </c>
      <c r="B932" s="8" t="s">
        <v>60</v>
      </c>
      <c r="C932" s="8" t="s">
        <v>19</v>
      </c>
      <c r="D932" s="14">
        <v>22046</v>
      </c>
      <c r="E932" s="14">
        <v>121404</v>
      </c>
      <c r="F932" s="15">
        <v>40421</v>
      </c>
    </row>
    <row r="933" spans="1:6" x14ac:dyDescent="0.3">
      <c r="A933" s="7">
        <v>2019</v>
      </c>
      <c r="B933" s="8" t="s">
        <v>60</v>
      </c>
      <c r="C933" s="8" t="s">
        <v>20</v>
      </c>
      <c r="D933" s="14">
        <v>32480</v>
      </c>
      <c r="E933" s="14">
        <v>140352</v>
      </c>
      <c r="F933" s="15">
        <v>34330</v>
      </c>
    </row>
    <row r="934" spans="1:6" x14ac:dyDescent="0.3">
      <c r="A934" s="7">
        <v>2019</v>
      </c>
      <c r="B934" s="8" t="s">
        <v>60</v>
      </c>
      <c r="C934" s="8" t="s">
        <v>21</v>
      </c>
      <c r="D934" s="14">
        <v>17266</v>
      </c>
      <c r="E934" s="14">
        <v>91238</v>
      </c>
      <c r="F934" s="15">
        <v>35478</v>
      </c>
    </row>
    <row r="935" spans="1:6" x14ac:dyDescent="0.3">
      <c r="A935" s="7">
        <v>2019</v>
      </c>
      <c r="B935" s="8" t="s">
        <v>60</v>
      </c>
      <c r="C935" s="8" t="s">
        <v>22</v>
      </c>
      <c r="D935" s="14">
        <v>4589</v>
      </c>
      <c r="E935" s="14">
        <v>21043</v>
      </c>
      <c r="F935" s="15">
        <v>36243</v>
      </c>
    </row>
    <row r="936" spans="1:6" x14ac:dyDescent="0.3">
      <c r="A936" s="7">
        <v>2019</v>
      </c>
      <c r="B936" s="8" t="s">
        <v>60</v>
      </c>
      <c r="C936" s="8" t="s">
        <v>23</v>
      </c>
      <c r="D936" s="14">
        <v>13240</v>
      </c>
      <c r="E936" s="14">
        <v>75829</v>
      </c>
      <c r="F936" s="15">
        <v>35224</v>
      </c>
    </row>
    <row r="937" spans="1:6" x14ac:dyDescent="0.3">
      <c r="A937" s="7">
        <v>2019</v>
      </c>
      <c r="B937" s="8" t="s">
        <v>60</v>
      </c>
      <c r="C937" s="8" t="s">
        <v>24</v>
      </c>
      <c r="D937" s="14">
        <v>4153</v>
      </c>
      <c r="E937" s="14">
        <v>18442</v>
      </c>
      <c r="F937" s="15">
        <v>31791</v>
      </c>
    </row>
    <row r="938" spans="1:6" x14ac:dyDescent="0.3">
      <c r="A938" s="7">
        <v>2019</v>
      </c>
      <c r="B938" s="8" t="s">
        <v>60</v>
      </c>
      <c r="C938" s="8" t="s">
        <v>25</v>
      </c>
      <c r="D938" s="14">
        <v>4572</v>
      </c>
      <c r="E938" s="14">
        <v>25509</v>
      </c>
      <c r="F938" s="15">
        <v>33587</v>
      </c>
    </row>
    <row r="939" spans="1:6" x14ac:dyDescent="0.3">
      <c r="A939" s="7">
        <v>2019</v>
      </c>
      <c r="B939" s="8" t="s">
        <v>60</v>
      </c>
      <c r="C939" s="8" t="s">
        <v>26</v>
      </c>
      <c r="D939" s="14">
        <v>5140</v>
      </c>
      <c r="E939" s="14">
        <v>35449</v>
      </c>
      <c r="F939" s="15">
        <v>38479</v>
      </c>
    </row>
    <row r="940" spans="1:6" x14ac:dyDescent="0.3">
      <c r="A940" s="7">
        <v>2019</v>
      </c>
      <c r="B940" s="8" t="s">
        <v>60</v>
      </c>
      <c r="C940" s="8" t="s">
        <v>27</v>
      </c>
      <c r="D940" s="14">
        <v>4011</v>
      </c>
      <c r="E940" s="14">
        <v>21600</v>
      </c>
      <c r="F940" s="15">
        <v>39236</v>
      </c>
    </row>
    <row r="941" spans="1:6" x14ac:dyDescent="0.3">
      <c r="A941" s="7">
        <v>2019</v>
      </c>
      <c r="B941" s="8" t="s">
        <v>60</v>
      </c>
      <c r="C941" s="8" t="s">
        <v>28</v>
      </c>
      <c r="D941" s="14">
        <v>24469</v>
      </c>
      <c r="E941" s="14">
        <v>138255</v>
      </c>
      <c r="F941" s="15">
        <v>37373</v>
      </c>
    </row>
    <row r="942" spans="1:6" x14ac:dyDescent="0.3">
      <c r="A942" s="7">
        <v>2019</v>
      </c>
      <c r="B942" s="8" t="s">
        <v>60</v>
      </c>
      <c r="C942" s="8" t="s">
        <v>29</v>
      </c>
      <c r="D942" s="14">
        <v>4216</v>
      </c>
      <c r="E942" s="14">
        <v>21214</v>
      </c>
      <c r="F942" s="15">
        <v>35417</v>
      </c>
    </row>
    <row r="943" spans="1:6" x14ac:dyDescent="0.3">
      <c r="A943" s="7">
        <v>2019</v>
      </c>
      <c r="B943" s="8" t="s">
        <v>60</v>
      </c>
      <c r="C943" s="8" t="s">
        <v>30</v>
      </c>
      <c r="D943" s="14">
        <v>72430</v>
      </c>
      <c r="E943" s="14">
        <v>371218</v>
      </c>
      <c r="F943" s="15">
        <v>43410</v>
      </c>
    </row>
    <row r="944" spans="1:6" x14ac:dyDescent="0.3">
      <c r="A944" s="7">
        <v>2019</v>
      </c>
      <c r="B944" s="8" t="s">
        <v>60</v>
      </c>
      <c r="C944" s="8" t="s">
        <v>31</v>
      </c>
      <c r="D944" s="14">
        <v>24457</v>
      </c>
      <c r="E944" s="14">
        <v>115119</v>
      </c>
      <c r="F944" s="15">
        <v>36624</v>
      </c>
    </row>
    <row r="945" spans="1:6" x14ac:dyDescent="0.3">
      <c r="A945" s="7">
        <v>2019</v>
      </c>
      <c r="B945" s="8" t="s">
        <v>60</v>
      </c>
      <c r="C945" s="8" t="s">
        <v>32</v>
      </c>
      <c r="D945" s="14">
        <v>2047</v>
      </c>
      <c r="E945" s="14">
        <v>11337</v>
      </c>
      <c r="F945" s="15">
        <v>38696</v>
      </c>
    </row>
    <row r="946" spans="1:6" x14ac:dyDescent="0.3">
      <c r="A946" s="7">
        <v>2019</v>
      </c>
      <c r="B946" s="8" t="s">
        <v>60</v>
      </c>
      <c r="C946" s="8" t="s">
        <v>33</v>
      </c>
      <c r="D946" s="14">
        <v>23639</v>
      </c>
      <c r="E946" s="14">
        <v>157001</v>
      </c>
      <c r="F946" s="15">
        <v>35006</v>
      </c>
    </row>
    <row r="947" spans="1:6" x14ac:dyDescent="0.3">
      <c r="A947" s="7">
        <v>2019</v>
      </c>
      <c r="B947" s="8" t="s">
        <v>60</v>
      </c>
      <c r="C947" s="8" t="s">
        <v>34</v>
      </c>
      <c r="D947" s="14">
        <v>6589</v>
      </c>
      <c r="E947" s="14">
        <v>36706</v>
      </c>
      <c r="F947" s="15">
        <v>36151</v>
      </c>
    </row>
    <row r="948" spans="1:6" x14ac:dyDescent="0.3">
      <c r="A948" s="7">
        <v>2019</v>
      </c>
      <c r="B948" s="8" t="s">
        <v>60</v>
      </c>
      <c r="C948" s="8" t="s">
        <v>35</v>
      </c>
      <c r="D948" s="14">
        <v>25468</v>
      </c>
      <c r="E948" s="14">
        <v>78423</v>
      </c>
      <c r="F948" s="15">
        <v>35467</v>
      </c>
    </row>
    <row r="949" spans="1:6" x14ac:dyDescent="0.3">
      <c r="A949" s="7">
        <v>2019</v>
      </c>
      <c r="B949" s="8" t="s">
        <v>60</v>
      </c>
      <c r="C949" s="8" t="s">
        <v>36</v>
      </c>
      <c r="D949" s="14">
        <v>33082</v>
      </c>
      <c r="E949" s="14">
        <v>202171</v>
      </c>
      <c r="F949" s="15">
        <v>35131</v>
      </c>
    </row>
    <row r="950" spans="1:6" x14ac:dyDescent="0.3">
      <c r="A950" s="7">
        <v>2019</v>
      </c>
      <c r="B950" s="8" t="s">
        <v>60</v>
      </c>
      <c r="C950" s="8" t="s">
        <v>37</v>
      </c>
      <c r="D950" s="14">
        <v>3537</v>
      </c>
      <c r="E950" s="14">
        <v>18157</v>
      </c>
      <c r="F950" s="15">
        <v>34466</v>
      </c>
    </row>
    <row r="951" spans="1:6" x14ac:dyDescent="0.3">
      <c r="A951" s="7">
        <v>2019</v>
      </c>
      <c r="B951" s="8" t="s">
        <v>60</v>
      </c>
      <c r="C951" s="8" t="s">
        <v>38</v>
      </c>
      <c r="D951" s="14">
        <v>12142</v>
      </c>
      <c r="E951" s="14">
        <v>54906</v>
      </c>
      <c r="F951" s="15">
        <v>34386</v>
      </c>
    </row>
    <row r="952" spans="1:6" x14ac:dyDescent="0.3">
      <c r="A952" s="7">
        <v>2019</v>
      </c>
      <c r="B952" s="8" t="s">
        <v>60</v>
      </c>
      <c r="C952" s="8" t="s">
        <v>39</v>
      </c>
      <c r="D952" s="14">
        <v>2223</v>
      </c>
      <c r="E952" s="14">
        <v>11326</v>
      </c>
      <c r="F952" s="15">
        <v>34233</v>
      </c>
    </row>
    <row r="953" spans="1:6" x14ac:dyDescent="0.3">
      <c r="A953" s="7">
        <v>2019</v>
      </c>
      <c r="B953" s="8" t="s">
        <v>60</v>
      </c>
      <c r="C953" s="8" t="s">
        <v>40</v>
      </c>
      <c r="D953" s="14">
        <v>15931</v>
      </c>
      <c r="E953" s="14">
        <v>80484</v>
      </c>
      <c r="F953" s="15">
        <v>36227</v>
      </c>
    </row>
    <row r="954" spans="1:6" x14ac:dyDescent="0.3">
      <c r="A954" s="7">
        <v>2019</v>
      </c>
      <c r="B954" s="8" t="s">
        <v>60</v>
      </c>
      <c r="C954" s="8" t="s">
        <v>41</v>
      </c>
      <c r="D954" s="14">
        <v>57504</v>
      </c>
      <c r="E954" s="14">
        <v>343287</v>
      </c>
      <c r="F954" s="15">
        <v>41110</v>
      </c>
    </row>
    <row r="955" spans="1:6" x14ac:dyDescent="0.3">
      <c r="A955" s="7">
        <v>2019</v>
      </c>
      <c r="B955" s="8" t="s">
        <v>60</v>
      </c>
      <c r="C955" s="8" t="s">
        <v>42</v>
      </c>
      <c r="D955" s="14">
        <v>6492</v>
      </c>
      <c r="E955" s="14">
        <v>37200</v>
      </c>
      <c r="F955" s="15">
        <v>37389</v>
      </c>
    </row>
    <row r="956" spans="1:6" x14ac:dyDescent="0.3">
      <c r="A956" s="7">
        <v>2019</v>
      </c>
      <c r="B956" s="8" t="s">
        <v>60</v>
      </c>
      <c r="C956" s="8" t="s">
        <v>43</v>
      </c>
      <c r="D956" s="14">
        <v>1990</v>
      </c>
      <c r="E956" s="14">
        <v>8772</v>
      </c>
      <c r="F956" s="15">
        <v>37394</v>
      </c>
    </row>
    <row r="957" spans="1:6" x14ac:dyDescent="0.3">
      <c r="A957" s="7">
        <v>2019</v>
      </c>
      <c r="B957" s="8" t="s">
        <v>60</v>
      </c>
      <c r="C957" s="8" t="s">
        <v>44</v>
      </c>
      <c r="D957" s="14">
        <v>29777</v>
      </c>
      <c r="E957" s="14">
        <v>140456</v>
      </c>
      <c r="F957" s="15">
        <v>45136</v>
      </c>
    </row>
    <row r="958" spans="1:6" x14ac:dyDescent="0.3">
      <c r="A958" s="7">
        <v>2019</v>
      </c>
      <c r="B958" s="8" t="s">
        <v>60</v>
      </c>
      <c r="C958" s="8" t="s">
        <v>45</v>
      </c>
      <c r="D958" s="14">
        <v>19915</v>
      </c>
      <c r="E958" s="14">
        <v>102632</v>
      </c>
      <c r="F958" s="15">
        <v>42585</v>
      </c>
    </row>
    <row r="959" spans="1:6" x14ac:dyDescent="0.3">
      <c r="A959" s="7">
        <v>2019</v>
      </c>
      <c r="B959" s="8" t="s">
        <v>60</v>
      </c>
      <c r="C959" s="8" t="s">
        <v>46</v>
      </c>
      <c r="D959" s="14">
        <v>5797</v>
      </c>
      <c r="E959" s="14">
        <v>20164</v>
      </c>
      <c r="F959" s="15">
        <v>32080</v>
      </c>
    </row>
    <row r="960" spans="1:6" x14ac:dyDescent="0.3">
      <c r="A960" s="7">
        <v>2019</v>
      </c>
      <c r="B960" s="8" t="s">
        <v>60</v>
      </c>
      <c r="C960" s="8" t="s">
        <v>47</v>
      </c>
      <c r="D960" s="14">
        <v>13757</v>
      </c>
      <c r="E960" s="14">
        <v>84267</v>
      </c>
      <c r="F960" s="15">
        <v>31908</v>
      </c>
    </row>
    <row r="961" spans="1:6" x14ac:dyDescent="0.3">
      <c r="A961" s="7">
        <v>2019</v>
      </c>
      <c r="B961" s="8" t="s">
        <v>60</v>
      </c>
      <c r="C961" s="8" t="s">
        <v>48</v>
      </c>
      <c r="D961" s="14">
        <v>1655</v>
      </c>
      <c r="E961" s="14">
        <v>7188</v>
      </c>
      <c r="F961" s="15">
        <v>39255</v>
      </c>
    </row>
    <row r="962" spans="1:6" x14ac:dyDescent="0.3">
      <c r="A962" s="7">
        <v>2018</v>
      </c>
      <c r="B962" s="8" t="s">
        <v>55</v>
      </c>
      <c r="C962" s="8" t="s">
        <v>1</v>
      </c>
      <c r="D962" s="14">
        <v>1843</v>
      </c>
      <c r="E962" s="14">
        <v>18397</v>
      </c>
      <c r="F962" s="15">
        <v>56388</v>
      </c>
    </row>
    <row r="963" spans="1:6" x14ac:dyDescent="0.3">
      <c r="A963" s="7">
        <v>2018</v>
      </c>
      <c r="B963" s="8" t="s">
        <v>55</v>
      </c>
      <c r="C963" s="8" t="s">
        <v>2</v>
      </c>
      <c r="D963" s="14">
        <v>1328</v>
      </c>
      <c r="E963" s="14">
        <v>38653</v>
      </c>
      <c r="F963" s="15">
        <v>50854</v>
      </c>
    </row>
    <row r="964" spans="1:6" x14ac:dyDescent="0.3">
      <c r="A964" s="7">
        <v>2018</v>
      </c>
      <c r="B964" s="8" t="s">
        <v>55</v>
      </c>
      <c r="C964" s="8" t="s">
        <v>3</v>
      </c>
      <c r="D964" s="14">
        <v>2525</v>
      </c>
      <c r="E964" s="14">
        <v>16334</v>
      </c>
      <c r="F964" s="15">
        <v>47616</v>
      </c>
    </row>
    <row r="965" spans="1:6" x14ac:dyDescent="0.3">
      <c r="A965" s="7">
        <v>2018</v>
      </c>
      <c r="B965" s="8" t="s">
        <v>55</v>
      </c>
      <c r="C965" s="8" t="s">
        <v>4</v>
      </c>
      <c r="D965" s="14">
        <v>17605</v>
      </c>
      <c r="E965" s="14">
        <v>443542</v>
      </c>
      <c r="F965" s="15">
        <v>38595</v>
      </c>
    </row>
    <row r="966" spans="1:6" x14ac:dyDescent="0.3">
      <c r="A966" s="7">
        <v>2018</v>
      </c>
      <c r="B966" s="8" t="s">
        <v>55</v>
      </c>
      <c r="C966" s="8" t="s">
        <v>5</v>
      </c>
      <c r="D966" s="14">
        <v>3256</v>
      </c>
      <c r="E966" s="14">
        <v>46357</v>
      </c>
      <c r="F966" s="15">
        <v>88489</v>
      </c>
    </row>
    <row r="967" spans="1:6" x14ac:dyDescent="0.3">
      <c r="A967" s="7">
        <v>2018</v>
      </c>
      <c r="B967" s="8" t="s">
        <v>55</v>
      </c>
      <c r="C967" s="8" t="s">
        <v>6</v>
      </c>
      <c r="D967" s="8">
        <v>441</v>
      </c>
      <c r="E967" s="14">
        <v>5272</v>
      </c>
      <c r="F967" s="15">
        <v>40054</v>
      </c>
    </row>
    <row r="968" spans="1:6" x14ac:dyDescent="0.3">
      <c r="A968" s="7">
        <v>2018</v>
      </c>
      <c r="B968" s="8" t="s">
        <v>55</v>
      </c>
      <c r="C968" s="8" t="s">
        <v>7</v>
      </c>
      <c r="D968" s="8">
        <v>177</v>
      </c>
      <c r="E968" s="14">
        <v>1535</v>
      </c>
      <c r="F968" s="15">
        <v>39987</v>
      </c>
    </row>
    <row r="969" spans="1:6" x14ac:dyDescent="0.3">
      <c r="A969" s="7">
        <v>2018</v>
      </c>
      <c r="B969" s="8" t="s">
        <v>55</v>
      </c>
      <c r="C969" s="8" t="s">
        <v>8</v>
      </c>
      <c r="D969" s="14">
        <v>5289</v>
      </c>
      <c r="E969" s="14">
        <v>72507</v>
      </c>
      <c r="F969" s="15">
        <v>34681</v>
      </c>
    </row>
    <row r="970" spans="1:6" x14ac:dyDescent="0.3">
      <c r="A970" s="7">
        <v>2018</v>
      </c>
      <c r="B970" s="8" t="s">
        <v>55</v>
      </c>
      <c r="C970" s="8" t="s">
        <v>9</v>
      </c>
      <c r="D970" s="14">
        <v>2630</v>
      </c>
      <c r="E970" s="14">
        <v>29395</v>
      </c>
      <c r="F970" s="15">
        <v>42010</v>
      </c>
    </row>
    <row r="971" spans="1:6" x14ac:dyDescent="0.3">
      <c r="A971" s="7">
        <v>2018</v>
      </c>
      <c r="B971" s="8" t="s">
        <v>55</v>
      </c>
      <c r="C971" s="8" t="s">
        <v>10</v>
      </c>
      <c r="D971" s="14">
        <v>2500</v>
      </c>
      <c r="E971" s="14">
        <v>26636</v>
      </c>
      <c r="F971" s="15">
        <v>39998</v>
      </c>
    </row>
    <row r="972" spans="1:6" x14ac:dyDescent="0.3">
      <c r="A972" s="7">
        <v>2018</v>
      </c>
      <c r="B972" s="8" t="s">
        <v>55</v>
      </c>
      <c r="C972" s="8" t="s">
        <v>11</v>
      </c>
      <c r="D972" s="14">
        <v>2785</v>
      </c>
      <c r="E972" s="14">
        <v>26452</v>
      </c>
      <c r="F972" s="15">
        <v>50101</v>
      </c>
    </row>
    <row r="973" spans="1:6" x14ac:dyDescent="0.3">
      <c r="A973" s="7">
        <v>2018</v>
      </c>
      <c r="B973" s="8" t="s">
        <v>55</v>
      </c>
      <c r="C973" s="8" t="s">
        <v>12</v>
      </c>
      <c r="D973" s="14">
        <v>2217</v>
      </c>
      <c r="E973" s="14">
        <v>21236</v>
      </c>
      <c r="F973" s="15">
        <v>48605</v>
      </c>
    </row>
    <row r="974" spans="1:6" x14ac:dyDescent="0.3">
      <c r="A974" s="7">
        <v>2018</v>
      </c>
      <c r="B974" s="8" t="s">
        <v>55</v>
      </c>
      <c r="C974" s="8" t="s">
        <v>13</v>
      </c>
      <c r="D974" s="14">
        <v>2830</v>
      </c>
      <c r="E974" s="14">
        <v>23077</v>
      </c>
      <c r="F974" s="15">
        <v>42989</v>
      </c>
    </row>
    <row r="975" spans="1:6" x14ac:dyDescent="0.3">
      <c r="A975" s="7">
        <v>2018</v>
      </c>
      <c r="B975" s="8" t="s">
        <v>55</v>
      </c>
      <c r="C975" s="8" t="s">
        <v>14</v>
      </c>
      <c r="D975" s="14">
        <v>2658</v>
      </c>
      <c r="E975" s="14">
        <v>19284</v>
      </c>
      <c r="F975" s="15">
        <v>47004</v>
      </c>
    </row>
    <row r="976" spans="1:6" x14ac:dyDescent="0.3">
      <c r="A976" s="7">
        <v>2018</v>
      </c>
      <c r="B976" s="8" t="s">
        <v>55</v>
      </c>
      <c r="C976" s="8" t="s">
        <v>15</v>
      </c>
      <c r="D976" s="14">
        <v>1559</v>
      </c>
      <c r="E976" s="14">
        <v>18569</v>
      </c>
      <c r="F976" s="15">
        <v>56223</v>
      </c>
    </row>
    <row r="977" spans="1:6" x14ac:dyDescent="0.3">
      <c r="A977" s="7">
        <v>2018</v>
      </c>
      <c r="B977" s="8" t="s">
        <v>55</v>
      </c>
      <c r="C977" s="8" t="s">
        <v>16</v>
      </c>
      <c r="D977" s="14">
        <v>3089</v>
      </c>
      <c r="E977" s="14">
        <v>43598</v>
      </c>
      <c r="F977" s="15">
        <v>84277</v>
      </c>
    </row>
    <row r="978" spans="1:6" x14ac:dyDescent="0.3">
      <c r="A978" s="7">
        <v>2018</v>
      </c>
      <c r="B978" s="8" t="s">
        <v>55</v>
      </c>
      <c r="C978" s="8" t="s">
        <v>17</v>
      </c>
      <c r="D978" s="14">
        <v>1372</v>
      </c>
      <c r="E978" s="14">
        <v>7143</v>
      </c>
      <c r="F978" s="15">
        <v>41187</v>
      </c>
    </row>
    <row r="979" spans="1:6" x14ac:dyDescent="0.3">
      <c r="A979" s="7">
        <v>2018</v>
      </c>
      <c r="B979" s="8" t="s">
        <v>55</v>
      </c>
      <c r="C979" s="8" t="s">
        <v>18</v>
      </c>
      <c r="D979" s="8">
        <v>723</v>
      </c>
      <c r="E979" s="14">
        <v>6447</v>
      </c>
      <c r="F979" s="15">
        <v>43100</v>
      </c>
    </row>
    <row r="980" spans="1:6" x14ac:dyDescent="0.3">
      <c r="A980" s="7">
        <v>2018</v>
      </c>
      <c r="B980" s="8" t="s">
        <v>55</v>
      </c>
      <c r="C980" s="8" t="s">
        <v>19</v>
      </c>
      <c r="D980" s="8">
        <v>985</v>
      </c>
      <c r="E980" s="14">
        <v>9626</v>
      </c>
      <c r="F980" s="15">
        <v>61244</v>
      </c>
    </row>
    <row r="981" spans="1:6" x14ac:dyDescent="0.3">
      <c r="A981" s="7">
        <v>2018</v>
      </c>
      <c r="B981" s="8" t="s">
        <v>55</v>
      </c>
      <c r="C981" s="8" t="s">
        <v>20</v>
      </c>
      <c r="D981" s="14">
        <v>3282</v>
      </c>
      <c r="E981" s="14">
        <v>35874</v>
      </c>
      <c r="F981" s="15">
        <v>40516</v>
      </c>
    </row>
    <row r="982" spans="1:6" x14ac:dyDescent="0.3">
      <c r="A982" s="7">
        <v>2018</v>
      </c>
      <c r="B982" s="8" t="s">
        <v>55</v>
      </c>
      <c r="C982" s="8" t="s">
        <v>21</v>
      </c>
      <c r="D982" s="14">
        <v>3071</v>
      </c>
      <c r="E982" s="14">
        <v>27642</v>
      </c>
      <c r="F982" s="15">
        <v>50521</v>
      </c>
    </row>
    <row r="983" spans="1:6" x14ac:dyDescent="0.3">
      <c r="A983" s="7">
        <v>2018</v>
      </c>
      <c r="B983" s="8" t="s">
        <v>55</v>
      </c>
      <c r="C983" s="8" t="s">
        <v>22</v>
      </c>
      <c r="D983" s="14">
        <v>2153</v>
      </c>
      <c r="E983" s="14">
        <v>16234</v>
      </c>
      <c r="F983" s="15">
        <v>47028</v>
      </c>
    </row>
    <row r="984" spans="1:6" x14ac:dyDescent="0.3">
      <c r="A984" s="7">
        <v>2018</v>
      </c>
      <c r="B984" s="8" t="s">
        <v>55</v>
      </c>
      <c r="C984" s="8" t="s">
        <v>23</v>
      </c>
      <c r="D984" s="14">
        <v>1935</v>
      </c>
      <c r="E984" s="14">
        <v>16642</v>
      </c>
      <c r="F984" s="15">
        <v>43331</v>
      </c>
    </row>
    <row r="985" spans="1:6" x14ac:dyDescent="0.3">
      <c r="A985" s="7">
        <v>2018</v>
      </c>
      <c r="B985" s="8" t="s">
        <v>55</v>
      </c>
      <c r="C985" s="8" t="s">
        <v>24</v>
      </c>
      <c r="D985" s="14">
        <v>1771</v>
      </c>
      <c r="E985" s="14">
        <v>12503</v>
      </c>
      <c r="F985" s="15">
        <v>67090</v>
      </c>
    </row>
    <row r="986" spans="1:6" x14ac:dyDescent="0.3">
      <c r="A986" s="7">
        <v>2018</v>
      </c>
      <c r="B986" s="8" t="s">
        <v>55</v>
      </c>
      <c r="C986" s="8" t="s">
        <v>25</v>
      </c>
      <c r="D986" s="14">
        <v>2378</v>
      </c>
      <c r="E986" s="14">
        <v>15823</v>
      </c>
      <c r="F986" s="15">
        <v>41084</v>
      </c>
    </row>
    <row r="987" spans="1:6" x14ac:dyDescent="0.3">
      <c r="A987" s="7">
        <v>2018</v>
      </c>
      <c r="B987" s="8" t="s">
        <v>55</v>
      </c>
      <c r="C987" s="8" t="s">
        <v>26</v>
      </c>
      <c r="D987" s="8">
        <v>641</v>
      </c>
      <c r="E987" s="14">
        <v>19336</v>
      </c>
      <c r="F987" s="15">
        <v>82872</v>
      </c>
    </row>
    <row r="988" spans="1:6" x14ac:dyDescent="0.3">
      <c r="A988" s="7">
        <v>2018</v>
      </c>
      <c r="B988" s="8" t="s">
        <v>55</v>
      </c>
      <c r="C988" s="8" t="s">
        <v>27</v>
      </c>
      <c r="D988" s="8">
        <v>344</v>
      </c>
      <c r="E988" s="14">
        <v>2619</v>
      </c>
      <c r="F988" s="15">
        <v>42081</v>
      </c>
    </row>
    <row r="989" spans="1:6" x14ac:dyDescent="0.3">
      <c r="A989" s="7">
        <v>2018</v>
      </c>
      <c r="B989" s="8" t="s">
        <v>55</v>
      </c>
      <c r="C989" s="8" t="s">
        <v>28</v>
      </c>
      <c r="D989" s="14">
        <v>1003</v>
      </c>
      <c r="E989" s="14">
        <v>12165</v>
      </c>
      <c r="F989" s="15">
        <v>39981</v>
      </c>
    </row>
    <row r="990" spans="1:6" x14ac:dyDescent="0.3">
      <c r="A990" s="7">
        <v>2018</v>
      </c>
      <c r="B990" s="8" t="s">
        <v>55</v>
      </c>
      <c r="C990" s="8" t="s">
        <v>29</v>
      </c>
      <c r="D990" s="14">
        <v>2007</v>
      </c>
      <c r="E990" s="14">
        <v>35856</v>
      </c>
      <c r="F990" s="15">
        <v>64393</v>
      </c>
    </row>
    <row r="991" spans="1:6" x14ac:dyDescent="0.3">
      <c r="A991" s="7">
        <v>2018</v>
      </c>
      <c r="B991" s="8" t="s">
        <v>55</v>
      </c>
      <c r="C991" s="8" t="s">
        <v>30</v>
      </c>
      <c r="D991" s="14">
        <v>3062</v>
      </c>
      <c r="E991" s="14">
        <v>31787</v>
      </c>
      <c r="F991" s="15">
        <v>41230</v>
      </c>
    </row>
    <row r="992" spans="1:6" x14ac:dyDescent="0.3">
      <c r="A992" s="7">
        <v>2018</v>
      </c>
      <c r="B992" s="8" t="s">
        <v>55</v>
      </c>
      <c r="C992" s="8" t="s">
        <v>31</v>
      </c>
      <c r="D992" s="14">
        <v>3330</v>
      </c>
      <c r="E992" s="14">
        <v>30208</v>
      </c>
      <c r="F992" s="15">
        <v>39062</v>
      </c>
    </row>
    <row r="993" spans="1:6" x14ac:dyDescent="0.3">
      <c r="A993" s="7">
        <v>2018</v>
      </c>
      <c r="B993" s="8" t="s">
        <v>55</v>
      </c>
      <c r="C993" s="8" t="s">
        <v>32</v>
      </c>
      <c r="D993" s="14">
        <v>1766</v>
      </c>
      <c r="E993" s="14">
        <v>25422</v>
      </c>
      <c r="F993" s="15">
        <v>95073</v>
      </c>
    </row>
    <row r="994" spans="1:6" x14ac:dyDescent="0.3">
      <c r="A994" s="7">
        <v>2018</v>
      </c>
      <c r="B994" s="8" t="s">
        <v>55</v>
      </c>
      <c r="C994" s="8" t="s">
        <v>33</v>
      </c>
      <c r="D994" s="14">
        <v>2470</v>
      </c>
      <c r="E994" s="14">
        <v>28520</v>
      </c>
      <c r="F994" s="15">
        <v>51145</v>
      </c>
    </row>
    <row r="995" spans="1:6" x14ac:dyDescent="0.3">
      <c r="A995" s="7">
        <v>2018</v>
      </c>
      <c r="B995" s="8" t="s">
        <v>55</v>
      </c>
      <c r="C995" s="8" t="s">
        <v>34</v>
      </c>
      <c r="D995" s="14">
        <v>4348</v>
      </c>
      <c r="E995" s="14">
        <v>64020</v>
      </c>
      <c r="F995" s="15">
        <v>91135</v>
      </c>
    </row>
    <row r="996" spans="1:6" x14ac:dyDescent="0.3">
      <c r="A996" s="7">
        <v>2018</v>
      </c>
      <c r="B996" s="8" t="s">
        <v>55</v>
      </c>
      <c r="C996" s="8" t="s">
        <v>35</v>
      </c>
      <c r="D996" s="14">
        <v>4560</v>
      </c>
      <c r="E996" s="14">
        <v>53530</v>
      </c>
      <c r="F996" s="15">
        <v>37495</v>
      </c>
    </row>
    <row r="997" spans="1:6" x14ac:dyDescent="0.3">
      <c r="A997" s="7">
        <v>2018</v>
      </c>
      <c r="B997" s="8" t="s">
        <v>55</v>
      </c>
      <c r="C997" s="8" t="s">
        <v>36</v>
      </c>
      <c r="D997" s="14">
        <v>3585</v>
      </c>
      <c r="E997" s="14">
        <v>52523</v>
      </c>
      <c r="F997" s="15">
        <v>62951</v>
      </c>
    </row>
    <row r="998" spans="1:6" x14ac:dyDescent="0.3">
      <c r="A998" s="7">
        <v>2018</v>
      </c>
      <c r="B998" s="8" t="s">
        <v>55</v>
      </c>
      <c r="C998" s="8" t="s">
        <v>37</v>
      </c>
      <c r="D998" s="8">
        <v>194</v>
      </c>
      <c r="E998" s="14">
        <v>1056</v>
      </c>
      <c r="F998" s="15">
        <v>39071</v>
      </c>
    </row>
    <row r="999" spans="1:6" x14ac:dyDescent="0.3">
      <c r="A999" s="7">
        <v>2018</v>
      </c>
      <c r="B999" s="8" t="s">
        <v>55</v>
      </c>
      <c r="C999" s="8" t="s">
        <v>38</v>
      </c>
      <c r="D999" s="14">
        <v>1286</v>
      </c>
      <c r="E999" s="14">
        <v>12662</v>
      </c>
      <c r="F999" s="15">
        <v>40536</v>
      </c>
    </row>
    <row r="1000" spans="1:6" x14ac:dyDescent="0.3">
      <c r="A1000" s="7">
        <v>2018</v>
      </c>
      <c r="B1000" s="8" t="s">
        <v>55</v>
      </c>
      <c r="C1000" s="8" t="s">
        <v>39</v>
      </c>
      <c r="D1000" s="14">
        <v>1047</v>
      </c>
      <c r="E1000" s="14">
        <v>6831</v>
      </c>
      <c r="F1000" s="15">
        <v>42904</v>
      </c>
    </row>
    <row r="1001" spans="1:6" x14ac:dyDescent="0.3">
      <c r="A1001" s="7">
        <v>2018</v>
      </c>
      <c r="B1001" s="8" t="s">
        <v>55</v>
      </c>
      <c r="C1001" s="8" t="s">
        <v>40</v>
      </c>
      <c r="D1001" s="14">
        <v>1099</v>
      </c>
      <c r="E1001" s="14">
        <v>11051</v>
      </c>
      <c r="F1001" s="15">
        <v>46634</v>
      </c>
    </row>
    <row r="1002" spans="1:6" x14ac:dyDescent="0.3">
      <c r="A1002" s="7">
        <v>2018</v>
      </c>
      <c r="B1002" s="8" t="s">
        <v>55</v>
      </c>
      <c r="C1002" s="8" t="s">
        <v>41</v>
      </c>
      <c r="D1002" s="14">
        <v>19761</v>
      </c>
      <c r="E1002" s="14">
        <v>304275</v>
      </c>
      <c r="F1002" s="15">
        <v>109449</v>
      </c>
    </row>
    <row r="1003" spans="1:6" x14ac:dyDescent="0.3">
      <c r="A1003" s="7">
        <v>2018</v>
      </c>
      <c r="B1003" s="8" t="s">
        <v>55</v>
      </c>
      <c r="C1003" s="8" t="s">
        <v>42</v>
      </c>
      <c r="D1003" s="14">
        <v>1002</v>
      </c>
      <c r="E1003" s="14">
        <v>15159</v>
      </c>
      <c r="F1003" s="15">
        <v>61171</v>
      </c>
    </row>
    <row r="1004" spans="1:6" x14ac:dyDescent="0.3">
      <c r="A1004" s="7">
        <v>2018</v>
      </c>
      <c r="B1004" s="8" t="s">
        <v>55</v>
      </c>
      <c r="C1004" s="8" t="s">
        <v>43</v>
      </c>
      <c r="D1004" s="8">
        <v>548</v>
      </c>
      <c r="E1004" s="14">
        <v>3930</v>
      </c>
      <c r="F1004" s="15">
        <v>38605</v>
      </c>
    </row>
    <row r="1005" spans="1:6" x14ac:dyDescent="0.3">
      <c r="A1005" s="7">
        <v>2018</v>
      </c>
      <c r="B1005" s="8" t="s">
        <v>55</v>
      </c>
      <c r="C1005" s="8" t="s">
        <v>44</v>
      </c>
      <c r="D1005" s="14">
        <v>2101</v>
      </c>
      <c r="E1005" s="14">
        <v>19281</v>
      </c>
      <c r="F1005" s="15">
        <v>47043</v>
      </c>
    </row>
    <row r="1006" spans="1:6" x14ac:dyDescent="0.3">
      <c r="A1006" s="7">
        <v>2018</v>
      </c>
      <c r="B1006" s="8" t="s">
        <v>55</v>
      </c>
      <c r="C1006" s="8" t="s">
        <v>45</v>
      </c>
      <c r="D1006" s="14">
        <v>7317</v>
      </c>
      <c r="E1006" s="14">
        <v>109210</v>
      </c>
      <c r="F1006" s="15">
        <v>33346</v>
      </c>
    </row>
    <row r="1007" spans="1:6" x14ac:dyDescent="0.3">
      <c r="A1007" s="7">
        <v>2018</v>
      </c>
      <c r="B1007" s="8" t="s">
        <v>55</v>
      </c>
      <c r="C1007" s="8" t="s">
        <v>46</v>
      </c>
      <c r="D1007" s="14">
        <v>1199</v>
      </c>
      <c r="E1007" s="14">
        <v>23481</v>
      </c>
      <c r="F1007" s="15">
        <v>80012</v>
      </c>
    </row>
    <row r="1008" spans="1:6" x14ac:dyDescent="0.3">
      <c r="A1008" s="7">
        <v>2018</v>
      </c>
      <c r="B1008" s="8" t="s">
        <v>55</v>
      </c>
      <c r="C1008" s="8" t="s">
        <v>47</v>
      </c>
      <c r="D1008" s="14">
        <v>2926</v>
      </c>
      <c r="E1008" s="14">
        <v>32257</v>
      </c>
      <c r="F1008" s="15">
        <v>39437</v>
      </c>
    </row>
    <row r="1009" spans="1:6" x14ac:dyDescent="0.3">
      <c r="A1009" s="7">
        <v>2018</v>
      </c>
      <c r="B1009" s="8" t="s">
        <v>55</v>
      </c>
      <c r="C1009" s="8" t="s">
        <v>48</v>
      </c>
      <c r="D1009" s="14">
        <v>1438</v>
      </c>
      <c r="E1009" s="14">
        <v>23488</v>
      </c>
      <c r="F1009" s="15">
        <v>83751</v>
      </c>
    </row>
    <row r="1010" spans="1:6" x14ac:dyDescent="0.3">
      <c r="A1010" s="7">
        <v>2018</v>
      </c>
      <c r="B1010" s="8" t="s">
        <v>51</v>
      </c>
      <c r="C1010" s="8" t="s">
        <v>1</v>
      </c>
      <c r="D1010" s="14">
        <v>9897</v>
      </c>
      <c r="E1010" s="14">
        <v>89207</v>
      </c>
      <c r="F1010" s="15">
        <v>53957</v>
      </c>
    </row>
    <row r="1011" spans="1:6" x14ac:dyDescent="0.3">
      <c r="A1011" s="7">
        <v>2018</v>
      </c>
      <c r="B1011" s="8" t="s">
        <v>51</v>
      </c>
      <c r="C1011" s="8" t="s">
        <v>2</v>
      </c>
      <c r="D1011" s="14">
        <v>12867</v>
      </c>
      <c r="E1011" s="14">
        <v>158251</v>
      </c>
      <c r="F1011" s="15">
        <v>55989</v>
      </c>
    </row>
    <row r="1012" spans="1:6" x14ac:dyDescent="0.3">
      <c r="A1012" s="7">
        <v>2018</v>
      </c>
      <c r="B1012" s="8" t="s">
        <v>51</v>
      </c>
      <c r="C1012" s="8" t="s">
        <v>3</v>
      </c>
      <c r="D1012" s="14">
        <v>6945</v>
      </c>
      <c r="E1012" s="14">
        <v>50848</v>
      </c>
      <c r="F1012" s="15">
        <v>47988</v>
      </c>
    </row>
    <row r="1013" spans="1:6" x14ac:dyDescent="0.3">
      <c r="A1013" s="7">
        <v>2018</v>
      </c>
      <c r="B1013" s="8" t="s">
        <v>51</v>
      </c>
      <c r="C1013" s="8" t="s">
        <v>4</v>
      </c>
      <c r="D1013" s="14">
        <v>80657</v>
      </c>
      <c r="E1013" s="14">
        <v>860278</v>
      </c>
      <c r="F1013" s="15">
        <v>70084</v>
      </c>
    </row>
    <row r="1014" spans="1:6" x14ac:dyDescent="0.3">
      <c r="A1014" s="7">
        <v>2018</v>
      </c>
      <c r="B1014" s="8" t="s">
        <v>51</v>
      </c>
      <c r="C1014" s="8" t="s">
        <v>5</v>
      </c>
      <c r="D1014" s="14">
        <v>19884</v>
      </c>
      <c r="E1014" s="14">
        <v>173096</v>
      </c>
      <c r="F1014" s="15">
        <v>62414</v>
      </c>
    </row>
    <row r="1015" spans="1:6" x14ac:dyDescent="0.3">
      <c r="A1015" s="7">
        <v>2018</v>
      </c>
      <c r="B1015" s="8" t="s">
        <v>51</v>
      </c>
      <c r="C1015" s="8" t="s">
        <v>6</v>
      </c>
      <c r="D1015" s="14">
        <v>9399</v>
      </c>
      <c r="E1015" s="14">
        <v>58769</v>
      </c>
      <c r="F1015" s="15">
        <v>69727</v>
      </c>
    </row>
    <row r="1016" spans="1:6" x14ac:dyDescent="0.3">
      <c r="A1016" s="7">
        <v>2018</v>
      </c>
      <c r="B1016" s="8" t="s">
        <v>51</v>
      </c>
      <c r="C1016" s="8" t="s">
        <v>7</v>
      </c>
      <c r="D1016" s="14">
        <v>2871</v>
      </c>
      <c r="E1016" s="14">
        <v>22192</v>
      </c>
      <c r="F1016" s="15">
        <v>59797</v>
      </c>
    </row>
    <row r="1017" spans="1:6" x14ac:dyDescent="0.3">
      <c r="A1017" s="7">
        <v>2018</v>
      </c>
      <c r="B1017" s="8" t="s">
        <v>51</v>
      </c>
      <c r="C1017" s="8" t="s">
        <v>8</v>
      </c>
      <c r="D1017" s="14">
        <v>70819</v>
      </c>
      <c r="E1017" s="14">
        <v>541083</v>
      </c>
      <c r="F1017" s="15">
        <v>51286</v>
      </c>
    </row>
    <row r="1018" spans="1:6" x14ac:dyDescent="0.3">
      <c r="A1018" s="7">
        <v>2018</v>
      </c>
      <c r="B1018" s="8" t="s">
        <v>51</v>
      </c>
      <c r="C1018" s="8" t="s">
        <v>9</v>
      </c>
      <c r="D1018" s="14">
        <v>20577</v>
      </c>
      <c r="E1018" s="14">
        <v>195221</v>
      </c>
      <c r="F1018" s="15">
        <v>61018</v>
      </c>
    </row>
    <row r="1019" spans="1:6" x14ac:dyDescent="0.3">
      <c r="A1019" s="7">
        <v>2018</v>
      </c>
      <c r="B1019" s="8" t="s">
        <v>51</v>
      </c>
      <c r="C1019" s="8" t="s">
        <v>10</v>
      </c>
      <c r="D1019" s="14">
        <v>8174</v>
      </c>
      <c r="E1019" s="14">
        <v>46827</v>
      </c>
      <c r="F1019" s="15">
        <v>44285</v>
      </c>
    </row>
    <row r="1020" spans="1:6" x14ac:dyDescent="0.3">
      <c r="A1020" s="7">
        <v>2018</v>
      </c>
      <c r="B1020" s="8" t="s">
        <v>51</v>
      </c>
      <c r="C1020" s="8" t="s">
        <v>11</v>
      </c>
      <c r="D1020" s="14">
        <v>32305</v>
      </c>
      <c r="E1020" s="14">
        <v>225991</v>
      </c>
      <c r="F1020" s="15">
        <v>71957</v>
      </c>
    </row>
    <row r="1021" spans="1:6" x14ac:dyDescent="0.3">
      <c r="A1021" s="7">
        <v>2018</v>
      </c>
      <c r="B1021" s="8" t="s">
        <v>51</v>
      </c>
      <c r="C1021" s="8" t="s">
        <v>12</v>
      </c>
      <c r="D1021" s="14">
        <v>15176</v>
      </c>
      <c r="E1021" s="14">
        <v>141028</v>
      </c>
      <c r="F1021" s="15">
        <v>58404</v>
      </c>
    </row>
    <row r="1022" spans="1:6" x14ac:dyDescent="0.3">
      <c r="A1022" s="7">
        <v>2018</v>
      </c>
      <c r="B1022" s="8" t="s">
        <v>51</v>
      </c>
      <c r="C1022" s="8" t="s">
        <v>13</v>
      </c>
      <c r="D1022" s="14">
        <v>9447</v>
      </c>
      <c r="E1022" s="14">
        <v>77230</v>
      </c>
      <c r="F1022" s="15">
        <v>57435</v>
      </c>
    </row>
    <row r="1023" spans="1:6" x14ac:dyDescent="0.3">
      <c r="A1023" s="7">
        <v>2018</v>
      </c>
      <c r="B1023" s="8" t="s">
        <v>51</v>
      </c>
      <c r="C1023" s="8" t="s">
        <v>14</v>
      </c>
      <c r="D1023" s="14">
        <v>7555</v>
      </c>
      <c r="E1023" s="14">
        <v>61206</v>
      </c>
      <c r="F1023" s="15">
        <v>54735</v>
      </c>
    </row>
    <row r="1024" spans="1:6" x14ac:dyDescent="0.3">
      <c r="A1024" s="7">
        <v>2018</v>
      </c>
      <c r="B1024" s="8" t="s">
        <v>51</v>
      </c>
      <c r="C1024" s="8" t="s">
        <v>15</v>
      </c>
      <c r="D1024" s="14">
        <v>9466</v>
      </c>
      <c r="E1024" s="14">
        <v>77934</v>
      </c>
      <c r="F1024" s="15">
        <v>53957</v>
      </c>
    </row>
    <row r="1025" spans="1:6" x14ac:dyDescent="0.3">
      <c r="A1025" s="7">
        <v>2018</v>
      </c>
      <c r="B1025" s="8" t="s">
        <v>51</v>
      </c>
      <c r="C1025" s="8" t="s">
        <v>16</v>
      </c>
      <c r="D1025" s="14">
        <v>10844</v>
      </c>
      <c r="E1025" s="14">
        <v>151993</v>
      </c>
      <c r="F1025" s="15">
        <v>63892</v>
      </c>
    </row>
    <row r="1026" spans="1:6" x14ac:dyDescent="0.3">
      <c r="A1026" s="7">
        <v>2018</v>
      </c>
      <c r="B1026" s="8" t="s">
        <v>51</v>
      </c>
      <c r="C1026" s="8" t="s">
        <v>17</v>
      </c>
      <c r="D1026" s="14">
        <v>5475</v>
      </c>
      <c r="E1026" s="14">
        <v>29285</v>
      </c>
      <c r="F1026" s="15">
        <v>49575</v>
      </c>
    </row>
    <row r="1027" spans="1:6" x14ac:dyDescent="0.3">
      <c r="A1027" s="7">
        <v>2018</v>
      </c>
      <c r="B1027" s="8" t="s">
        <v>51</v>
      </c>
      <c r="C1027" s="8" t="s">
        <v>18</v>
      </c>
      <c r="D1027" s="14">
        <v>16487</v>
      </c>
      <c r="E1027" s="14">
        <v>163210</v>
      </c>
      <c r="F1027" s="15">
        <v>65971</v>
      </c>
    </row>
    <row r="1028" spans="1:6" x14ac:dyDescent="0.3">
      <c r="A1028" s="7">
        <v>2018</v>
      </c>
      <c r="B1028" s="8" t="s">
        <v>51</v>
      </c>
      <c r="C1028" s="8" t="s">
        <v>19</v>
      </c>
      <c r="D1028" s="14">
        <v>21120</v>
      </c>
      <c r="E1028" s="14">
        <v>158656</v>
      </c>
      <c r="F1028" s="15">
        <v>78802</v>
      </c>
    </row>
    <row r="1029" spans="1:6" x14ac:dyDescent="0.3">
      <c r="A1029" s="7">
        <v>2018</v>
      </c>
      <c r="B1029" s="8" t="s">
        <v>51</v>
      </c>
      <c r="C1029" s="8" t="s">
        <v>20</v>
      </c>
      <c r="D1029" s="14">
        <v>19952</v>
      </c>
      <c r="E1029" s="14">
        <v>168632</v>
      </c>
      <c r="F1029" s="15">
        <v>62378</v>
      </c>
    </row>
    <row r="1030" spans="1:6" x14ac:dyDescent="0.3">
      <c r="A1030" s="7">
        <v>2018</v>
      </c>
      <c r="B1030" s="8" t="s">
        <v>51</v>
      </c>
      <c r="C1030" s="8" t="s">
        <v>21</v>
      </c>
      <c r="D1030" s="14">
        <v>16480</v>
      </c>
      <c r="E1030" s="14">
        <v>121665</v>
      </c>
      <c r="F1030" s="15">
        <v>67248</v>
      </c>
    </row>
    <row r="1031" spans="1:6" x14ac:dyDescent="0.3">
      <c r="A1031" s="7">
        <v>2018</v>
      </c>
      <c r="B1031" s="8" t="s">
        <v>51</v>
      </c>
      <c r="C1031" s="8" t="s">
        <v>22</v>
      </c>
      <c r="D1031" s="14">
        <v>5760</v>
      </c>
      <c r="E1031" s="14">
        <v>43911</v>
      </c>
      <c r="F1031" s="15">
        <v>50325</v>
      </c>
    </row>
    <row r="1032" spans="1:6" x14ac:dyDescent="0.3">
      <c r="A1032" s="7">
        <v>2018</v>
      </c>
      <c r="B1032" s="8" t="s">
        <v>51</v>
      </c>
      <c r="C1032" s="8" t="s">
        <v>23</v>
      </c>
      <c r="D1032" s="14">
        <v>14591</v>
      </c>
      <c r="E1032" s="14">
        <v>122662</v>
      </c>
      <c r="F1032" s="15">
        <v>59442</v>
      </c>
    </row>
    <row r="1033" spans="1:6" x14ac:dyDescent="0.3">
      <c r="A1033" s="7">
        <v>2018</v>
      </c>
      <c r="B1033" s="8" t="s">
        <v>51</v>
      </c>
      <c r="C1033" s="8" t="s">
        <v>24</v>
      </c>
      <c r="D1033" s="14">
        <v>6514</v>
      </c>
      <c r="E1033" s="14">
        <v>29077</v>
      </c>
      <c r="F1033" s="15">
        <v>52969</v>
      </c>
    </row>
    <row r="1034" spans="1:6" x14ac:dyDescent="0.3">
      <c r="A1034" s="7">
        <v>2018</v>
      </c>
      <c r="B1034" s="8" t="s">
        <v>51</v>
      </c>
      <c r="C1034" s="8" t="s">
        <v>25</v>
      </c>
      <c r="D1034" s="14">
        <v>7068</v>
      </c>
      <c r="E1034" s="14">
        <v>52320</v>
      </c>
      <c r="F1034" s="15">
        <v>51657</v>
      </c>
    </row>
    <row r="1035" spans="1:6" x14ac:dyDescent="0.3">
      <c r="A1035" s="7">
        <v>2018</v>
      </c>
      <c r="B1035" s="8" t="s">
        <v>51</v>
      </c>
      <c r="C1035" s="8" t="s">
        <v>26</v>
      </c>
      <c r="D1035" s="14">
        <v>5898</v>
      </c>
      <c r="E1035" s="14">
        <v>89125</v>
      </c>
      <c r="F1035" s="15">
        <v>61123</v>
      </c>
    </row>
    <row r="1036" spans="1:6" x14ac:dyDescent="0.3">
      <c r="A1036" s="7">
        <v>2018</v>
      </c>
      <c r="B1036" s="8" t="s">
        <v>51</v>
      </c>
      <c r="C1036" s="8" t="s">
        <v>27</v>
      </c>
      <c r="D1036" s="14">
        <v>4498</v>
      </c>
      <c r="E1036" s="14">
        <v>26890</v>
      </c>
      <c r="F1036" s="15">
        <v>62661</v>
      </c>
    </row>
    <row r="1037" spans="1:6" x14ac:dyDescent="0.3">
      <c r="A1037" s="7">
        <v>2018</v>
      </c>
      <c r="B1037" s="8" t="s">
        <v>51</v>
      </c>
      <c r="C1037" s="8" t="s">
        <v>28</v>
      </c>
      <c r="D1037" s="14">
        <v>22416</v>
      </c>
      <c r="E1037" s="14">
        <v>157147</v>
      </c>
      <c r="F1037" s="15">
        <v>72658</v>
      </c>
    </row>
    <row r="1038" spans="1:6" x14ac:dyDescent="0.3">
      <c r="A1038" s="7">
        <v>2018</v>
      </c>
      <c r="B1038" s="8" t="s">
        <v>51</v>
      </c>
      <c r="C1038" s="8" t="s">
        <v>29</v>
      </c>
      <c r="D1038" s="14">
        <v>5337</v>
      </c>
      <c r="E1038" s="14">
        <v>47224</v>
      </c>
      <c r="F1038" s="15">
        <v>49350</v>
      </c>
    </row>
    <row r="1039" spans="1:6" x14ac:dyDescent="0.3">
      <c r="A1039" s="7">
        <v>2018</v>
      </c>
      <c r="B1039" s="8" t="s">
        <v>51</v>
      </c>
      <c r="C1039" s="8" t="s">
        <v>30</v>
      </c>
      <c r="D1039" s="14">
        <v>50281</v>
      </c>
      <c r="E1039" s="14">
        <v>399629</v>
      </c>
      <c r="F1039" s="15">
        <v>73248</v>
      </c>
    </row>
    <row r="1040" spans="1:6" x14ac:dyDescent="0.3">
      <c r="A1040" s="7">
        <v>2018</v>
      </c>
      <c r="B1040" s="8" t="s">
        <v>51</v>
      </c>
      <c r="C1040" s="8" t="s">
        <v>31</v>
      </c>
      <c r="D1040" s="14">
        <v>26741</v>
      </c>
      <c r="E1040" s="14">
        <v>220692</v>
      </c>
      <c r="F1040" s="15">
        <v>54587</v>
      </c>
    </row>
    <row r="1041" spans="1:6" x14ac:dyDescent="0.3">
      <c r="A1041" s="7">
        <v>2018</v>
      </c>
      <c r="B1041" s="8" t="s">
        <v>51</v>
      </c>
      <c r="C1041" s="8" t="s">
        <v>32</v>
      </c>
      <c r="D1041" s="14">
        <v>3798</v>
      </c>
      <c r="E1041" s="14">
        <v>26002</v>
      </c>
      <c r="F1041" s="15">
        <v>64586</v>
      </c>
    </row>
    <row r="1042" spans="1:6" x14ac:dyDescent="0.3">
      <c r="A1042" s="7">
        <v>2018</v>
      </c>
      <c r="B1042" s="8" t="s">
        <v>51</v>
      </c>
      <c r="C1042" s="8" t="s">
        <v>33</v>
      </c>
      <c r="D1042" s="14">
        <v>23076</v>
      </c>
      <c r="E1042" s="14">
        <v>220709</v>
      </c>
      <c r="F1042" s="15">
        <v>61194</v>
      </c>
    </row>
    <row r="1043" spans="1:6" x14ac:dyDescent="0.3">
      <c r="A1043" s="7">
        <v>2018</v>
      </c>
      <c r="B1043" s="8" t="s">
        <v>51</v>
      </c>
      <c r="C1043" s="8" t="s">
        <v>34</v>
      </c>
      <c r="D1043" s="14">
        <v>9765</v>
      </c>
      <c r="E1043" s="14">
        <v>80295</v>
      </c>
      <c r="F1043" s="15">
        <v>52777</v>
      </c>
    </row>
    <row r="1044" spans="1:6" x14ac:dyDescent="0.3">
      <c r="A1044" s="7">
        <v>2018</v>
      </c>
      <c r="B1044" s="8" t="s">
        <v>51</v>
      </c>
      <c r="C1044" s="8" t="s">
        <v>35</v>
      </c>
      <c r="D1044" s="14">
        <v>14244</v>
      </c>
      <c r="E1044" s="14">
        <v>104561</v>
      </c>
      <c r="F1044" s="15">
        <v>60523</v>
      </c>
    </row>
    <row r="1045" spans="1:6" x14ac:dyDescent="0.3">
      <c r="A1045" s="7">
        <v>2018</v>
      </c>
      <c r="B1045" s="8" t="s">
        <v>51</v>
      </c>
      <c r="C1045" s="8" t="s">
        <v>36</v>
      </c>
      <c r="D1045" s="14">
        <v>28749</v>
      </c>
      <c r="E1045" s="14">
        <v>255910</v>
      </c>
      <c r="F1045" s="15">
        <v>66852</v>
      </c>
    </row>
    <row r="1046" spans="1:6" x14ac:dyDescent="0.3">
      <c r="A1046" s="7">
        <v>2018</v>
      </c>
      <c r="B1046" s="8" t="s">
        <v>51</v>
      </c>
      <c r="C1046" s="8" t="s">
        <v>37</v>
      </c>
      <c r="D1046" s="14">
        <v>3743</v>
      </c>
      <c r="E1046" s="14">
        <v>19229</v>
      </c>
      <c r="F1046" s="15">
        <v>61579</v>
      </c>
    </row>
    <row r="1047" spans="1:6" x14ac:dyDescent="0.3">
      <c r="A1047" s="7">
        <v>2018</v>
      </c>
      <c r="B1047" s="8" t="s">
        <v>51</v>
      </c>
      <c r="C1047" s="8" t="s">
        <v>38</v>
      </c>
      <c r="D1047" s="14">
        <v>12124</v>
      </c>
      <c r="E1047" s="14">
        <v>104324</v>
      </c>
      <c r="F1047" s="15">
        <v>52634</v>
      </c>
    </row>
    <row r="1048" spans="1:6" x14ac:dyDescent="0.3">
      <c r="A1048" s="7">
        <v>2018</v>
      </c>
      <c r="B1048" s="8" t="s">
        <v>51</v>
      </c>
      <c r="C1048" s="8" t="s">
        <v>39</v>
      </c>
      <c r="D1048" s="14">
        <v>3884</v>
      </c>
      <c r="E1048" s="14">
        <v>22971</v>
      </c>
      <c r="F1048" s="15">
        <v>48981</v>
      </c>
    </row>
    <row r="1049" spans="1:6" x14ac:dyDescent="0.3">
      <c r="A1049" s="7">
        <v>2018</v>
      </c>
      <c r="B1049" s="8" t="s">
        <v>51</v>
      </c>
      <c r="C1049" s="8" t="s">
        <v>40</v>
      </c>
      <c r="D1049" s="14">
        <v>12110</v>
      </c>
      <c r="E1049" s="14">
        <v>124488</v>
      </c>
      <c r="F1049" s="15">
        <v>57033</v>
      </c>
    </row>
    <row r="1050" spans="1:6" x14ac:dyDescent="0.3">
      <c r="A1050" s="7">
        <v>2018</v>
      </c>
      <c r="B1050" s="8" t="s">
        <v>51</v>
      </c>
      <c r="C1050" s="8" t="s">
        <v>41</v>
      </c>
      <c r="D1050" s="14">
        <v>51405</v>
      </c>
      <c r="E1050" s="14">
        <v>739156</v>
      </c>
      <c r="F1050" s="15">
        <v>65554</v>
      </c>
    </row>
    <row r="1051" spans="1:6" x14ac:dyDescent="0.3">
      <c r="A1051" s="7">
        <v>2018</v>
      </c>
      <c r="B1051" s="8" t="s">
        <v>51</v>
      </c>
      <c r="C1051" s="8" t="s">
        <v>42</v>
      </c>
      <c r="D1051" s="14">
        <v>11572</v>
      </c>
      <c r="E1051" s="14">
        <v>104339</v>
      </c>
      <c r="F1051" s="15">
        <v>51052</v>
      </c>
    </row>
    <row r="1052" spans="1:6" x14ac:dyDescent="0.3">
      <c r="A1052" s="7">
        <v>2018</v>
      </c>
      <c r="B1052" s="8" t="s">
        <v>51</v>
      </c>
      <c r="C1052" s="8" t="s">
        <v>43</v>
      </c>
      <c r="D1052" s="14">
        <v>2878</v>
      </c>
      <c r="E1052" s="14">
        <v>15262</v>
      </c>
      <c r="F1052" s="15">
        <v>51025</v>
      </c>
    </row>
    <row r="1053" spans="1:6" x14ac:dyDescent="0.3">
      <c r="A1053" s="7">
        <v>2018</v>
      </c>
      <c r="B1053" s="8" t="s">
        <v>51</v>
      </c>
      <c r="C1053" s="8" t="s">
        <v>44</v>
      </c>
      <c r="D1053" s="14">
        <v>21508</v>
      </c>
      <c r="E1053" s="14">
        <v>197292</v>
      </c>
      <c r="F1053" s="15">
        <v>58050</v>
      </c>
    </row>
    <row r="1054" spans="1:6" x14ac:dyDescent="0.3">
      <c r="A1054" s="7">
        <v>2018</v>
      </c>
      <c r="B1054" s="8" t="s">
        <v>51</v>
      </c>
      <c r="C1054" s="8" t="s">
        <v>45</v>
      </c>
      <c r="D1054" s="14">
        <v>26015</v>
      </c>
      <c r="E1054" s="14">
        <v>199867</v>
      </c>
      <c r="F1054" s="15">
        <v>64432</v>
      </c>
    </row>
    <row r="1055" spans="1:6" x14ac:dyDescent="0.3">
      <c r="A1055" s="7">
        <v>2018</v>
      </c>
      <c r="B1055" s="8" t="s">
        <v>51</v>
      </c>
      <c r="C1055" s="8" t="s">
        <v>46</v>
      </c>
      <c r="D1055" s="14">
        <v>4435</v>
      </c>
      <c r="E1055" s="14">
        <v>40126</v>
      </c>
      <c r="F1055" s="15">
        <v>72255</v>
      </c>
    </row>
    <row r="1056" spans="1:6" x14ac:dyDescent="0.3">
      <c r="A1056" s="7">
        <v>2018</v>
      </c>
      <c r="B1056" s="8" t="s">
        <v>51</v>
      </c>
      <c r="C1056" s="8" t="s">
        <v>47</v>
      </c>
      <c r="D1056" s="14">
        <v>14814</v>
      </c>
      <c r="E1056" s="14">
        <v>122396</v>
      </c>
      <c r="F1056" s="15">
        <v>62063</v>
      </c>
    </row>
    <row r="1057" spans="1:6" x14ac:dyDescent="0.3">
      <c r="A1057" s="7">
        <v>2018</v>
      </c>
      <c r="B1057" s="8" t="s">
        <v>51</v>
      </c>
      <c r="C1057" s="8" t="s">
        <v>48</v>
      </c>
      <c r="D1057" s="14">
        <v>3375</v>
      </c>
      <c r="E1057" s="14">
        <v>20253</v>
      </c>
      <c r="F1057" s="15">
        <v>53554</v>
      </c>
    </row>
    <row r="1058" spans="1:6" x14ac:dyDescent="0.3">
      <c r="A1058" s="7">
        <v>2018</v>
      </c>
      <c r="B1058" s="8" t="s">
        <v>52</v>
      </c>
      <c r="C1058" s="8" t="s">
        <v>1</v>
      </c>
      <c r="D1058" s="14">
        <v>5566</v>
      </c>
      <c r="E1058" s="14">
        <v>266798</v>
      </c>
      <c r="F1058" s="15">
        <v>57068</v>
      </c>
    </row>
    <row r="1059" spans="1:6" x14ac:dyDescent="0.3">
      <c r="A1059" s="7">
        <v>2018</v>
      </c>
      <c r="B1059" s="8" t="s">
        <v>52</v>
      </c>
      <c r="C1059" s="8" t="s">
        <v>2</v>
      </c>
      <c r="D1059" s="14">
        <v>4926</v>
      </c>
      <c r="E1059" s="14">
        <v>169675</v>
      </c>
      <c r="F1059" s="15">
        <v>76139</v>
      </c>
    </row>
    <row r="1060" spans="1:6" x14ac:dyDescent="0.3">
      <c r="A1060" s="7">
        <v>2018</v>
      </c>
      <c r="B1060" s="8" t="s">
        <v>52</v>
      </c>
      <c r="C1060" s="8" t="s">
        <v>3</v>
      </c>
      <c r="D1060" s="14">
        <v>2918</v>
      </c>
      <c r="E1060" s="14">
        <v>160597</v>
      </c>
      <c r="F1060" s="15">
        <v>47984</v>
      </c>
    </row>
    <row r="1061" spans="1:6" x14ac:dyDescent="0.3">
      <c r="A1061" s="7">
        <v>2018</v>
      </c>
      <c r="B1061" s="8" t="s">
        <v>52</v>
      </c>
      <c r="C1061" s="8" t="s">
        <v>4</v>
      </c>
      <c r="D1061" s="14">
        <v>44706</v>
      </c>
      <c r="E1061" s="14">
        <v>1320068</v>
      </c>
      <c r="F1061" s="15">
        <v>95627</v>
      </c>
    </row>
    <row r="1062" spans="1:6" x14ac:dyDescent="0.3">
      <c r="A1062" s="7">
        <v>2018</v>
      </c>
      <c r="B1062" s="8" t="s">
        <v>52</v>
      </c>
      <c r="C1062" s="8" t="s">
        <v>5</v>
      </c>
      <c r="D1062" s="14">
        <v>5804</v>
      </c>
      <c r="E1062" s="14">
        <v>147285</v>
      </c>
      <c r="F1062" s="15">
        <v>70677</v>
      </c>
    </row>
    <row r="1063" spans="1:6" x14ac:dyDescent="0.3">
      <c r="A1063" s="7">
        <v>2018</v>
      </c>
      <c r="B1063" s="8" t="s">
        <v>52</v>
      </c>
      <c r="C1063" s="8" t="s">
        <v>6</v>
      </c>
      <c r="D1063" s="14">
        <v>4408</v>
      </c>
      <c r="E1063" s="14">
        <v>160500</v>
      </c>
      <c r="F1063" s="15">
        <v>82569</v>
      </c>
    </row>
    <row r="1064" spans="1:6" x14ac:dyDescent="0.3">
      <c r="A1064" s="7">
        <v>2018</v>
      </c>
      <c r="B1064" s="8" t="s">
        <v>52</v>
      </c>
      <c r="C1064" s="8" t="s">
        <v>7</v>
      </c>
      <c r="D1064" s="8">
        <v>661</v>
      </c>
      <c r="E1064" s="14">
        <v>27077</v>
      </c>
      <c r="F1064" s="15">
        <v>64153</v>
      </c>
    </row>
    <row r="1065" spans="1:6" x14ac:dyDescent="0.3">
      <c r="A1065" s="7">
        <v>2018</v>
      </c>
      <c r="B1065" s="8" t="s">
        <v>52</v>
      </c>
      <c r="C1065" s="8" t="s">
        <v>8</v>
      </c>
      <c r="D1065" s="14">
        <v>20548</v>
      </c>
      <c r="E1065" s="14">
        <v>371590</v>
      </c>
      <c r="F1065" s="15">
        <v>61740</v>
      </c>
    </row>
    <row r="1066" spans="1:6" x14ac:dyDescent="0.3">
      <c r="A1066" s="7">
        <v>2018</v>
      </c>
      <c r="B1066" s="8" t="s">
        <v>52</v>
      </c>
      <c r="C1066" s="8" t="s">
        <v>9</v>
      </c>
      <c r="D1066" s="14">
        <v>9884</v>
      </c>
      <c r="E1066" s="14">
        <v>406818</v>
      </c>
      <c r="F1066" s="15">
        <v>59168</v>
      </c>
    </row>
    <row r="1067" spans="1:6" x14ac:dyDescent="0.3">
      <c r="A1067" s="7">
        <v>2018</v>
      </c>
      <c r="B1067" s="8" t="s">
        <v>52</v>
      </c>
      <c r="C1067" s="8" t="s">
        <v>10</v>
      </c>
      <c r="D1067" s="14">
        <v>2807</v>
      </c>
      <c r="E1067" s="14">
        <v>67792</v>
      </c>
      <c r="F1067" s="15">
        <v>63932</v>
      </c>
    </row>
    <row r="1068" spans="1:6" x14ac:dyDescent="0.3">
      <c r="A1068" s="7">
        <v>2018</v>
      </c>
      <c r="B1068" s="8" t="s">
        <v>52</v>
      </c>
      <c r="C1068" s="8" t="s">
        <v>11</v>
      </c>
      <c r="D1068" s="14">
        <v>17883</v>
      </c>
      <c r="E1068" s="14">
        <v>586130</v>
      </c>
      <c r="F1068" s="15">
        <v>71895</v>
      </c>
    </row>
    <row r="1069" spans="1:6" x14ac:dyDescent="0.3">
      <c r="A1069" s="7">
        <v>2018</v>
      </c>
      <c r="B1069" s="8" t="s">
        <v>52</v>
      </c>
      <c r="C1069" s="8" t="s">
        <v>12</v>
      </c>
      <c r="D1069" s="14">
        <v>8825</v>
      </c>
      <c r="E1069" s="14">
        <v>541836</v>
      </c>
      <c r="F1069" s="15">
        <v>62680</v>
      </c>
    </row>
    <row r="1070" spans="1:6" x14ac:dyDescent="0.3">
      <c r="A1070" s="7">
        <v>2018</v>
      </c>
      <c r="B1070" s="8" t="s">
        <v>52</v>
      </c>
      <c r="C1070" s="8" t="s">
        <v>13</v>
      </c>
      <c r="D1070" s="14">
        <v>4142</v>
      </c>
      <c r="E1070" s="14">
        <v>222586</v>
      </c>
      <c r="F1070" s="15">
        <v>60257</v>
      </c>
    </row>
    <row r="1071" spans="1:6" x14ac:dyDescent="0.3">
      <c r="A1071" s="7">
        <v>2018</v>
      </c>
      <c r="B1071" s="8" t="s">
        <v>52</v>
      </c>
      <c r="C1071" s="8" t="s">
        <v>14</v>
      </c>
      <c r="D1071" s="14">
        <v>3143</v>
      </c>
      <c r="E1071" s="14">
        <v>165056</v>
      </c>
      <c r="F1071" s="15">
        <v>59206</v>
      </c>
    </row>
    <row r="1072" spans="1:6" x14ac:dyDescent="0.3">
      <c r="A1072" s="7">
        <v>2018</v>
      </c>
      <c r="B1072" s="8" t="s">
        <v>52</v>
      </c>
      <c r="C1072" s="8" t="s">
        <v>15</v>
      </c>
      <c r="D1072" s="14">
        <v>4443</v>
      </c>
      <c r="E1072" s="14">
        <v>251454</v>
      </c>
      <c r="F1072" s="15">
        <v>59208</v>
      </c>
    </row>
    <row r="1073" spans="1:6" x14ac:dyDescent="0.3">
      <c r="A1073" s="7">
        <v>2018</v>
      </c>
      <c r="B1073" s="8" t="s">
        <v>52</v>
      </c>
      <c r="C1073" s="8" t="s">
        <v>16</v>
      </c>
      <c r="D1073" s="14">
        <v>4428</v>
      </c>
      <c r="E1073" s="14">
        <v>135510</v>
      </c>
      <c r="F1073" s="15">
        <v>75881</v>
      </c>
    </row>
    <row r="1074" spans="1:6" x14ac:dyDescent="0.3">
      <c r="A1074" s="7">
        <v>2018</v>
      </c>
      <c r="B1074" s="8" t="s">
        <v>52</v>
      </c>
      <c r="C1074" s="8" t="s">
        <v>17</v>
      </c>
      <c r="D1074" s="14">
        <v>1856</v>
      </c>
      <c r="E1074" s="14">
        <v>51836</v>
      </c>
      <c r="F1074" s="15">
        <v>55894</v>
      </c>
    </row>
    <row r="1075" spans="1:6" x14ac:dyDescent="0.3">
      <c r="A1075" s="7">
        <v>2018</v>
      </c>
      <c r="B1075" s="8" t="s">
        <v>52</v>
      </c>
      <c r="C1075" s="8" t="s">
        <v>18</v>
      </c>
      <c r="D1075" s="14">
        <v>4035</v>
      </c>
      <c r="E1075" s="14">
        <v>109683</v>
      </c>
      <c r="F1075" s="15">
        <v>78350</v>
      </c>
    </row>
    <row r="1076" spans="1:6" x14ac:dyDescent="0.3">
      <c r="A1076" s="7">
        <v>2018</v>
      </c>
      <c r="B1076" s="8" t="s">
        <v>52</v>
      </c>
      <c r="C1076" s="8" t="s">
        <v>19</v>
      </c>
      <c r="D1076" s="14">
        <v>6711</v>
      </c>
      <c r="E1076" s="14">
        <v>245091</v>
      </c>
      <c r="F1076" s="15">
        <v>88576</v>
      </c>
    </row>
    <row r="1077" spans="1:6" x14ac:dyDescent="0.3">
      <c r="A1077" s="7">
        <v>2018</v>
      </c>
      <c r="B1077" s="8" t="s">
        <v>52</v>
      </c>
      <c r="C1077" s="8" t="s">
        <v>20</v>
      </c>
      <c r="D1077" s="14">
        <v>16070</v>
      </c>
      <c r="E1077" s="14">
        <v>627751</v>
      </c>
      <c r="F1077" s="15">
        <v>67537</v>
      </c>
    </row>
    <row r="1078" spans="1:6" x14ac:dyDescent="0.3">
      <c r="A1078" s="7">
        <v>2018</v>
      </c>
      <c r="B1078" s="8" t="s">
        <v>52</v>
      </c>
      <c r="C1078" s="8" t="s">
        <v>21</v>
      </c>
      <c r="D1078" s="14">
        <v>8487</v>
      </c>
      <c r="E1078" s="14">
        <v>321908</v>
      </c>
      <c r="F1078" s="15">
        <v>67096</v>
      </c>
    </row>
    <row r="1079" spans="1:6" x14ac:dyDescent="0.3">
      <c r="A1079" s="7">
        <v>2018</v>
      </c>
      <c r="B1079" s="8" t="s">
        <v>52</v>
      </c>
      <c r="C1079" s="8" t="s">
        <v>22</v>
      </c>
      <c r="D1079" s="14">
        <v>2421</v>
      </c>
      <c r="E1079" s="14">
        <v>144816</v>
      </c>
      <c r="F1079" s="15">
        <v>49254</v>
      </c>
    </row>
    <row r="1080" spans="1:6" x14ac:dyDescent="0.3">
      <c r="A1080" s="7">
        <v>2018</v>
      </c>
      <c r="B1080" s="8" t="s">
        <v>52</v>
      </c>
      <c r="C1080" s="8" t="s">
        <v>23</v>
      </c>
      <c r="D1080" s="14">
        <v>6476</v>
      </c>
      <c r="E1080" s="14">
        <v>273163</v>
      </c>
      <c r="F1080" s="15">
        <v>58359</v>
      </c>
    </row>
    <row r="1081" spans="1:6" x14ac:dyDescent="0.3">
      <c r="A1081" s="7">
        <v>2018</v>
      </c>
      <c r="B1081" s="8" t="s">
        <v>52</v>
      </c>
      <c r="C1081" s="8" t="s">
        <v>24</v>
      </c>
      <c r="D1081" s="14">
        <v>1634</v>
      </c>
      <c r="E1081" s="14">
        <v>20560</v>
      </c>
      <c r="F1081" s="15">
        <v>50194</v>
      </c>
    </row>
    <row r="1082" spans="1:6" x14ac:dyDescent="0.3">
      <c r="A1082" s="7">
        <v>2018</v>
      </c>
      <c r="B1082" s="8" t="s">
        <v>52</v>
      </c>
      <c r="C1082" s="8" t="s">
        <v>25</v>
      </c>
      <c r="D1082" s="14">
        <v>1988</v>
      </c>
      <c r="E1082" s="14">
        <v>99807</v>
      </c>
      <c r="F1082" s="15">
        <v>51566</v>
      </c>
    </row>
    <row r="1083" spans="1:6" x14ac:dyDescent="0.3">
      <c r="A1083" s="7">
        <v>2018</v>
      </c>
      <c r="B1083" s="8" t="s">
        <v>52</v>
      </c>
      <c r="C1083" s="8" t="s">
        <v>26</v>
      </c>
      <c r="D1083" s="14">
        <v>2066</v>
      </c>
      <c r="E1083" s="14">
        <v>55405</v>
      </c>
      <c r="F1083" s="15">
        <v>58543</v>
      </c>
    </row>
    <row r="1084" spans="1:6" x14ac:dyDescent="0.3">
      <c r="A1084" s="7">
        <v>2018</v>
      </c>
      <c r="B1084" s="8" t="s">
        <v>52</v>
      </c>
      <c r="C1084" s="8" t="s">
        <v>27</v>
      </c>
      <c r="D1084" s="14">
        <v>2032</v>
      </c>
      <c r="E1084" s="14">
        <v>70582</v>
      </c>
      <c r="F1084" s="15">
        <v>71722</v>
      </c>
    </row>
    <row r="1085" spans="1:6" x14ac:dyDescent="0.3">
      <c r="A1085" s="7">
        <v>2018</v>
      </c>
      <c r="B1085" s="8" t="s">
        <v>52</v>
      </c>
      <c r="C1085" s="8" t="s">
        <v>28</v>
      </c>
      <c r="D1085" s="14">
        <v>8976</v>
      </c>
      <c r="E1085" s="14">
        <v>245593</v>
      </c>
      <c r="F1085" s="15">
        <v>80088</v>
      </c>
    </row>
    <row r="1086" spans="1:6" x14ac:dyDescent="0.3">
      <c r="A1086" s="7">
        <v>2018</v>
      </c>
      <c r="B1086" s="8" t="s">
        <v>52</v>
      </c>
      <c r="C1086" s="8" t="s">
        <v>29</v>
      </c>
      <c r="D1086" s="14">
        <v>1768</v>
      </c>
      <c r="E1086" s="14">
        <v>27145</v>
      </c>
      <c r="F1086" s="15">
        <v>53139</v>
      </c>
    </row>
    <row r="1087" spans="1:6" x14ac:dyDescent="0.3">
      <c r="A1087" s="7">
        <v>2018</v>
      </c>
      <c r="B1087" s="8" t="s">
        <v>52</v>
      </c>
      <c r="C1087" s="8" t="s">
        <v>30</v>
      </c>
      <c r="D1087" s="14">
        <v>16910</v>
      </c>
      <c r="E1087" s="14">
        <v>441590</v>
      </c>
      <c r="F1087" s="15">
        <v>67614</v>
      </c>
    </row>
    <row r="1088" spans="1:6" x14ac:dyDescent="0.3">
      <c r="A1088" s="7">
        <v>2018</v>
      </c>
      <c r="B1088" s="8" t="s">
        <v>52</v>
      </c>
      <c r="C1088" s="8" t="s">
        <v>31</v>
      </c>
      <c r="D1088" s="14">
        <v>10219</v>
      </c>
      <c r="E1088" s="14">
        <v>474932</v>
      </c>
      <c r="F1088" s="15">
        <v>59827</v>
      </c>
    </row>
    <row r="1089" spans="1:6" x14ac:dyDescent="0.3">
      <c r="A1089" s="7">
        <v>2018</v>
      </c>
      <c r="B1089" s="8" t="s">
        <v>52</v>
      </c>
      <c r="C1089" s="8" t="s">
        <v>32</v>
      </c>
      <c r="D1089" s="8">
        <v>807</v>
      </c>
      <c r="E1089" s="14">
        <v>25906</v>
      </c>
      <c r="F1089" s="15">
        <v>53882</v>
      </c>
    </row>
    <row r="1090" spans="1:6" x14ac:dyDescent="0.3">
      <c r="A1090" s="7">
        <v>2018</v>
      </c>
      <c r="B1090" s="8" t="s">
        <v>52</v>
      </c>
      <c r="C1090" s="8" t="s">
        <v>33</v>
      </c>
      <c r="D1090" s="14">
        <v>15409</v>
      </c>
      <c r="E1090" s="14">
        <v>698950</v>
      </c>
      <c r="F1090" s="15">
        <v>61487</v>
      </c>
    </row>
    <row r="1091" spans="1:6" x14ac:dyDescent="0.3">
      <c r="A1091" s="7">
        <v>2018</v>
      </c>
      <c r="B1091" s="8" t="s">
        <v>52</v>
      </c>
      <c r="C1091" s="8" t="s">
        <v>34</v>
      </c>
      <c r="D1091" s="14">
        <v>4164</v>
      </c>
      <c r="E1091" s="14">
        <v>137739</v>
      </c>
      <c r="F1091" s="15">
        <v>58770</v>
      </c>
    </row>
    <row r="1092" spans="1:6" x14ac:dyDescent="0.3">
      <c r="A1092" s="7">
        <v>2018</v>
      </c>
      <c r="B1092" s="8" t="s">
        <v>52</v>
      </c>
      <c r="C1092" s="8" t="s">
        <v>35</v>
      </c>
      <c r="D1092" s="14">
        <v>6240</v>
      </c>
      <c r="E1092" s="14">
        <v>194693</v>
      </c>
      <c r="F1092" s="15">
        <v>70641</v>
      </c>
    </row>
    <row r="1093" spans="1:6" x14ac:dyDescent="0.3">
      <c r="A1093" s="7">
        <v>2018</v>
      </c>
      <c r="B1093" s="8" t="s">
        <v>52</v>
      </c>
      <c r="C1093" s="8" t="s">
        <v>36</v>
      </c>
      <c r="D1093" s="14">
        <v>14407</v>
      </c>
      <c r="E1093" s="14">
        <v>569811</v>
      </c>
      <c r="F1093" s="15">
        <v>62561</v>
      </c>
    </row>
    <row r="1094" spans="1:6" x14ac:dyDescent="0.3">
      <c r="A1094" s="7">
        <v>2018</v>
      </c>
      <c r="B1094" s="8" t="s">
        <v>52</v>
      </c>
      <c r="C1094" s="8" t="s">
        <v>37</v>
      </c>
      <c r="D1094" s="14">
        <v>1572</v>
      </c>
      <c r="E1094" s="14">
        <v>40340</v>
      </c>
      <c r="F1094" s="15">
        <v>58468</v>
      </c>
    </row>
    <row r="1095" spans="1:6" x14ac:dyDescent="0.3">
      <c r="A1095" s="7">
        <v>2018</v>
      </c>
      <c r="B1095" s="8" t="s">
        <v>52</v>
      </c>
      <c r="C1095" s="8" t="s">
        <v>38</v>
      </c>
      <c r="D1095" s="14">
        <v>6087</v>
      </c>
      <c r="E1095" s="14">
        <v>249719</v>
      </c>
      <c r="F1095" s="15">
        <v>59522</v>
      </c>
    </row>
    <row r="1096" spans="1:6" x14ac:dyDescent="0.3">
      <c r="A1096" s="7">
        <v>2018</v>
      </c>
      <c r="B1096" s="8" t="s">
        <v>52</v>
      </c>
      <c r="C1096" s="8" t="s">
        <v>39</v>
      </c>
      <c r="D1096" s="14">
        <v>1084</v>
      </c>
      <c r="E1096" s="14">
        <v>44442</v>
      </c>
      <c r="F1096" s="15">
        <v>49320</v>
      </c>
    </row>
    <row r="1097" spans="1:6" x14ac:dyDescent="0.3">
      <c r="A1097" s="7">
        <v>2018</v>
      </c>
      <c r="B1097" s="8" t="s">
        <v>52</v>
      </c>
      <c r="C1097" s="8" t="s">
        <v>40</v>
      </c>
      <c r="D1097" s="14">
        <v>7051</v>
      </c>
      <c r="E1097" s="14">
        <v>351073</v>
      </c>
      <c r="F1097" s="15">
        <v>59495</v>
      </c>
    </row>
    <row r="1098" spans="1:6" x14ac:dyDescent="0.3">
      <c r="A1098" s="7">
        <v>2018</v>
      </c>
      <c r="B1098" s="8" t="s">
        <v>52</v>
      </c>
      <c r="C1098" s="8" t="s">
        <v>41</v>
      </c>
      <c r="D1098" s="14">
        <v>24758</v>
      </c>
      <c r="E1098" s="14">
        <v>879509</v>
      </c>
      <c r="F1098" s="15">
        <v>77648</v>
      </c>
    </row>
    <row r="1099" spans="1:6" x14ac:dyDescent="0.3">
      <c r="A1099" s="7">
        <v>2018</v>
      </c>
      <c r="B1099" s="8" t="s">
        <v>52</v>
      </c>
      <c r="C1099" s="8" t="s">
        <v>42</v>
      </c>
      <c r="D1099" s="14">
        <v>4386</v>
      </c>
      <c r="E1099" s="14">
        <v>132149</v>
      </c>
      <c r="F1099" s="15">
        <v>58006</v>
      </c>
    </row>
    <row r="1100" spans="1:6" x14ac:dyDescent="0.3">
      <c r="A1100" s="7">
        <v>2018</v>
      </c>
      <c r="B1100" s="8" t="s">
        <v>52</v>
      </c>
      <c r="C1100" s="8" t="s">
        <v>43</v>
      </c>
      <c r="D1100" s="14">
        <v>1108</v>
      </c>
      <c r="E1100" s="14">
        <v>29827</v>
      </c>
      <c r="F1100" s="15">
        <v>59390</v>
      </c>
    </row>
    <row r="1101" spans="1:6" x14ac:dyDescent="0.3">
      <c r="A1101" s="7">
        <v>2018</v>
      </c>
      <c r="B1101" s="8" t="s">
        <v>52</v>
      </c>
      <c r="C1101" s="8" t="s">
        <v>44</v>
      </c>
      <c r="D1101" s="14">
        <v>6750</v>
      </c>
      <c r="E1101" s="14">
        <v>238645</v>
      </c>
      <c r="F1101" s="15">
        <v>59974</v>
      </c>
    </row>
    <row r="1102" spans="1:6" x14ac:dyDescent="0.3">
      <c r="A1102" s="7">
        <v>2018</v>
      </c>
      <c r="B1102" s="8" t="s">
        <v>52</v>
      </c>
      <c r="C1102" s="8" t="s">
        <v>45</v>
      </c>
      <c r="D1102" s="14">
        <v>7798</v>
      </c>
      <c r="E1102" s="14">
        <v>284112</v>
      </c>
      <c r="F1102" s="15">
        <v>79321</v>
      </c>
    </row>
    <row r="1103" spans="1:6" x14ac:dyDescent="0.3">
      <c r="A1103" s="7">
        <v>2018</v>
      </c>
      <c r="B1103" s="8" t="s">
        <v>52</v>
      </c>
      <c r="C1103" s="8" t="s">
        <v>46</v>
      </c>
      <c r="D1103" s="14">
        <v>1268</v>
      </c>
      <c r="E1103" s="14">
        <v>46952</v>
      </c>
      <c r="F1103" s="15">
        <v>60459</v>
      </c>
    </row>
    <row r="1104" spans="1:6" x14ac:dyDescent="0.3">
      <c r="A1104" s="7">
        <v>2018</v>
      </c>
      <c r="B1104" s="8" t="s">
        <v>52</v>
      </c>
      <c r="C1104" s="8" t="s">
        <v>47</v>
      </c>
      <c r="D1104" s="14">
        <v>9432</v>
      </c>
      <c r="E1104" s="14">
        <v>475510</v>
      </c>
      <c r="F1104" s="15">
        <v>58047</v>
      </c>
    </row>
    <row r="1105" spans="1:6" x14ac:dyDescent="0.3">
      <c r="A1105" s="7">
        <v>2018</v>
      </c>
      <c r="B1105" s="8" t="s">
        <v>52</v>
      </c>
      <c r="C1105" s="8" t="s">
        <v>48</v>
      </c>
      <c r="D1105" s="8">
        <v>600</v>
      </c>
      <c r="E1105" s="14">
        <v>9721</v>
      </c>
      <c r="F1105" s="15">
        <v>67060</v>
      </c>
    </row>
    <row r="1106" spans="1:6" x14ac:dyDescent="0.3">
      <c r="A1106" s="7">
        <v>2018</v>
      </c>
      <c r="B1106" s="8" t="s">
        <v>54</v>
      </c>
      <c r="C1106" s="8" t="s">
        <v>1</v>
      </c>
      <c r="D1106" s="14">
        <v>32481</v>
      </c>
      <c r="E1106" s="14">
        <v>377561</v>
      </c>
      <c r="F1106" s="15">
        <v>41970</v>
      </c>
    </row>
    <row r="1107" spans="1:6" x14ac:dyDescent="0.3">
      <c r="A1107" s="7">
        <v>2018</v>
      </c>
      <c r="B1107" s="8" t="s">
        <v>54</v>
      </c>
      <c r="C1107" s="8" t="s">
        <v>2</v>
      </c>
      <c r="D1107" s="14">
        <v>31775</v>
      </c>
      <c r="E1107" s="14">
        <v>532318</v>
      </c>
      <c r="F1107" s="15">
        <v>46734</v>
      </c>
    </row>
    <row r="1108" spans="1:6" x14ac:dyDescent="0.3">
      <c r="A1108" s="7">
        <v>2018</v>
      </c>
      <c r="B1108" s="8" t="s">
        <v>54</v>
      </c>
      <c r="C1108" s="8" t="s">
        <v>3</v>
      </c>
      <c r="D1108" s="14">
        <v>21642</v>
      </c>
      <c r="E1108" s="14">
        <v>248584</v>
      </c>
      <c r="F1108" s="15">
        <v>41450</v>
      </c>
    </row>
    <row r="1109" spans="1:6" x14ac:dyDescent="0.3">
      <c r="A1109" s="7">
        <v>2018</v>
      </c>
      <c r="B1109" s="8" t="s">
        <v>54</v>
      </c>
      <c r="C1109" s="8" t="s">
        <v>4</v>
      </c>
      <c r="D1109" s="14">
        <v>196511</v>
      </c>
      <c r="E1109" s="14">
        <v>3033009</v>
      </c>
      <c r="F1109" s="15">
        <v>52020</v>
      </c>
    </row>
    <row r="1110" spans="1:6" x14ac:dyDescent="0.3">
      <c r="A1110" s="7">
        <v>2018</v>
      </c>
      <c r="B1110" s="8" t="s">
        <v>54</v>
      </c>
      <c r="C1110" s="8" t="s">
        <v>5</v>
      </c>
      <c r="D1110" s="14">
        <v>35891</v>
      </c>
      <c r="E1110" s="14">
        <v>466602</v>
      </c>
      <c r="F1110" s="15">
        <v>50043</v>
      </c>
    </row>
    <row r="1111" spans="1:6" x14ac:dyDescent="0.3">
      <c r="A1111" s="7">
        <v>2018</v>
      </c>
      <c r="B1111" s="8" t="s">
        <v>54</v>
      </c>
      <c r="C1111" s="8" t="s">
        <v>6</v>
      </c>
      <c r="D1111" s="14">
        <v>24902</v>
      </c>
      <c r="E1111" s="14">
        <v>296173</v>
      </c>
      <c r="F1111" s="15">
        <v>51041</v>
      </c>
    </row>
    <row r="1112" spans="1:6" x14ac:dyDescent="0.3">
      <c r="A1112" s="7">
        <v>2018</v>
      </c>
      <c r="B1112" s="8" t="s">
        <v>54</v>
      </c>
      <c r="C1112" s="8" t="s">
        <v>7</v>
      </c>
      <c r="D1112" s="14">
        <v>6850</v>
      </c>
      <c r="E1112" s="14">
        <v>79300</v>
      </c>
      <c r="F1112" s="15">
        <v>40843</v>
      </c>
    </row>
    <row r="1113" spans="1:6" x14ac:dyDescent="0.3">
      <c r="A1113" s="7">
        <v>2018</v>
      </c>
      <c r="B1113" s="8" t="s">
        <v>54</v>
      </c>
      <c r="C1113" s="8" t="s">
        <v>8</v>
      </c>
      <c r="D1113" s="14">
        <v>139486</v>
      </c>
      <c r="E1113" s="14">
        <v>1772605</v>
      </c>
      <c r="F1113" s="15">
        <v>44766</v>
      </c>
    </row>
    <row r="1114" spans="1:6" x14ac:dyDescent="0.3">
      <c r="A1114" s="7">
        <v>2018</v>
      </c>
      <c r="B1114" s="8" t="s">
        <v>54</v>
      </c>
      <c r="C1114" s="8" t="s">
        <v>9</v>
      </c>
      <c r="D1114" s="14">
        <v>60996</v>
      </c>
      <c r="E1114" s="14">
        <v>934259</v>
      </c>
      <c r="F1114" s="15">
        <v>49352</v>
      </c>
    </row>
    <row r="1115" spans="1:6" x14ac:dyDescent="0.3">
      <c r="A1115" s="7">
        <v>2018</v>
      </c>
      <c r="B1115" s="8" t="s">
        <v>54</v>
      </c>
      <c r="C1115" s="8" t="s">
        <v>10</v>
      </c>
      <c r="D1115" s="14">
        <v>11969</v>
      </c>
      <c r="E1115" s="14">
        <v>139473</v>
      </c>
      <c r="F1115" s="15">
        <v>39972</v>
      </c>
    </row>
    <row r="1116" spans="1:6" x14ac:dyDescent="0.3">
      <c r="A1116" s="7">
        <v>2018</v>
      </c>
      <c r="B1116" s="8" t="s">
        <v>54</v>
      </c>
      <c r="C1116" s="8" t="s">
        <v>11</v>
      </c>
      <c r="D1116" s="14">
        <v>78063</v>
      </c>
      <c r="E1116" s="14">
        <v>1192654</v>
      </c>
      <c r="F1116" s="15">
        <v>51570</v>
      </c>
    </row>
    <row r="1117" spans="1:6" x14ac:dyDescent="0.3">
      <c r="A1117" s="7">
        <v>2018</v>
      </c>
      <c r="B1117" s="8" t="s">
        <v>54</v>
      </c>
      <c r="C1117" s="8" t="s">
        <v>12</v>
      </c>
      <c r="D1117" s="14">
        <v>40681</v>
      </c>
      <c r="E1117" s="14">
        <v>591234</v>
      </c>
      <c r="F1117" s="15">
        <v>42092</v>
      </c>
    </row>
    <row r="1118" spans="1:6" x14ac:dyDescent="0.3">
      <c r="A1118" s="7">
        <v>2018</v>
      </c>
      <c r="B1118" s="8" t="s">
        <v>54</v>
      </c>
      <c r="C1118" s="8" t="s">
        <v>13</v>
      </c>
      <c r="D1118" s="14">
        <v>23521</v>
      </c>
      <c r="E1118" s="14">
        <v>309603</v>
      </c>
      <c r="F1118" s="15">
        <v>40539</v>
      </c>
    </row>
    <row r="1119" spans="1:6" x14ac:dyDescent="0.3">
      <c r="A1119" s="7">
        <v>2018</v>
      </c>
      <c r="B1119" s="8" t="s">
        <v>54</v>
      </c>
      <c r="C1119" s="8" t="s">
        <v>14</v>
      </c>
      <c r="D1119" s="14">
        <v>20370</v>
      </c>
      <c r="E1119" s="14">
        <v>263858</v>
      </c>
      <c r="F1119" s="15">
        <v>42235</v>
      </c>
    </row>
    <row r="1120" spans="1:6" x14ac:dyDescent="0.3">
      <c r="A1120" s="7">
        <v>2018</v>
      </c>
      <c r="B1120" s="8" t="s">
        <v>54</v>
      </c>
      <c r="C1120" s="8" t="s">
        <v>15</v>
      </c>
      <c r="D1120" s="14">
        <v>28056</v>
      </c>
      <c r="E1120" s="14">
        <v>399946</v>
      </c>
      <c r="F1120" s="15">
        <v>42623</v>
      </c>
    </row>
    <row r="1121" spans="1:6" x14ac:dyDescent="0.3">
      <c r="A1121" s="7">
        <v>2018</v>
      </c>
      <c r="B1121" s="8" t="s">
        <v>54</v>
      </c>
      <c r="C1121" s="8" t="s">
        <v>16</v>
      </c>
      <c r="D1121" s="14">
        <v>30545</v>
      </c>
      <c r="E1121" s="14">
        <v>377555</v>
      </c>
      <c r="F1121" s="15">
        <v>42196</v>
      </c>
    </row>
    <row r="1122" spans="1:6" x14ac:dyDescent="0.3">
      <c r="A1122" s="7">
        <v>2018</v>
      </c>
      <c r="B1122" s="8" t="s">
        <v>54</v>
      </c>
      <c r="C1122" s="8" t="s">
        <v>17</v>
      </c>
      <c r="D1122" s="14">
        <v>10761</v>
      </c>
      <c r="E1122" s="14">
        <v>118191</v>
      </c>
      <c r="F1122" s="15">
        <v>37589</v>
      </c>
    </row>
    <row r="1123" spans="1:6" x14ac:dyDescent="0.3">
      <c r="A1123" s="7">
        <v>2018</v>
      </c>
      <c r="B1123" s="8" t="s">
        <v>54</v>
      </c>
      <c r="C1123" s="8" t="s">
        <v>18</v>
      </c>
      <c r="D1123" s="14">
        <v>32767</v>
      </c>
      <c r="E1123" s="14">
        <v>462590</v>
      </c>
      <c r="F1123" s="15">
        <v>46648</v>
      </c>
    </row>
    <row r="1124" spans="1:6" x14ac:dyDescent="0.3">
      <c r="A1124" s="7">
        <v>2018</v>
      </c>
      <c r="B1124" s="8" t="s">
        <v>54</v>
      </c>
      <c r="C1124" s="8" t="s">
        <v>19</v>
      </c>
      <c r="D1124" s="14">
        <v>42171</v>
      </c>
      <c r="E1124" s="14">
        <v>577061</v>
      </c>
      <c r="F1124" s="15">
        <v>52937</v>
      </c>
    </row>
    <row r="1125" spans="1:6" x14ac:dyDescent="0.3">
      <c r="A1125" s="7">
        <v>2018</v>
      </c>
      <c r="B1125" s="8" t="s">
        <v>54</v>
      </c>
      <c r="C1125" s="8" t="s">
        <v>20</v>
      </c>
      <c r="D1125" s="14">
        <v>52459</v>
      </c>
      <c r="E1125" s="14">
        <v>786892</v>
      </c>
      <c r="F1125" s="15">
        <v>47200</v>
      </c>
    </row>
    <row r="1126" spans="1:6" x14ac:dyDescent="0.3">
      <c r="A1126" s="7">
        <v>2018</v>
      </c>
      <c r="B1126" s="8" t="s">
        <v>54</v>
      </c>
      <c r="C1126" s="8" t="s">
        <v>21</v>
      </c>
      <c r="D1126" s="14">
        <v>37272</v>
      </c>
      <c r="E1126" s="14">
        <v>531669</v>
      </c>
      <c r="F1126" s="15">
        <v>49570</v>
      </c>
    </row>
    <row r="1127" spans="1:6" x14ac:dyDescent="0.3">
      <c r="A1127" s="7">
        <v>2018</v>
      </c>
      <c r="B1127" s="8" t="s">
        <v>54</v>
      </c>
      <c r="C1127" s="8" t="s">
        <v>22</v>
      </c>
      <c r="D1127" s="14">
        <v>19763</v>
      </c>
      <c r="E1127" s="14">
        <v>229107</v>
      </c>
      <c r="F1127" s="15">
        <v>36497</v>
      </c>
    </row>
    <row r="1128" spans="1:6" x14ac:dyDescent="0.3">
      <c r="A1128" s="7">
        <v>2018</v>
      </c>
      <c r="B1128" s="8" t="s">
        <v>54</v>
      </c>
      <c r="C1128" s="8" t="s">
        <v>23</v>
      </c>
      <c r="D1128" s="14">
        <v>38808</v>
      </c>
      <c r="E1128" s="14">
        <v>537150</v>
      </c>
      <c r="F1128" s="15">
        <v>42469</v>
      </c>
    </row>
    <row r="1129" spans="1:6" x14ac:dyDescent="0.3">
      <c r="A1129" s="7">
        <v>2018</v>
      </c>
      <c r="B1129" s="8" t="s">
        <v>54</v>
      </c>
      <c r="C1129" s="8" t="s">
        <v>24</v>
      </c>
      <c r="D1129" s="14">
        <v>9250</v>
      </c>
      <c r="E1129" s="14">
        <v>91355</v>
      </c>
      <c r="F1129" s="15">
        <v>39170</v>
      </c>
    </row>
    <row r="1130" spans="1:6" x14ac:dyDescent="0.3">
      <c r="A1130" s="7">
        <v>2018</v>
      </c>
      <c r="B1130" s="8" t="s">
        <v>54</v>
      </c>
      <c r="C1130" s="8" t="s">
        <v>25</v>
      </c>
      <c r="D1130" s="14">
        <v>14923</v>
      </c>
      <c r="E1130" s="14">
        <v>189793</v>
      </c>
      <c r="F1130" s="15">
        <v>39891</v>
      </c>
    </row>
    <row r="1131" spans="1:6" x14ac:dyDescent="0.3">
      <c r="A1131" s="7">
        <v>2018</v>
      </c>
      <c r="B1131" s="8" t="s">
        <v>54</v>
      </c>
      <c r="C1131" s="8" t="s">
        <v>26</v>
      </c>
      <c r="D1131" s="14">
        <v>15829</v>
      </c>
      <c r="E1131" s="14">
        <v>254417</v>
      </c>
      <c r="F1131" s="15">
        <v>44190</v>
      </c>
    </row>
    <row r="1132" spans="1:6" x14ac:dyDescent="0.3">
      <c r="A1132" s="7">
        <v>2018</v>
      </c>
      <c r="B1132" s="8" t="s">
        <v>54</v>
      </c>
      <c r="C1132" s="8" t="s">
        <v>27</v>
      </c>
      <c r="D1132" s="14">
        <v>12509</v>
      </c>
      <c r="E1132" s="14">
        <v>139183</v>
      </c>
      <c r="F1132" s="15">
        <v>47777</v>
      </c>
    </row>
    <row r="1133" spans="1:6" x14ac:dyDescent="0.3">
      <c r="A1133" s="7">
        <v>2018</v>
      </c>
      <c r="B1133" s="8" t="s">
        <v>54</v>
      </c>
      <c r="C1133" s="8" t="s">
        <v>28</v>
      </c>
      <c r="D1133" s="14">
        <v>54238</v>
      </c>
      <c r="E1133" s="14">
        <v>876344</v>
      </c>
      <c r="F1133" s="15">
        <v>53723</v>
      </c>
    </row>
    <row r="1134" spans="1:6" x14ac:dyDescent="0.3">
      <c r="A1134" s="7">
        <v>2018</v>
      </c>
      <c r="B1134" s="8" t="s">
        <v>54</v>
      </c>
      <c r="C1134" s="8" t="s">
        <v>29</v>
      </c>
      <c r="D1134" s="14">
        <v>10758</v>
      </c>
      <c r="E1134" s="14">
        <v>135970</v>
      </c>
      <c r="F1134" s="15">
        <v>38078</v>
      </c>
    </row>
    <row r="1135" spans="1:6" x14ac:dyDescent="0.3">
      <c r="A1135" s="7">
        <v>2018</v>
      </c>
      <c r="B1135" s="8" t="s">
        <v>54</v>
      </c>
      <c r="C1135" s="8" t="s">
        <v>30</v>
      </c>
      <c r="D1135" s="14">
        <v>123741</v>
      </c>
      <c r="E1135" s="14">
        <v>1554768</v>
      </c>
      <c r="F1135" s="15">
        <v>51832</v>
      </c>
    </row>
    <row r="1136" spans="1:6" x14ac:dyDescent="0.3">
      <c r="A1136" s="7">
        <v>2018</v>
      </c>
      <c r="B1136" s="8" t="s">
        <v>54</v>
      </c>
      <c r="C1136" s="8" t="s">
        <v>31</v>
      </c>
      <c r="D1136" s="14">
        <v>61525</v>
      </c>
      <c r="E1136" s="14">
        <v>830550</v>
      </c>
      <c r="F1136" s="15">
        <v>43092</v>
      </c>
    </row>
    <row r="1137" spans="1:6" x14ac:dyDescent="0.3">
      <c r="A1137" s="7">
        <v>2018</v>
      </c>
      <c r="B1137" s="8" t="s">
        <v>54</v>
      </c>
      <c r="C1137" s="8" t="s">
        <v>32</v>
      </c>
      <c r="D1137" s="14">
        <v>7753</v>
      </c>
      <c r="E1137" s="14">
        <v>91635</v>
      </c>
      <c r="F1137" s="15">
        <v>49819</v>
      </c>
    </row>
    <row r="1138" spans="1:6" x14ac:dyDescent="0.3">
      <c r="A1138" s="7">
        <v>2018</v>
      </c>
      <c r="B1138" s="8" t="s">
        <v>54</v>
      </c>
      <c r="C1138" s="8" t="s">
        <v>33</v>
      </c>
      <c r="D1138" s="14">
        <v>68615</v>
      </c>
      <c r="E1138" s="14">
        <v>1017249</v>
      </c>
      <c r="F1138" s="15">
        <v>44247</v>
      </c>
    </row>
    <row r="1139" spans="1:6" x14ac:dyDescent="0.3">
      <c r="A1139" s="7">
        <v>2018</v>
      </c>
      <c r="B1139" s="8" t="s">
        <v>54</v>
      </c>
      <c r="C1139" s="8" t="s">
        <v>34</v>
      </c>
      <c r="D1139" s="14">
        <v>23748</v>
      </c>
      <c r="E1139" s="14">
        <v>297631</v>
      </c>
      <c r="F1139" s="15">
        <v>41554</v>
      </c>
    </row>
    <row r="1140" spans="1:6" x14ac:dyDescent="0.3">
      <c r="A1140" s="7">
        <v>2018</v>
      </c>
      <c r="B1140" s="8" t="s">
        <v>54</v>
      </c>
      <c r="C1140" s="8" t="s">
        <v>35</v>
      </c>
      <c r="D1140" s="14">
        <v>26503</v>
      </c>
      <c r="E1140" s="14">
        <v>349656</v>
      </c>
      <c r="F1140" s="15">
        <v>44347</v>
      </c>
    </row>
    <row r="1141" spans="1:6" x14ac:dyDescent="0.3">
      <c r="A1141" s="7">
        <v>2018</v>
      </c>
      <c r="B1141" s="8" t="s">
        <v>54</v>
      </c>
      <c r="C1141" s="8" t="s">
        <v>36</v>
      </c>
      <c r="D1141" s="14">
        <v>74845</v>
      </c>
      <c r="E1141" s="14">
        <v>1117054</v>
      </c>
      <c r="F1141" s="15">
        <v>45000</v>
      </c>
    </row>
    <row r="1142" spans="1:6" x14ac:dyDescent="0.3">
      <c r="A1142" s="7">
        <v>2018</v>
      </c>
      <c r="B1142" s="8" t="s">
        <v>54</v>
      </c>
      <c r="C1142" s="8" t="s">
        <v>37</v>
      </c>
      <c r="D1142" s="14">
        <v>7658</v>
      </c>
      <c r="E1142" s="14">
        <v>76762</v>
      </c>
      <c r="F1142" s="15">
        <v>43902</v>
      </c>
    </row>
    <row r="1143" spans="1:6" x14ac:dyDescent="0.3">
      <c r="A1143" s="7">
        <v>2018</v>
      </c>
      <c r="B1143" s="8" t="s">
        <v>54</v>
      </c>
      <c r="C1143" s="8" t="s">
        <v>38</v>
      </c>
      <c r="D1143" s="14">
        <v>30013</v>
      </c>
      <c r="E1143" s="14">
        <v>402308</v>
      </c>
      <c r="F1143" s="15">
        <v>39429</v>
      </c>
    </row>
    <row r="1144" spans="1:6" x14ac:dyDescent="0.3">
      <c r="A1144" s="7">
        <v>2018</v>
      </c>
      <c r="B1144" s="8" t="s">
        <v>54</v>
      </c>
      <c r="C1144" s="8" t="s">
        <v>39</v>
      </c>
      <c r="D1144" s="14">
        <v>8059</v>
      </c>
      <c r="E1144" s="14">
        <v>85734</v>
      </c>
      <c r="F1144" s="15">
        <v>39650</v>
      </c>
    </row>
    <row r="1145" spans="1:6" x14ac:dyDescent="0.3">
      <c r="A1145" s="7">
        <v>2018</v>
      </c>
      <c r="B1145" s="8" t="s">
        <v>54</v>
      </c>
      <c r="C1145" s="8" t="s">
        <v>40</v>
      </c>
      <c r="D1145" s="14">
        <v>40040</v>
      </c>
      <c r="E1145" s="14">
        <v>623566</v>
      </c>
      <c r="F1145" s="15">
        <v>46137</v>
      </c>
    </row>
    <row r="1146" spans="1:6" x14ac:dyDescent="0.3">
      <c r="A1146" s="7">
        <v>2018</v>
      </c>
      <c r="B1146" s="8" t="s">
        <v>54</v>
      </c>
      <c r="C1146" s="8" t="s">
        <v>41</v>
      </c>
      <c r="D1146" s="14">
        <v>147447</v>
      </c>
      <c r="E1146" s="14">
        <v>2465009</v>
      </c>
      <c r="F1146" s="15">
        <v>52337</v>
      </c>
    </row>
    <row r="1147" spans="1:6" x14ac:dyDescent="0.3">
      <c r="A1147" s="7">
        <v>2018</v>
      </c>
      <c r="B1147" s="8" t="s">
        <v>54</v>
      </c>
      <c r="C1147" s="8" t="s">
        <v>42</v>
      </c>
      <c r="D1147" s="14">
        <v>19531</v>
      </c>
      <c r="E1147" s="14">
        <v>284283</v>
      </c>
      <c r="F1147" s="15">
        <v>44163</v>
      </c>
    </row>
    <row r="1148" spans="1:6" x14ac:dyDescent="0.3">
      <c r="A1148" s="7">
        <v>2018</v>
      </c>
      <c r="B1148" s="8" t="s">
        <v>54</v>
      </c>
      <c r="C1148" s="8" t="s">
        <v>43</v>
      </c>
      <c r="D1148" s="14">
        <v>5084</v>
      </c>
      <c r="E1148" s="14">
        <v>54476</v>
      </c>
      <c r="F1148" s="15">
        <v>40351</v>
      </c>
    </row>
    <row r="1149" spans="1:6" x14ac:dyDescent="0.3">
      <c r="A1149" s="7">
        <v>2018</v>
      </c>
      <c r="B1149" s="8" t="s">
        <v>54</v>
      </c>
      <c r="C1149" s="8" t="s">
        <v>44</v>
      </c>
      <c r="D1149" s="14">
        <v>43180</v>
      </c>
      <c r="E1149" s="14">
        <v>650233</v>
      </c>
      <c r="F1149" s="15">
        <v>43886</v>
      </c>
    </row>
    <row r="1150" spans="1:6" x14ac:dyDescent="0.3">
      <c r="A1150" s="7">
        <v>2018</v>
      </c>
      <c r="B1150" s="8" t="s">
        <v>54</v>
      </c>
      <c r="C1150" s="8" t="s">
        <v>45</v>
      </c>
      <c r="D1150" s="14">
        <v>39324</v>
      </c>
      <c r="E1150" s="14">
        <v>621384</v>
      </c>
      <c r="F1150" s="15">
        <v>63994</v>
      </c>
    </row>
    <row r="1151" spans="1:6" x14ac:dyDescent="0.3">
      <c r="A1151" s="7">
        <v>2018</v>
      </c>
      <c r="B1151" s="8" t="s">
        <v>54</v>
      </c>
      <c r="C1151" s="8" t="s">
        <v>46</v>
      </c>
      <c r="D1151" s="14">
        <v>10925</v>
      </c>
      <c r="E1151" s="14">
        <v>128211</v>
      </c>
      <c r="F1151" s="15">
        <v>38698</v>
      </c>
    </row>
    <row r="1152" spans="1:6" x14ac:dyDescent="0.3">
      <c r="A1152" s="7">
        <v>2018</v>
      </c>
      <c r="B1152" s="8" t="s">
        <v>54</v>
      </c>
      <c r="C1152" s="8" t="s">
        <v>47</v>
      </c>
      <c r="D1152" s="14">
        <v>36496</v>
      </c>
      <c r="E1152" s="14">
        <v>541333</v>
      </c>
      <c r="F1152" s="15">
        <v>41512</v>
      </c>
    </row>
    <row r="1153" spans="1:6" x14ac:dyDescent="0.3">
      <c r="A1153" s="7">
        <v>2018</v>
      </c>
      <c r="B1153" s="8" t="s">
        <v>54</v>
      </c>
      <c r="C1153" s="8" t="s">
        <v>48</v>
      </c>
      <c r="D1153" s="14">
        <v>4830</v>
      </c>
      <c r="E1153" s="14">
        <v>49819</v>
      </c>
      <c r="F1153" s="15">
        <v>42737</v>
      </c>
    </row>
    <row r="1154" spans="1:6" x14ac:dyDescent="0.3">
      <c r="A1154" s="7">
        <v>2018</v>
      </c>
      <c r="B1154" s="8" t="s">
        <v>53</v>
      </c>
      <c r="C1154" s="8" t="s">
        <v>1</v>
      </c>
      <c r="D1154" s="14">
        <v>2168</v>
      </c>
      <c r="E1154" s="14">
        <v>21030</v>
      </c>
      <c r="F1154" s="15">
        <v>60025</v>
      </c>
    </row>
    <row r="1155" spans="1:6" x14ac:dyDescent="0.3">
      <c r="A1155" s="7">
        <v>2018</v>
      </c>
      <c r="B1155" s="8" t="s">
        <v>53</v>
      </c>
      <c r="C1155" s="8" t="s">
        <v>2</v>
      </c>
      <c r="D1155" s="14">
        <v>3113</v>
      </c>
      <c r="E1155" s="14">
        <v>47340</v>
      </c>
      <c r="F1155" s="15">
        <v>75499</v>
      </c>
    </row>
    <row r="1156" spans="1:6" x14ac:dyDescent="0.3">
      <c r="A1156" s="7">
        <v>2018</v>
      </c>
      <c r="B1156" s="8" t="s">
        <v>53</v>
      </c>
      <c r="C1156" s="8" t="s">
        <v>3</v>
      </c>
      <c r="D1156" s="14">
        <v>1210</v>
      </c>
      <c r="E1156" s="14">
        <v>10913</v>
      </c>
      <c r="F1156" s="15">
        <v>53828</v>
      </c>
    </row>
    <row r="1157" spans="1:6" x14ac:dyDescent="0.3">
      <c r="A1157" s="7">
        <v>2018</v>
      </c>
      <c r="B1157" s="8" t="s">
        <v>53</v>
      </c>
      <c r="C1157" s="8" t="s">
        <v>4</v>
      </c>
      <c r="D1157" s="14">
        <v>26592</v>
      </c>
      <c r="E1157" s="14">
        <v>525771</v>
      </c>
      <c r="F1157" s="15">
        <v>188173</v>
      </c>
    </row>
    <row r="1158" spans="1:6" x14ac:dyDescent="0.3">
      <c r="A1158" s="7">
        <v>2018</v>
      </c>
      <c r="B1158" s="8" t="s">
        <v>53</v>
      </c>
      <c r="C1158" s="8" t="s">
        <v>5</v>
      </c>
      <c r="D1158" s="14">
        <v>4173</v>
      </c>
      <c r="E1158" s="14">
        <v>75076</v>
      </c>
      <c r="F1158" s="15">
        <v>100735</v>
      </c>
    </row>
    <row r="1159" spans="1:6" x14ac:dyDescent="0.3">
      <c r="A1159" s="7">
        <v>2018</v>
      </c>
      <c r="B1159" s="8" t="s">
        <v>53</v>
      </c>
      <c r="C1159" s="8" t="s">
        <v>6</v>
      </c>
      <c r="D1159" s="14">
        <v>2306</v>
      </c>
      <c r="E1159" s="14">
        <v>31734</v>
      </c>
      <c r="F1159" s="15">
        <v>110642</v>
      </c>
    </row>
    <row r="1160" spans="1:6" x14ac:dyDescent="0.3">
      <c r="A1160" s="7">
        <v>2018</v>
      </c>
      <c r="B1160" s="8" t="s">
        <v>53</v>
      </c>
      <c r="C1160" s="8" t="s">
        <v>7</v>
      </c>
      <c r="D1160" s="8">
        <v>433</v>
      </c>
      <c r="E1160" s="14">
        <v>4065</v>
      </c>
      <c r="F1160" s="15">
        <v>65782</v>
      </c>
    </row>
    <row r="1161" spans="1:6" x14ac:dyDescent="0.3">
      <c r="A1161" s="7">
        <v>2018</v>
      </c>
      <c r="B1161" s="8" t="s">
        <v>53</v>
      </c>
      <c r="C1161" s="8" t="s">
        <v>8</v>
      </c>
      <c r="D1161" s="14">
        <v>11205</v>
      </c>
      <c r="E1161" s="14">
        <v>138995</v>
      </c>
      <c r="F1161" s="15">
        <v>81168</v>
      </c>
    </row>
    <row r="1162" spans="1:6" x14ac:dyDescent="0.3">
      <c r="A1162" s="7">
        <v>2018</v>
      </c>
      <c r="B1162" s="8" t="s">
        <v>53</v>
      </c>
      <c r="C1162" s="8" t="s">
        <v>9</v>
      </c>
      <c r="D1162" s="14">
        <v>5113</v>
      </c>
      <c r="E1162" s="14">
        <v>114231</v>
      </c>
      <c r="F1162" s="15">
        <v>96613</v>
      </c>
    </row>
    <row r="1163" spans="1:6" x14ac:dyDescent="0.3">
      <c r="A1163" s="7">
        <v>2018</v>
      </c>
      <c r="B1163" s="8" t="s">
        <v>53</v>
      </c>
      <c r="C1163" s="8" t="s">
        <v>10</v>
      </c>
      <c r="D1163" s="14">
        <v>1223</v>
      </c>
      <c r="E1163" s="14">
        <v>8798</v>
      </c>
      <c r="F1163" s="15">
        <v>52761</v>
      </c>
    </row>
    <row r="1164" spans="1:6" x14ac:dyDescent="0.3">
      <c r="A1164" s="7">
        <v>2018</v>
      </c>
      <c r="B1164" s="8" t="s">
        <v>53</v>
      </c>
      <c r="C1164" s="8" t="s">
        <v>11</v>
      </c>
      <c r="D1164" s="14">
        <v>6688</v>
      </c>
      <c r="E1164" s="14">
        <v>94330</v>
      </c>
      <c r="F1164" s="15">
        <v>91164</v>
      </c>
    </row>
    <row r="1165" spans="1:6" x14ac:dyDescent="0.3">
      <c r="A1165" s="7">
        <v>2018</v>
      </c>
      <c r="B1165" s="8" t="s">
        <v>53</v>
      </c>
      <c r="C1165" s="8" t="s">
        <v>12</v>
      </c>
      <c r="D1165" s="14">
        <v>2123</v>
      </c>
      <c r="E1165" s="14">
        <v>29375</v>
      </c>
      <c r="F1165" s="15">
        <v>60371</v>
      </c>
    </row>
    <row r="1166" spans="1:6" x14ac:dyDescent="0.3">
      <c r="A1166" s="7">
        <v>2018</v>
      </c>
      <c r="B1166" s="8" t="s">
        <v>53</v>
      </c>
      <c r="C1166" s="8" t="s">
        <v>13</v>
      </c>
      <c r="D1166" s="14">
        <v>1742</v>
      </c>
      <c r="E1166" s="14">
        <v>22018</v>
      </c>
      <c r="F1166" s="15">
        <v>58519</v>
      </c>
    </row>
    <row r="1167" spans="1:6" x14ac:dyDescent="0.3">
      <c r="A1167" s="7">
        <v>2018</v>
      </c>
      <c r="B1167" s="8" t="s">
        <v>53</v>
      </c>
      <c r="C1167" s="8" t="s">
        <v>14</v>
      </c>
      <c r="D1167" s="14">
        <v>1308</v>
      </c>
      <c r="E1167" s="14">
        <v>18664</v>
      </c>
      <c r="F1167" s="15">
        <v>63399</v>
      </c>
    </row>
    <row r="1168" spans="1:6" x14ac:dyDescent="0.3">
      <c r="A1168" s="7">
        <v>2018</v>
      </c>
      <c r="B1168" s="8" t="s">
        <v>53</v>
      </c>
      <c r="C1168" s="8" t="s">
        <v>15</v>
      </c>
      <c r="D1168" s="14">
        <v>1785</v>
      </c>
      <c r="E1168" s="14">
        <v>21989</v>
      </c>
      <c r="F1168" s="15">
        <v>54629</v>
      </c>
    </row>
    <row r="1169" spans="1:6" x14ac:dyDescent="0.3">
      <c r="A1169" s="7">
        <v>2018</v>
      </c>
      <c r="B1169" s="8" t="s">
        <v>53</v>
      </c>
      <c r="C1169" s="8" t="s">
        <v>16</v>
      </c>
      <c r="D1169" s="14">
        <v>1716</v>
      </c>
      <c r="E1169" s="14">
        <v>22869</v>
      </c>
      <c r="F1169" s="15">
        <v>58223</v>
      </c>
    </row>
    <row r="1170" spans="1:6" x14ac:dyDescent="0.3">
      <c r="A1170" s="7">
        <v>2018</v>
      </c>
      <c r="B1170" s="8" t="s">
        <v>53</v>
      </c>
      <c r="C1170" s="8" t="s">
        <v>17</v>
      </c>
      <c r="D1170" s="8">
        <v>849</v>
      </c>
      <c r="E1170" s="14">
        <v>7397</v>
      </c>
      <c r="F1170" s="15">
        <v>54502</v>
      </c>
    </row>
    <row r="1171" spans="1:6" x14ac:dyDescent="0.3">
      <c r="A1171" s="7">
        <v>2018</v>
      </c>
      <c r="B1171" s="8" t="s">
        <v>53</v>
      </c>
      <c r="C1171" s="8" t="s">
        <v>18</v>
      </c>
      <c r="D1171" s="14">
        <v>2737</v>
      </c>
      <c r="E1171" s="14">
        <v>36210</v>
      </c>
      <c r="F1171" s="15">
        <v>92844</v>
      </c>
    </row>
    <row r="1172" spans="1:6" x14ac:dyDescent="0.3">
      <c r="A1172" s="7">
        <v>2018</v>
      </c>
      <c r="B1172" s="8" t="s">
        <v>53</v>
      </c>
      <c r="C1172" s="8" t="s">
        <v>19</v>
      </c>
      <c r="D1172" s="14">
        <v>5379</v>
      </c>
      <c r="E1172" s="14">
        <v>91783</v>
      </c>
      <c r="F1172" s="15">
        <v>123118</v>
      </c>
    </row>
    <row r="1173" spans="1:6" x14ac:dyDescent="0.3">
      <c r="A1173" s="7">
        <v>2018</v>
      </c>
      <c r="B1173" s="8" t="s">
        <v>53</v>
      </c>
      <c r="C1173" s="8" t="s">
        <v>20</v>
      </c>
      <c r="D1173" s="14">
        <v>6287</v>
      </c>
      <c r="E1173" s="14">
        <v>56247</v>
      </c>
      <c r="F1173" s="15">
        <v>73556</v>
      </c>
    </row>
    <row r="1174" spans="1:6" x14ac:dyDescent="0.3">
      <c r="A1174" s="7">
        <v>2018</v>
      </c>
      <c r="B1174" s="8" t="s">
        <v>53</v>
      </c>
      <c r="C1174" s="8" t="s">
        <v>21</v>
      </c>
      <c r="D1174" s="14">
        <v>3977</v>
      </c>
      <c r="E1174" s="14">
        <v>49170</v>
      </c>
      <c r="F1174" s="15">
        <v>78903</v>
      </c>
    </row>
    <row r="1175" spans="1:6" x14ac:dyDescent="0.3">
      <c r="A1175" s="7">
        <v>2018</v>
      </c>
      <c r="B1175" s="8" t="s">
        <v>53</v>
      </c>
      <c r="C1175" s="8" t="s">
        <v>22</v>
      </c>
      <c r="D1175" s="8">
        <v>940</v>
      </c>
      <c r="E1175" s="14">
        <v>10980</v>
      </c>
      <c r="F1175" s="15">
        <v>49173</v>
      </c>
    </row>
    <row r="1176" spans="1:6" x14ac:dyDescent="0.3">
      <c r="A1176" s="7">
        <v>2018</v>
      </c>
      <c r="B1176" s="8" t="s">
        <v>53</v>
      </c>
      <c r="C1176" s="8" t="s">
        <v>23</v>
      </c>
      <c r="D1176" s="14">
        <v>3049</v>
      </c>
      <c r="E1176" s="14">
        <v>47666</v>
      </c>
      <c r="F1176" s="15">
        <v>81842</v>
      </c>
    </row>
    <row r="1177" spans="1:6" x14ac:dyDescent="0.3">
      <c r="A1177" s="7">
        <v>2018</v>
      </c>
      <c r="B1177" s="8" t="s">
        <v>53</v>
      </c>
      <c r="C1177" s="8" t="s">
        <v>24</v>
      </c>
      <c r="D1177" s="8">
        <v>801</v>
      </c>
      <c r="E1177" s="14">
        <v>6350</v>
      </c>
      <c r="F1177" s="15">
        <v>54475</v>
      </c>
    </row>
    <row r="1178" spans="1:6" x14ac:dyDescent="0.3">
      <c r="A1178" s="7">
        <v>2018</v>
      </c>
      <c r="B1178" s="8" t="s">
        <v>53</v>
      </c>
      <c r="C1178" s="8" t="s">
        <v>25</v>
      </c>
      <c r="D1178" s="8">
        <v>973</v>
      </c>
      <c r="E1178" s="14">
        <v>17653</v>
      </c>
      <c r="F1178" s="15">
        <v>64407</v>
      </c>
    </row>
    <row r="1179" spans="1:6" x14ac:dyDescent="0.3">
      <c r="A1179" s="7">
        <v>2018</v>
      </c>
      <c r="B1179" s="8" t="s">
        <v>53</v>
      </c>
      <c r="C1179" s="8" t="s">
        <v>26</v>
      </c>
      <c r="D1179" s="14">
        <v>1541</v>
      </c>
      <c r="E1179" s="14">
        <v>15646</v>
      </c>
      <c r="F1179" s="15">
        <v>70292</v>
      </c>
    </row>
    <row r="1180" spans="1:6" x14ac:dyDescent="0.3">
      <c r="A1180" s="7">
        <v>2018</v>
      </c>
      <c r="B1180" s="8" t="s">
        <v>53</v>
      </c>
      <c r="C1180" s="8" t="s">
        <v>27</v>
      </c>
      <c r="D1180" s="8">
        <v>892</v>
      </c>
      <c r="E1180" s="14">
        <v>12351</v>
      </c>
      <c r="F1180" s="15">
        <v>93599</v>
      </c>
    </row>
    <row r="1181" spans="1:6" x14ac:dyDescent="0.3">
      <c r="A1181" s="7">
        <v>2018</v>
      </c>
      <c r="B1181" s="8" t="s">
        <v>53</v>
      </c>
      <c r="C1181" s="8" t="s">
        <v>28</v>
      </c>
      <c r="D1181" s="14">
        <v>3722</v>
      </c>
      <c r="E1181" s="14">
        <v>69519</v>
      </c>
      <c r="F1181" s="15">
        <v>114630</v>
      </c>
    </row>
    <row r="1182" spans="1:6" x14ac:dyDescent="0.3">
      <c r="A1182" s="7">
        <v>2018</v>
      </c>
      <c r="B1182" s="8" t="s">
        <v>53</v>
      </c>
      <c r="C1182" s="8" t="s">
        <v>29</v>
      </c>
      <c r="D1182" s="8">
        <v>987</v>
      </c>
      <c r="E1182" s="14">
        <v>12015</v>
      </c>
      <c r="F1182" s="15">
        <v>53204</v>
      </c>
    </row>
    <row r="1183" spans="1:6" x14ac:dyDescent="0.3">
      <c r="A1183" s="7">
        <v>2018</v>
      </c>
      <c r="B1183" s="8" t="s">
        <v>53</v>
      </c>
      <c r="C1183" s="8" t="s">
        <v>30</v>
      </c>
      <c r="D1183" s="14">
        <v>12672</v>
      </c>
      <c r="E1183" s="14">
        <v>275598</v>
      </c>
      <c r="F1183" s="15">
        <v>129853</v>
      </c>
    </row>
    <row r="1184" spans="1:6" x14ac:dyDescent="0.3">
      <c r="A1184" s="7">
        <v>2018</v>
      </c>
      <c r="B1184" s="8" t="s">
        <v>53</v>
      </c>
      <c r="C1184" s="8" t="s">
        <v>31</v>
      </c>
      <c r="D1184" s="14">
        <v>5238</v>
      </c>
      <c r="E1184" s="14">
        <v>79945</v>
      </c>
      <c r="F1184" s="15">
        <v>83920</v>
      </c>
    </row>
    <row r="1185" spans="1:6" x14ac:dyDescent="0.3">
      <c r="A1185" s="7">
        <v>2018</v>
      </c>
      <c r="B1185" s="8" t="s">
        <v>53</v>
      </c>
      <c r="C1185" s="8" t="s">
        <v>32</v>
      </c>
      <c r="D1185" s="8">
        <v>395</v>
      </c>
      <c r="E1185" s="14">
        <v>6221</v>
      </c>
      <c r="F1185" s="15">
        <v>70208</v>
      </c>
    </row>
    <row r="1186" spans="1:6" x14ac:dyDescent="0.3">
      <c r="A1186" s="7">
        <v>2018</v>
      </c>
      <c r="B1186" s="8" t="s">
        <v>53</v>
      </c>
      <c r="C1186" s="8" t="s">
        <v>33</v>
      </c>
      <c r="D1186" s="14">
        <v>4616</v>
      </c>
      <c r="E1186" s="14">
        <v>70930</v>
      </c>
      <c r="F1186" s="15">
        <v>70006</v>
      </c>
    </row>
    <row r="1187" spans="1:6" x14ac:dyDescent="0.3">
      <c r="A1187" s="7">
        <v>2018</v>
      </c>
      <c r="B1187" s="8" t="s">
        <v>53</v>
      </c>
      <c r="C1187" s="8" t="s">
        <v>34</v>
      </c>
      <c r="D1187" s="14">
        <v>1469</v>
      </c>
      <c r="E1187" s="14">
        <v>19859</v>
      </c>
      <c r="F1187" s="15">
        <v>58997</v>
      </c>
    </row>
    <row r="1188" spans="1:6" x14ac:dyDescent="0.3">
      <c r="A1188" s="7">
        <v>2018</v>
      </c>
      <c r="B1188" s="8" t="s">
        <v>53</v>
      </c>
      <c r="C1188" s="8" t="s">
        <v>35</v>
      </c>
      <c r="D1188" s="14">
        <v>3768</v>
      </c>
      <c r="E1188" s="14">
        <v>34277</v>
      </c>
      <c r="F1188" s="15">
        <v>87733</v>
      </c>
    </row>
    <row r="1189" spans="1:6" x14ac:dyDescent="0.3">
      <c r="A1189" s="7">
        <v>2018</v>
      </c>
      <c r="B1189" s="8" t="s">
        <v>53</v>
      </c>
      <c r="C1189" s="8" t="s">
        <v>36</v>
      </c>
      <c r="D1189" s="14">
        <v>4896</v>
      </c>
      <c r="E1189" s="14">
        <v>85970</v>
      </c>
      <c r="F1189" s="15">
        <v>87091</v>
      </c>
    </row>
    <row r="1190" spans="1:6" x14ac:dyDescent="0.3">
      <c r="A1190" s="7">
        <v>2018</v>
      </c>
      <c r="B1190" s="8" t="s">
        <v>53</v>
      </c>
      <c r="C1190" s="8" t="s">
        <v>37</v>
      </c>
      <c r="D1190" s="8">
        <v>715</v>
      </c>
      <c r="E1190" s="14">
        <v>5930</v>
      </c>
      <c r="F1190" s="15">
        <v>74327</v>
      </c>
    </row>
    <row r="1191" spans="1:6" x14ac:dyDescent="0.3">
      <c r="A1191" s="7">
        <v>2018</v>
      </c>
      <c r="B1191" s="8" t="s">
        <v>53</v>
      </c>
      <c r="C1191" s="8" t="s">
        <v>38</v>
      </c>
      <c r="D1191" s="14">
        <v>2548</v>
      </c>
      <c r="E1191" s="14">
        <v>28067</v>
      </c>
      <c r="F1191" s="15">
        <v>61977</v>
      </c>
    </row>
    <row r="1192" spans="1:6" x14ac:dyDescent="0.3">
      <c r="A1192" s="7">
        <v>2018</v>
      </c>
      <c r="B1192" s="8" t="s">
        <v>53</v>
      </c>
      <c r="C1192" s="8" t="s">
        <v>39</v>
      </c>
      <c r="D1192" s="8">
        <v>561</v>
      </c>
      <c r="E1192" s="14">
        <v>5589</v>
      </c>
      <c r="F1192" s="15">
        <v>49334</v>
      </c>
    </row>
    <row r="1193" spans="1:6" x14ac:dyDescent="0.3">
      <c r="A1193" s="7">
        <v>2018</v>
      </c>
      <c r="B1193" s="8" t="s">
        <v>53</v>
      </c>
      <c r="C1193" s="8" t="s">
        <v>40</v>
      </c>
      <c r="D1193" s="14">
        <v>3519</v>
      </c>
      <c r="E1193" s="14">
        <v>44851</v>
      </c>
      <c r="F1193" s="15">
        <v>73821</v>
      </c>
    </row>
    <row r="1194" spans="1:6" x14ac:dyDescent="0.3">
      <c r="A1194" s="7">
        <v>2018</v>
      </c>
      <c r="B1194" s="8" t="s">
        <v>53</v>
      </c>
      <c r="C1194" s="8" t="s">
        <v>41</v>
      </c>
      <c r="D1194" s="14">
        <v>9828</v>
      </c>
      <c r="E1194" s="14">
        <v>203822</v>
      </c>
      <c r="F1194" s="15">
        <v>87085</v>
      </c>
    </row>
    <row r="1195" spans="1:6" x14ac:dyDescent="0.3">
      <c r="A1195" s="7">
        <v>2018</v>
      </c>
      <c r="B1195" s="8" t="s">
        <v>53</v>
      </c>
      <c r="C1195" s="8" t="s">
        <v>42</v>
      </c>
      <c r="D1195" s="14">
        <v>2489</v>
      </c>
      <c r="E1195" s="14">
        <v>36783</v>
      </c>
      <c r="F1195" s="15">
        <v>78404</v>
      </c>
    </row>
    <row r="1196" spans="1:6" x14ac:dyDescent="0.3">
      <c r="A1196" s="7">
        <v>2018</v>
      </c>
      <c r="B1196" s="8" t="s">
        <v>53</v>
      </c>
      <c r="C1196" s="8" t="s">
        <v>43</v>
      </c>
      <c r="D1196" s="8">
        <v>505</v>
      </c>
      <c r="E1196" s="14">
        <v>4280</v>
      </c>
      <c r="F1196" s="15">
        <v>59800</v>
      </c>
    </row>
    <row r="1197" spans="1:6" x14ac:dyDescent="0.3">
      <c r="A1197" s="7">
        <v>2018</v>
      </c>
      <c r="B1197" s="8" t="s">
        <v>53</v>
      </c>
      <c r="C1197" s="8" t="s">
        <v>44</v>
      </c>
      <c r="D1197" s="14">
        <v>4379</v>
      </c>
      <c r="E1197" s="14">
        <v>66998</v>
      </c>
      <c r="F1197" s="15">
        <v>100731</v>
      </c>
    </row>
    <row r="1198" spans="1:6" x14ac:dyDescent="0.3">
      <c r="A1198" s="7">
        <v>2018</v>
      </c>
      <c r="B1198" s="8" t="s">
        <v>53</v>
      </c>
      <c r="C1198" s="8" t="s">
        <v>45</v>
      </c>
      <c r="D1198" s="14">
        <v>4629</v>
      </c>
      <c r="E1198" s="14">
        <v>133126</v>
      </c>
      <c r="F1198" s="15">
        <v>194631</v>
      </c>
    </row>
    <row r="1199" spans="1:6" x14ac:dyDescent="0.3">
      <c r="A1199" s="7">
        <v>2018</v>
      </c>
      <c r="B1199" s="8" t="s">
        <v>53</v>
      </c>
      <c r="C1199" s="8" t="s">
        <v>46</v>
      </c>
      <c r="D1199" s="8">
        <v>789</v>
      </c>
      <c r="E1199" s="14">
        <v>8288</v>
      </c>
      <c r="F1199" s="15">
        <v>52508</v>
      </c>
    </row>
    <row r="1200" spans="1:6" x14ac:dyDescent="0.3">
      <c r="A1200" s="7">
        <v>2018</v>
      </c>
      <c r="B1200" s="8" t="s">
        <v>53</v>
      </c>
      <c r="C1200" s="8" t="s">
        <v>47</v>
      </c>
      <c r="D1200" s="14">
        <v>2298</v>
      </c>
      <c r="E1200" s="14">
        <v>47152</v>
      </c>
      <c r="F1200" s="15">
        <v>75414</v>
      </c>
    </row>
    <row r="1201" spans="1:6" x14ac:dyDescent="0.3">
      <c r="A1201" s="7">
        <v>2018</v>
      </c>
      <c r="B1201" s="8" t="s">
        <v>53</v>
      </c>
      <c r="C1201" s="8" t="s">
        <v>48</v>
      </c>
      <c r="D1201" s="8">
        <v>398</v>
      </c>
      <c r="E1201" s="14">
        <v>3554</v>
      </c>
      <c r="F1201" s="15">
        <v>47401</v>
      </c>
    </row>
    <row r="1202" spans="1:6" x14ac:dyDescent="0.3">
      <c r="A1202" s="7">
        <v>2018</v>
      </c>
      <c r="B1202" s="8" t="s">
        <v>56</v>
      </c>
      <c r="C1202" s="8" t="s">
        <v>1</v>
      </c>
      <c r="D1202" s="14">
        <v>13364</v>
      </c>
      <c r="E1202" s="14">
        <v>94561</v>
      </c>
      <c r="F1202" s="15">
        <v>69240</v>
      </c>
    </row>
    <row r="1203" spans="1:6" x14ac:dyDescent="0.3">
      <c r="A1203" s="7">
        <v>2018</v>
      </c>
      <c r="B1203" s="8" t="s">
        <v>56</v>
      </c>
      <c r="C1203" s="8" t="s">
        <v>2</v>
      </c>
      <c r="D1203" s="14">
        <v>17978</v>
      </c>
      <c r="E1203" s="14">
        <v>214637</v>
      </c>
      <c r="F1203" s="15">
        <v>70877</v>
      </c>
    </row>
    <row r="1204" spans="1:6" x14ac:dyDescent="0.3">
      <c r="A1204" s="7">
        <v>2018</v>
      </c>
      <c r="B1204" s="8" t="s">
        <v>56</v>
      </c>
      <c r="C1204" s="8" t="s">
        <v>3</v>
      </c>
      <c r="D1204" s="14">
        <v>8418</v>
      </c>
      <c r="E1204" s="14">
        <v>50647</v>
      </c>
      <c r="F1204" s="15">
        <v>58119</v>
      </c>
    </row>
    <row r="1205" spans="1:6" x14ac:dyDescent="0.3">
      <c r="A1205" s="7">
        <v>2018</v>
      </c>
      <c r="B1205" s="8" t="s">
        <v>56</v>
      </c>
      <c r="C1205" s="8" t="s">
        <v>4</v>
      </c>
      <c r="D1205" s="14">
        <v>106953</v>
      </c>
      <c r="E1205" s="14">
        <v>835896</v>
      </c>
      <c r="F1205" s="15">
        <v>107228</v>
      </c>
    </row>
    <row r="1206" spans="1:6" x14ac:dyDescent="0.3">
      <c r="A1206" s="7">
        <v>2018</v>
      </c>
      <c r="B1206" s="8" t="s">
        <v>56</v>
      </c>
      <c r="C1206" s="8" t="s">
        <v>5</v>
      </c>
      <c r="D1206" s="14">
        <v>23326</v>
      </c>
      <c r="E1206" s="14">
        <v>164801</v>
      </c>
      <c r="F1206" s="15">
        <v>84615</v>
      </c>
    </row>
    <row r="1207" spans="1:6" x14ac:dyDescent="0.3">
      <c r="A1207" s="7">
        <v>2018</v>
      </c>
      <c r="B1207" s="8" t="s">
        <v>56</v>
      </c>
      <c r="C1207" s="8" t="s">
        <v>6</v>
      </c>
      <c r="D1207" s="14">
        <v>10879</v>
      </c>
      <c r="E1207" s="14">
        <v>123655</v>
      </c>
      <c r="F1207" s="15">
        <v>155433</v>
      </c>
    </row>
    <row r="1208" spans="1:6" x14ac:dyDescent="0.3">
      <c r="A1208" s="7">
        <v>2018</v>
      </c>
      <c r="B1208" s="8" t="s">
        <v>56</v>
      </c>
      <c r="C1208" s="8" t="s">
        <v>7</v>
      </c>
      <c r="D1208" s="14">
        <v>2859</v>
      </c>
      <c r="E1208" s="14">
        <v>47609</v>
      </c>
      <c r="F1208" s="15">
        <v>95574</v>
      </c>
    </row>
    <row r="1209" spans="1:6" x14ac:dyDescent="0.3">
      <c r="A1209" s="7">
        <v>2018</v>
      </c>
      <c r="B1209" s="8" t="s">
        <v>56</v>
      </c>
      <c r="C1209" s="8" t="s">
        <v>8</v>
      </c>
      <c r="D1209" s="14">
        <v>73412</v>
      </c>
      <c r="E1209" s="14">
        <v>570645</v>
      </c>
      <c r="F1209" s="15">
        <v>75337</v>
      </c>
    </row>
    <row r="1210" spans="1:6" x14ac:dyDescent="0.3">
      <c r="A1210" s="7">
        <v>2018</v>
      </c>
      <c r="B1210" s="8" t="s">
        <v>56</v>
      </c>
      <c r="C1210" s="8" t="s">
        <v>9</v>
      </c>
      <c r="D1210" s="14">
        <v>26225</v>
      </c>
      <c r="E1210" s="14">
        <v>237900</v>
      </c>
      <c r="F1210" s="15">
        <v>84587</v>
      </c>
    </row>
    <row r="1211" spans="1:6" x14ac:dyDescent="0.3">
      <c r="A1211" s="7">
        <v>2018</v>
      </c>
      <c r="B1211" s="8" t="s">
        <v>56</v>
      </c>
      <c r="C1211" s="8" t="s">
        <v>10</v>
      </c>
      <c r="D1211" s="14">
        <v>5824</v>
      </c>
      <c r="E1211" s="14">
        <v>32493</v>
      </c>
      <c r="F1211" s="15">
        <v>56024</v>
      </c>
    </row>
    <row r="1212" spans="1:6" x14ac:dyDescent="0.3">
      <c r="A1212" s="7">
        <v>2018</v>
      </c>
      <c r="B1212" s="8" t="s">
        <v>56</v>
      </c>
      <c r="C1212" s="8" t="s">
        <v>11</v>
      </c>
      <c r="D1212" s="14">
        <v>32448</v>
      </c>
      <c r="E1212" s="14">
        <v>373685</v>
      </c>
      <c r="F1212" s="15">
        <v>109598</v>
      </c>
    </row>
    <row r="1213" spans="1:6" x14ac:dyDescent="0.3">
      <c r="A1213" s="7">
        <v>2018</v>
      </c>
      <c r="B1213" s="8" t="s">
        <v>56</v>
      </c>
      <c r="C1213" s="8" t="s">
        <v>12</v>
      </c>
      <c r="D1213" s="14">
        <v>16542</v>
      </c>
      <c r="E1213" s="14">
        <v>133603</v>
      </c>
      <c r="F1213" s="15">
        <v>65167</v>
      </c>
    </row>
    <row r="1214" spans="1:6" x14ac:dyDescent="0.3">
      <c r="A1214" s="7">
        <v>2018</v>
      </c>
      <c r="B1214" s="8" t="s">
        <v>56</v>
      </c>
      <c r="C1214" s="8" t="s">
        <v>13</v>
      </c>
      <c r="D1214" s="14">
        <v>10213</v>
      </c>
      <c r="E1214" s="14">
        <v>109030</v>
      </c>
      <c r="F1214" s="15">
        <v>73894</v>
      </c>
    </row>
    <row r="1215" spans="1:6" x14ac:dyDescent="0.3">
      <c r="A1215" s="7">
        <v>2018</v>
      </c>
      <c r="B1215" s="8" t="s">
        <v>56</v>
      </c>
      <c r="C1215" s="8" t="s">
        <v>14</v>
      </c>
      <c r="D1215" s="14">
        <v>8870</v>
      </c>
      <c r="E1215" s="14">
        <v>73500</v>
      </c>
      <c r="F1215" s="15">
        <v>67710</v>
      </c>
    </row>
    <row r="1216" spans="1:6" x14ac:dyDescent="0.3">
      <c r="A1216" s="7">
        <v>2018</v>
      </c>
      <c r="B1216" s="8" t="s">
        <v>56</v>
      </c>
      <c r="C1216" s="8" t="s">
        <v>15</v>
      </c>
      <c r="D1216" s="14">
        <v>11035</v>
      </c>
      <c r="E1216" s="14">
        <v>92881</v>
      </c>
      <c r="F1216" s="15">
        <v>67733</v>
      </c>
    </row>
    <row r="1217" spans="1:6" x14ac:dyDescent="0.3">
      <c r="A1217" s="7">
        <v>2018</v>
      </c>
      <c r="B1217" s="8" t="s">
        <v>56</v>
      </c>
      <c r="C1217" s="8" t="s">
        <v>16</v>
      </c>
      <c r="D1217" s="14">
        <v>13754</v>
      </c>
      <c r="E1217" s="14">
        <v>85071</v>
      </c>
      <c r="F1217" s="15">
        <v>62731</v>
      </c>
    </row>
    <row r="1218" spans="1:6" x14ac:dyDescent="0.3">
      <c r="A1218" s="7">
        <v>2018</v>
      </c>
      <c r="B1218" s="8" t="s">
        <v>56</v>
      </c>
      <c r="C1218" s="8" t="s">
        <v>17</v>
      </c>
      <c r="D1218" s="14">
        <v>3804</v>
      </c>
      <c r="E1218" s="14">
        <v>29811</v>
      </c>
      <c r="F1218" s="15">
        <v>68174</v>
      </c>
    </row>
    <row r="1219" spans="1:6" x14ac:dyDescent="0.3">
      <c r="A1219" s="7">
        <v>2018</v>
      </c>
      <c r="B1219" s="8" t="s">
        <v>56</v>
      </c>
      <c r="C1219" s="8" t="s">
        <v>18</v>
      </c>
      <c r="D1219" s="14">
        <v>15277</v>
      </c>
      <c r="E1219" s="14">
        <v>138261</v>
      </c>
      <c r="F1219" s="15">
        <v>94201</v>
      </c>
    </row>
    <row r="1220" spans="1:6" x14ac:dyDescent="0.3">
      <c r="A1220" s="7">
        <v>2018</v>
      </c>
      <c r="B1220" s="8" t="s">
        <v>56</v>
      </c>
      <c r="C1220" s="8" t="s">
        <v>19</v>
      </c>
      <c r="D1220" s="14">
        <v>17504</v>
      </c>
      <c r="E1220" s="14">
        <v>217151</v>
      </c>
      <c r="F1220" s="15">
        <v>144514</v>
      </c>
    </row>
    <row r="1221" spans="1:6" x14ac:dyDescent="0.3">
      <c r="A1221" s="7">
        <v>2018</v>
      </c>
      <c r="B1221" s="8" t="s">
        <v>56</v>
      </c>
      <c r="C1221" s="8" t="s">
        <v>20</v>
      </c>
      <c r="D1221" s="14">
        <v>19082</v>
      </c>
      <c r="E1221" s="14">
        <v>203261</v>
      </c>
      <c r="F1221" s="15">
        <v>71568</v>
      </c>
    </row>
    <row r="1222" spans="1:6" x14ac:dyDescent="0.3">
      <c r="A1222" s="7">
        <v>2018</v>
      </c>
      <c r="B1222" s="8" t="s">
        <v>56</v>
      </c>
      <c r="C1222" s="8" t="s">
        <v>21</v>
      </c>
      <c r="D1222" s="14">
        <v>15877</v>
      </c>
      <c r="E1222" s="14">
        <v>178309</v>
      </c>
      <c r="F1222" s="15">
        <v>95604</v>
      </c>
    </row>
    <row r="1223" spans="1:6" x14ac:dyDescent="0.3">
      <c r="A1223" s="7">
        <v>2018</v>
      </c>
      <c r="B1223" s="8" t="s">
        <v>56</v>
      </c>
      <c r="C1223" s="8" t="s">
        <v>22</v>
      </c>
      <c r="D1223" s="14">
        <v>7959</v>
      </c>
      <c r="E1223" s="14">
        <v>42911</v>
      </c>
      <c r="F1223" s="15">
        <v>53281</v>
      </c>
    </row>
    <row r="1224" spans="1:6" x14ac:dyDescent="0.3">
      <c r="A1224" s="7">
        <v>2018</v>
      </c>
      <c r="B1224" s="8" t="s">
        <v>56</v>
      </c>
      <c r="C1224" s="8" t="s">
        <v>23</v>
      </c>
      <c r="D1224" s="14">
        <v>17251</v>
      </c>
      <c r="E1224" s="14">
        <v>162755</v>
      </c>
      <c r="F1224" s="15">
        <v>72947</v>
      </c>
    </row>
    <row r="1225" spans="1:6" x14ac:dyDescent="0.3">
      <c r="A1225" s="7">
        <v>2018</v>
      </c>
      <c r="B1225" s="8" t="s">
        <v>56</v>
      </c>
      <c r="C1225" s="8" t="s">
        <v>24</v>
      </c>
      <c r="D1225" s="14">
        <v>4297</v>
      </c>
      <c r="E1225" s="14">
        <v>21204</v>
      </c>
      <c r="F1225" s="15">
        <v>59315</v>
      </c>
    </row>
    <row r="1226" spans="1:6" x14ac:dyDescent="0.3">
      <c r="A1226" s="7">
        <v>2018</v>
      </c>
      <c r="B1226" s="8" t="s">
        <v>56</v>
      </c>
      <c r="C1226" s="8" t="s">
        <v>25</v>
      </c>
      <c r="D1226" s="14">
        <v>6683</v>
      </c>
      <c r="E1226" s="14">
        <v>66245</v>
      </c>
      <c r="F1226" s="15">
        <v>66817</v>
      </c>
    </row>
    <row r="1227" spans="1:6" x14ac:dyDescent="0.3">
      <c r="A1227" s="7">
        <v>2018</v>
      </c>
      <c r="B1227" s="8" t="s">
        <v>56</v>
      </c>
      <c r="C1227" s="8" t="s">
        <v>26</v>
      </c>
      <c r="D1227" s="14">
        <v>9082</v>
      </c>
      <c r="E1227" s="14">
        <v>63303</v>
      </c>
      <c r="F1227" s="15">
        <v>66612</v>
      </c>
    </row>
    <row r="1228" spans="1:6" x14ac:dyDescent="0.3">
      <c r="A1228" s="7">
        <v>2018</v>
      </c>
      <c r="B1228" s="8" t="s">
        <v>56</v>
      </c>
      <c r="C1228" s="8" t="s">
        <v>27</v>
      </c>
      <c r="D1228" s="14">
        <v>3838</v>
      </c>
      <c r="E1228" s="14">
        <v>33486</v>
      </c>
      <c r="F1228" s="15">
        <v>94889</v>
      </c>
    </row>
    <row r="1229" spans="1:6" x14ac:dyDescent="0.3">
      <c r="A1229" s="7">
        <v>2018</v>
      </c>
      <c r="B1229" s="8" t="s">
        <v>56</v>
      </c>
      <c r="C1229" s="8" t="s">
        <v>28</v>
      </c>
      <c r="D1229" s="14">
        <v>19963</v>
      </c>
      <c r="E1229" s="14">
        <v>242994</v>
      </c>
      <c r="F1229" s="15">
        <v>115066</v>
      </c>
    </row>
    <row r="1230" spans="1:6" x14ac:dyDescent="0.3">
      <c r="A1230" s="7">
        <v>2018</v>
      </c>
      <c r="B1230" s="8" t="s">
        <v>56</v>
      </c>
      <c r="C1230" s="8" t="s">
        <v>29</v>
      </c>
      <c r="D1230" s="14">
        <v>5293</v>
      </c>
      <c r="E1230" s="14">
        <v>32955</v>
      </c>
      <c r="F1230" s="15">
        <v>56048</v>
      </c>
    </row>
    <row r="1231" spans="1:6" x14ac:dyDescent="0.3">
      <c r="A1231" s="7">
        <v>2018</v>
      </c>
      <c r="B1231" s="8" t="s">
        <v>56</v>
      </c>
      <c r="C1231" s="8" t="s">
        <v>30</v>
      </c>
      <c r="D1231" s="14">
        <v>64317</v>
      </c>
      <c r="E1231" s="14">
        <v>714540</v>
      </c>
      <c r="F1231" s="15">
        <v>186871</v>
      </c>
    </row>
    <row r="1232" spans="1:6" x14ac:dyDescent="0.3">
      <c r="A1232" s="7">
        <v>2018</v>
      </c>
      <c r="B1232" s="8" t="s">
        <v>56</v>
      </c>
      <c r="C1232" s="8" t="s">
        <v>31</v>
      </c>
      <c r="D1232" s="14">
        <v>27776</v>
      </c>
      <c r="E1232" s="14">
        <v>233277</v>
      </c>
      <c r="F1232" s="15">
        <v>87311</v>
      </c>
    </row>
    <row r="1233" spans="1:6" x14ac:dyDescent="0.3">
      <c r="A1233" s="7">
        <v>2018</v>
      </c>
      <c r="B1233" s="8" t="s">
        <v>56</v>
      </c>
      <c r="C1233" s="8" t="s">
        <v>32</v>
      </c>
      <c r="D1233" s="14">
        <v>2995</v>
      </c>
      <c r="E1233" s="14">
        <v>23145</v>
      </c>
      <c r="F1233" s="15">
        <v>63251</v>
      </c>
    </row>
    <row r="1234" spans="1:6" x14ac:dyDescent="0.3">
      <c r="A1234" s="7">
        <v>2018</v>
      </c>
      <c r="B1234" s="8" t="s">
        <v>56</v>
      </c>
      <c r="C1234" s="8" t="s">
        <v>33</v>
      </c>
      <c r="D1234" s="14">
        <v>28783</v>
      </c>
      <c r="E1234" s="14">
        <v>293549</v>
      </c>
      <c r="F1234" s="15">
        <v>72736</v>
      </c>
    </row>
    <row r="1235" spans="1:6" x14ac:dyDescent="0.3">
      <c r="A1235" s="7">
        <v>2018</v>
      </c>
      <c r="B1235" s="8" t="s">
        <v>56</v>
      </c>
      <c r="C1235" s="8" t="s">
        <v>34</v>
      </c>
      <c r="D1235" s="14">
        <v>11458</v>
      </c>
      <c r="E1235" s="14">
        <v>77052</v>
      </c>
      <c r="F1235" s="15">
        <v>58044</v>
      </c>
    </row>
    <row r="1236" spans="1:6" x14ac:dyDescent="0.3">
      <c r="A1236" s="7">
        <v>2018</v>
      </c>
      <c r="B1236" s="8" t="s">
        <v>56</v>
      </c>
      <c r="C1236" s="8" t="s">
        <v>35</v>
      </c>
      <c r="D1236" s="14">
        <v>13030</v>
      </c>
      <c r="E1236" s="14">
        <v>84865</v>
      </c>
      <c r="F1236" s="15">
        <v>69649</v>
      </c>
    </row>
    <row r="1237" spans="1:6" x14ac:dyDescent="0.3">
      <c r="A1237" s="7">
        <v>2018</v>
      </c>
      <c r="B1237" s="8" t="s">
        <v>56</v>
      </c>
      <c r="C1237" s="8" t="s">
        <v>36</v>
      </c>
      <c r="D1237" s="14">
        <v>28823</v>
      </c>
      <c r="E1237" s="14">
        <v>325130</v>
      </c>
      <c r="F1237" s="15">
        <v>88831</v>
      </c>
    </row>
    <row r="1238" spans="1:6" x14ac:dyDescent="0.3">
      <c r="A1238" s="7">
        <v>2018</v>
      </c>
      <c r="B1238" s="8" t="s">
        <v>56</v>
      </c>
      <c r="C1238" s="8" t="s">
        <v>37</v>
      </c>
      <c r="D1238" s="14">
        <v>2869</v>
      </c>
      <c r="E1238" s="14">
        <v>32305</v>
      </c>
      <c r="F1238" s="15">
        <v>88061</v>
      </c>
    </row>
    <row r="1239" spans="1:6" x14ac:dyDescent="0.3">
      <c r="A1239" s="7">
        <v>2018</v>
      </c>
      <c r="B1239" s="8" t="s">
        <v>56</v>
      </c>
      <c r="C1239" s="8" t="s">
        <v>38</v>
      </c>
      <c r="D1239" s="14">
        <v>13166</v>
      </c>
      <c r="E1239" s="14">
        <v>100794</v>
      </c>
      <c r="F1239" s="15">
        <v>61713</v>
      </c>
    </row>
    <row r="1240" spans="1:6" x14ac:dyDescent="0.3">
      <c r="A1240" s="7">
        <v>2018</v>
      </c>
      <c r="B1240" s="8" t="s">
        <v>56</v>
      </c>
      <c r="C1240" s="8" t="s">
        <v>39</v>
      </c>
      <c r="D1240" s="14">
        <v>3259</v>
      </c>
      <c r="E1240" s="14">
        <v>28739</v>
      </c>
      <c r="F1240" s="15">
        <v>60160</v>
      </c>
    </row>
    <row r="1241" spans="1:6" x14ac:dyDescent="0.3">
      <c r="A1241" s="7">
        <v>2018</v>
      </c>
      <c r="B1241" s="8" t="s">
        <v>56</v>
      </c>
      <c r="C1241" s="8" t="s">
        <v>40</v>
      </c>
      <c r="D1241" s="14">
        <v>15698</v>
      </c>
      <c r="E1241" s="14">
        <v>150833</v>
      </c>
      <c r="F1241" s="15">
        <v>76718</v>
      </c>
    </row>
    <row r="1242" spans="1:6" x14ac:dyDescent="0.3">
      <c r="A1242" s="7">
        <v>2018</v>
      </c>
      <c r="B1242" s="8" t="s">
        <v>56</v>
      </c>
      <c r="C1242" s="8" t="s">
        <v>41</v>
      </c>
      <c r="D1242" s="14">
        <v>73679</v>
      </c>
      <c r="E1242" s="14">
        <v>756318</v>
      </c>
      <c r="F1242" s="15">
        <v>83356</v>
      </c>
    </row>
    <row r="1243" spans="1:6" x14ac:dyDescent="0.3">
      <c r="A1243" s="7">
        <v>2018</v>
      </c>
      <c r="B1243" s="8" t="s">
        <v>56</v>
      </c>
      <c r="C1243" s="8" t="s">
        <v>42</v>
      </c>
      <c r="D1243" s="14">
        <v>11520</v>
      </c>
      <c r="E1243" s="14">
        <v>87530</v>
      </c>
      <c r="F1243" s="15">
        <v>67933</v>
      </c>
    </row>
    <row r="1244" spans="1:6" x14ac:dyDescent="0.3">
      <c r="A1244" s="7">
        <v>2018</v>
      </c>
      <c r="B1244" s="8" t="s">
        <v>56</v>
      </c>
      <c r="C1244" s="8" t="s">
        <v>43</v>
      </c>
      <c r="D1244" s="14">
        <v>1694</v>
      </c>
      <c r="E1244" s="14">
        <v>11814</v>
      </c>
      <c r="F1244" s="15">
        <v>72078</v>
      </c>
    </row>
    <row r="1245" spans="1:6" x14ac:dyDescent="0.3">
      <c r="A1245" s="7">
        <v>2018</v>
      </c>
      <c r="B1245" s="8" t="s">
        <v>56</v>
      </c>
      <c r="C1245" s="8" t="s">
        <v>44</v>
      </c>
      <c r="D1245" s="14">
        <v>21938</v>
      </c>
      <c r="E1245" s="14">
        <v>194731</v>
      </c>
      <c r="F1245" s="15">
        <v>85723</v>
      </c>
    </row>
    <row r="1246" spans="1:6" x14ac:dyDescent="0.3">
      <c r="A1246" s="7">
        <v>2018</v>
      </c>
      <c r="B1246" s="8" t="s">
        <v>56</v>
      </c>
      <c r="C1246" s="8" t="s">
        <v>45</v>
      </c>
      <c r="D1246" s="14">
        <v>17577</v>
      </c>
      <c r="E1246" s="14">
        <v>147871</v>
      </c>
      <c r="F1246" s="15">
        <v>80466</v>
      </c>
    </row>
    <row r="1247" spans="1:6" x14ac:dyDescent="0.3">
      <c r="A1247" s="7">
        <v>2018</v>
      </c>
      <c r="B1247" s="8" t="s">
        <v>56</v>
      </c>
      <c r="C1247" s="8" t="s">
        <v>46</v>
      </c>
      <c r="D1247" s="14">
        <v>4029</v>
      </c>
      <c r="E1247" s="14">
        <v>24510</v>
      </c>
      <c r="F1247" s="15">
        <v>53206</v>
      </c>
    </row>
    <row r="1248" spans="1:6" x14ac:dyDescent="0.3">
      <c r="A1248" s="7">
        <v>2018</v>
      </c>
      <c r="B1248" s="8" t="s">
        <v>56</v>
      </c>
      <c r="C1248" s="8" t="s">
        <v>47</v>
      </c>
      <c r="D1248" s="14">
        <v>13917</v>
      </c>
      <c r="E1248" s="14">
        <v>148837</v>
      </c>
      <c r="F1248" s="15">
        <v>71561</v>
      </c>
    </row>
    <row r="1249" spans="1:6" x14ac:dyDescent="0.3">
      <c r="A1249" s="7">
        <v>2018</v>
      </c>
      <c r="B1249" s="8" t="s">
        <v>56</v>
      </c>
      <c r="C1249" s="8" t="s">
        <v>48</v>
      </c>
      <c r="D1249" s="14">
        <v>2283</v>
      </c>
      <c r="E1249" s="14">
        <v>11124</v>
      </c>
      <c r="F1249" s="15">
        <v>57486</v>
      </c>
    </row>
    <row r="1250" spans="1:6" x14ac:dyDescent="0.3">
      <c r="A1250" s="7">
        <v>2018</v>
      </c>
      <c r="B1250" s="8" t="s">
        <v>57</v>
      </c>
      <c r="C1250" s="8" t="s">
        <v>1</v>
      </c>
      <c r="D1250" s="14">
        <v>21888</v>
      </c>
      <c r="E1250" s="14">
        <v>245234</v>
      </c>
      <c r="F1250" s="15">
        <v>55653</v>
      </c>
    </row>
    <row r="1251" spans="1:6" x14ac:dyDescent="0.3">
      <c r="A1251" s="7">
        <v>2018</v>
      </c>
      <c r="B1251" s="8" t="s">
        <v>57</v>
      </c>
      <c r="C1251" s="8" t="s">
        <v>2</v>
      </c>
      <c r="D1251" s="14">
        <v>35993</v>
      </c>
      <c r="E1251" s="14">
        <v>430516</v>
      </c>
      <c r="F1251" s="15">
        <v>56745</v>
      </c>
    </row>
    <row r="1252" spans="1:6" x14ac:dyDescent="0.3">
      <c r="A1252" s="7">
        <v>2018</v>
      </c>
      <c r="B1252" s="8" t="s">
        <v>57</v>
      </c>
      <c r="C1252" s="8" t="s">
        <v>3</v>
      </c>
      <c r="D1252" s="14">
        <v>14308</v>
      </c>
      <c r="E1252" s="14">
        <v>146700</v>
      </c>
      <c r="F1252" s="15">
        <v>60316</v>
      </c>
    </row>
    <row r="1253" spans="1:6" x14ac:dyDescent="0.3">
      <c r="A1253" s="7">
        <v>2018</v>
      </c>
      <c r="B1253" s="8" t="s">
        <v>57</v>
      </c>
      <c r="C1253" s="8" t="s">
        <v>4</v>
      </c>
      <c r="D1253" s="14">
        <v>208425</v>
      </c>
      <c r="E1253" s="14">
        <v>2667839</v>
      </c>
      <c r="F1253" s="15">
        <v>91070</v>
      </c>
    </row>
    <row r="1254" spans="1:6" x14ac:dyDescent="0.3">
      <c r="A1254" s="7">
        <v>2018</v>
      </c>
      <c r="B1254" s="8" t="s">
        <v>57</v>
      </c>
      <c r="C1254" s="8" t="s">
        <v>5</v>
      </c>
      <c r="D1254" s="14">
        <v>52525</v>
      </c>
      <c r="E1254" s="14">
        <v>423946</v>
      </c>
      <c r="F1254" s="15">
        <v>81401</v>
      </c>
    </row>
    <row r="1255" spans="1:6" x14ac:dyDescent="0.3">
      <c r="A1255" s="7">
        <v>2018</v>
      </c>
      <c r="B1255" s="8" t="s">
        <v>57</v>
      </c>
      <c r="C1255" s="8" t="s">
        <v>6</v>
      </c>
      <c r="D1255" s="14">
        <v>23279</v>
      </c>
      <c r="E1255" s="14">
        <v>221029</v>
      </c>
      <c r="F1255" s="15">
        <v>87958</v>
      </c>
    </row>
    <row r="1256" spans="1:6" x14ac:dyDescent="0.3">
      <c r="A1256" s="7">
        <v>2018</v>
      </c>
      <c r="B1256" s="8" t="s">
        <v>57</v>
      </c>
      <c r="C1256" s="8" t="s">
        <v>7</v>
      </c>
      <c r="D1256" s="14">
        <v>8956</v>
      </c>
      <c r="E1256" s="14">
        <v>63405</v>
      </c>
      <c r="F1256" s="15">
        <v>80066</v>
      </c>
    </row>
    <row r="1257" spans="1:6" x14ac:dyDescent="0.3">
      <c r="A1257" s="7">
        <v>2018</v>
      </c>
      <c r="B1257" s="8" t="s">
        <v>57</v>
      </c>
      <c r="C1257" s="8" t="s">
        <v>8</v>
      </c>
      <c r="D1257" s="14">
        <v>161890</v>
      </c>
      <c r="E1257" s="14">
        <v>1365136</v>
      </c>
      <c r="F1257" s="15">
        <v>60914</v>
      </c>
    </row>
    <row r="1258" spans="1:6" x14ac:dyDescent="0.3">
      <c r="A1258" s="7">
        <v>2018</v>
      </c>
      <c r="B1258" s="8" t="s">
        <v>57</v>
      </c>
      <c r="C1258" s="8" t="s">
        <v>9</v>
      </c>
      <c r="D1258" s="14">
        <v>54714</v>
      </c>
      <c r="E1258" s="14">
        <v>687321</v>
      </c>
      <c r="F1258" s="15">
        <v>66989</v>
      </c>
    </row>
    <row r="1259" spans="1:6" x14ac:dyDescent="0.3">
      <c r="A1259" s="7">
        <v>2018</v>
      </c>
      <c r="B1259" s="8" t="s">
        <v>57</v>
      </c>
      <c r="C1259" s="8" t="s">
        <v>10</v>
      </c>
      <c r="D1259" s="14">
        <v>11562</v>
      </c>
      <c r="E1259" s="14">
        <v>91631</v>
      </c>
      <c r="F1259" s="15">
        <v>51695</v>
      </c>
    </row>
    <row r="1260" spans="1:6" x14ac:dyDescent="0.3">
      <c r="A1260" s="7">
        <v>2018</v>
      </c>
      <c r="B1260" s="8" t="s">
        <v>57</v>
      </c>
      <c r="C1260" s="8" t="s">
        <v>11</v>
      </c>
      <c r="D1260" s="14">
        <v>74587</v>
      </c>
      <c r="E1260" s="14">
        <v>948766</v>
      </c>
      <c r="F1260" s="15">
        <v>76586</v>
      </c>
    </row>
    <row r="1261" spans="1:6" x14ac:dyDescent="0.3">
      <c r="A1261" s="7">
        <v>2018</v>
      </c>
      <c r="B1261" s="8" t="s">
        <v>57</v>
      </c>
      <c r="C1261" s="8" t="s">
        <v>12</v>
      </c>
      <c r="D1261" s="14">
        <v>29755</v>
      </c>
      <c r="E1261" s="14">
        <v>342835</v>
      </c>
      <c r="F1261" s="15">
        <v>52468</v>
      </c>
    </row>
    <row r="1262" spans="1:6" x14ac:dyDescent="0.3">
      <c r="A1262" s="7">
        <v>2018</v>
      </c>
      <c r="B1262" s="8" t="s">
        <v>57</v>
      </c>
      <c r="C1262" s="8" t="s">
        <v>13</v>
      </c>
      <c r="D1262" s="14">
        <v>15839</v>
      </c>
      <c r="E1262" s="14">
        <v>140535</v>
      </c>
      <c r="F1262" s="15">
        <v>54071</v>
      </c>
    </row>
    <row r="1263" spans="1:6" x14ac:dyDescent="0.3">
      <c r="A1263" s="7">
        <v>2018</v>
      </c>
      <c r="B1263" s="8" t="s">
        <v>57</v>
      </c>
      <c r="C1263" s="8" t="s">
        <v>14</v>
      </c>
      <c r="D1263" s="14">
        <v>16731</v>
      </c>
      <c r="E1263" s="14">
        <v>179413</v>
      </c>
      <c r="F1263" s="15">
        <v>61288</v>
      </c>
    </row>
    <row r="1264" spans="1:6" x14ac:dyDescent="0.3">
      <c r="A1264" s="7">
        <v>2018</v>
      </c>
      <c r="B1264" s="8" t="s">
        <v>57</v>
      </c>
      <c r="C1264" s="8" t="s">
        <v>15</v>
      </c>
      <c r="D1264" s="14">
        <v>20542</v>
      </c>
      <c r="E1264" s="14">
        <v>217081</v>
      </c>
      <c r="F1264" s="15">
        <v>50087</v>
      </c>
    </row>
    <row r="1265" spans="1:6" x14ac:dyDescent="0.3">
      <c r="A1265" s="7">
        <v>2018</v>
      </c>
      <c r="B1265" s="8" t="s">
        <v>57</v>
      </c>
      <c r="C1265" s="8" t="s">
        <v>16</v>
      </c>
      <c r="D1265" s="14">
        <v>24537</v>
      </c>
      <c r="E1265" s="14">
        <v>213171</v>
      </c>
      <c r="F1265" s="15">
        <v>56446</v>
      </c>
    </row>
    <row r="1266" spans="1:6" x14ac:dyDescent="0.3">
      <c r="A1266" s="7">
        <v>2018</v>
      </c>
      <c r="B1266" s="8" t="s">
        <v>57</v>
      </c>
      <c r="C1266" s="8" t="s">
        <v>17</v>
      </c>
      <c r="D1266" s="14">
        <v>9940</v>
      </c>
      <c r="E1266" s="14">
        <v>69285</v>
      </c>
      <c r="F1266" s="15">
        <v>57328</v>
      </c>
    </row>
    <row r="1267" spans="1:6" x14ac:dyDescent="0.3">
      <c r="A1267" s="7">
        <v>2018</v>
      </c>
      <c r="B1267" s="8" t="s">
        <v>57</v>
      </c>
      <c r="C1267" s="8" t="s">
        <v>18</v>
      </c>
      <c r="D1267" s="14">
        <v>42809</v>
      </c>
      <c r="E1267" s="14">
        <v>452753</v>
      </c>
      <c r="F1267" s="15">
        <v>79500</v>
      </c>
    </row>
    <row r="1268" spans="1:6" x14ac:dyDescent="0.3">
      <c r="A1268" s="7">
        <v>2018</v>
      </c>
      <c r="B1268" s="8" t="s">
        <v>57</v>
      </c>
      <c r="C1268" s="8" t="s">
        <v>19</v>
      </c>
      <c r="D1268" s="14">
        <v>47416</v>
      </c>
      <c r="E1268" s="14">
        <v>587518</v>
      </c>
      <c r="F1268" s="15">
        <v>107875</v>
      </c>
    </row>
    <row r="1269" spans="1:6" x14ac:dyDescent="0.3">
      <c r="A1269" s="7">
        <v>2018</v>
      </c>
      <c r="B1269" s="8" t="s">
        <v>57</v>
      </c>
      <c r="C1269" s="8" t="s">
        <v>20</v>
      </c>
      <c r="D1269" s="14">
        <v>42545</v>
      </c>
      <c r="E1269" s="14">
        <v>657930</v>
      </c>
      <c r="F1269" s="15">
        <v>69377</v>
      </c>
    </row>
    <row r="1270" spans="1:6" x14ac:dyDescent="0.3">
      <c r="A1270" s="7">
        <v>2018</v>
      </c>
      <c r="B1270" s="8" t="s">
        <v>57</v>
      </c>
      <c r="C1270" s="8" t="s">
        <v>21</v>
      </c>
      <c r="D1270" s="14">
        <v>32020</v>
      </c>
      <c r="E1270" s="14">
        <v>378493</v>
      </c>
      <c r="F1270" s="15">
        <v>82535</v>
      </c>
    </row>
    <row r="1271" spans="1:6" x14ac:dyDescent="0.3">
      <c r="A1271" s="7">
        <v>2018</v>
      </c>
      <c r="B1271" s="8" t="s">
        <v>57</v>
      </c>
      <c r="C1271" s="8" t="s">
        <v>22</v>
      </c>
      <c r="D1271" s="14">
        <v>12259</v>
      </c>
      <c r="E1271" s="14">
        <v>109842</v>
      </c>
      <c r="F1271" s="15">
        <v>42132</v>
      </c>
    </row>
    <row r="1272" spans="1:6" x14ac:dyDescent="0.3">
      <c r="A1272" s="7">
        <v>2018</v>
      </c>
      <c r="B1272" s="8" t="s">
        <v>57</v>
      </c>
      <c r="C1272" s="8" t="s">
        <v>23</v>
      </c>
      <c r="D1272" s="14">
        <v>32577</v>
      </c>
      <c r="E1272" s="14">
        <v>385727</v>
      </c>
      <c r="F1272" s="15">
        <v>66429</v>
      </c>
    </row>
    <row r="1273" spans="1:6" x14ac:dyDescent="0.3">
      <c r="A1273" s="7">
        <v>2018</v>
      </c>
      <c r="B1273" s="8" t="s">
        <v>57</v>
      </c>
      <c r="C1273" s="8" t="s">
        <v>24</v>
      </c>
      <c r="D1273" s="14">
        <v>9359</v>
      </c>
      <c r="E1273" s="14">
        <v>42410</v>
      </c>
      <c r="F1273" s="15">
        <v>52271</v>
      </c>
    </row>
    <row r="1274" spans="1:6" x14ac:dyDescent="0.3">
      <c r="A1274" s="7">
        <v>2018</v>
      </c>
      <c r="B1274" s="8" t="s">
        <v>57</v>
      </c>
      <c r="C1274" s="8" t="s">
        <v>25</v>
      </c>
      <c r="D1274" s="14">
        <v>11582</v>
      </c>
      <c r="E1274" s="14">
        <v>119167</v>
      </c>
      <c r="F1274" s="15">
        <v>58836</v>
      </c>
    </row>
    <row r="1275" spans="1:6" x14ac:dyDescent="0.3">
      <c r="A1275" s="7">
        <v>2018</v>
      </c>
      <c r="B1275" s="8" t="s">
        <v>57</v>
      </c>
      <c r="C1275" s="8" t="s">
        <v>26</v>
      </c>
      <c r="D1275" s="14">
        <v>19970</v>
      </c>
      <c r="E1275" s="14">
        <v>190736</v>
      </c>
      <c r="F1275" s="15">
        <v>61821</v>
      </c>
    </row>
    <row r="1276" spans="1:6" x14ac:dyDescent="0.3">
      <c r="A1276" s="7">
        <v>2018</v>
      </c>
      <c r="B1276" s="8" t="s">
        <v>57</v>
      </c>
      <c r="C1276" s="8" t="s">
        <v>27</v>
      </c>
      <c r="D1276" s="14">
        <v>12323</v>
      </c>
      <c r="E1276" s="14">
        <v>82831</v>
      </c>
      <c r="F1276" s="15">
        <v>77486</v>
      </c>
    </row>
    <row r="1277" spans="1:6" x14ac:dyDescent="0.3">
      <c r="A1277" s="7">
        <v>2018</v>
      </c>
      <c r="B1277" s="8" t="s">
        <v>57</v>
      </c>
      <c r="C1277" s="8" t="s">
        <v>28</v>
      </c>
      <c r="D1277" s="14">
        <v>51837</v>
      </c>
      <c r="E1277" s="14">
        <v>671419</v>
      </c>
      <c r="F1277" s="15">
        <v>90784</v>
      </c>
    </row>
    <row r="1278" spans="1:6" x14ac:dyDescent="0.3">
      <c r="A1278" s="7">
        <v>2018</v>
      </c>
      <c r="B1278" s="8" t="s">
        <v>57</v>
      </c>
      <c r="C1278" s="8" t="s">
        <v>29</v>
      </c>
      <c r="D1278" s="14">
        <v>10669</v>
      </c>
      <c r="E1278" s="14">
        <v>106930</v>
      </c>
      <c r="F1278" s="15">
        <v>61899</v>
      </c>
    </row>
    <row r="1279" spans="1:6" x14ac:dyDescent="0.3">
      <c r="A1279" s="7">
        <v>2018</v>
      </c>
      <c r="B1279" s="8" t="s">
        <v>57</v>
      </c>
      <c r="C1279" s="8" t="s">
        <v>30</v>
      </c>
      <c r="D1279" s="14">
        <v>112471</v>
      </c>
      <c r="E1279" s="14">
        <v>1339421</v>
      </c>
      <c r="F1279" s="15">
        <v>95057</v>
      </c>
    </row>
    <row r="1280" spans="1:6" x14ac:dyDescent="0.3">
      <c r="A1280" s="7">
        <v>2018</v>
      </c>
      <c r="B1280" s="8" t="s">
        <v>57</v>
      </c>
      <c r="C1280" s="8" t="s">
        <v>31</v>
      </c>
      <c r="D1280" s="14">
        <v>58892</v>
      </c>
      <c r="E1280" s="14">
        <v>635554</v>
      </c>
      <c r="F1280" s="15">
        <v>65609</v>
      </c>
    </row>
    <row r="1281" spans="1:6" x14ac:dyDescent="0.3">
      <c r="A1281" s="7">
        <v>2018</v>
      </c>
      <c r="B1281" s="8" t="s">
        <v>57</v>
      </c>
      <c r="C1281" s="8" t="s">
        <v>32</v>
      </c>
      <c r="D1281" s="14">
        <v>5130</v>
      </c>
      <c r="E1281" s="14">
        <v>34560</v>
      </c>
      <c r="F1281" s="15">
        <v>61774</v>
      </c>
    </row>
    <row r="1282" spans="1:6" x14ac:dyDescent="0.3">
      <c r="A1282" s="7">
        <v>2018</v>
      </c>
      <c r="B1282" s="8" t="s">
        <v>57</v>
      </c>
      <c r="C1282" s="8" t="s">
        <v>33</v>
      </c>
      <c r="D1282" s="14">
        <v>53280</v>
      </c>
      <c r="E1282" s="14">
        <v>729430</v>
      </c>
      <c r="F1282" s="15">
        <v>64006</v>
      </c>
    </row>
    <row r="1283" spans="1:6" x14ac:dyDescent="0.3">
      <c r="A1283" s="7">
        <v>2018</v>
      </c>
      <c r="B1283" s="8" t="s">
        <v>57</v>
      </c>
      <c r="C1283" s="8" t="s">
        <v>34</v>
      </c>
      <c r="D1283" s="14">
        <v>20594</v>
      </c>
      <c r="E1283" s="14">
        <v>191261</v>
      </c>
      <c r="F1283" s="15">
        <v>52227</v>
      </c>
    </row>
    <row r="1284" spans="1:6" x14ac:dyDescent="0.3">
      <c r="A1284" s="7">
        <v>2018</v>
      </c>
      <c r="B1284" s="8" t="s">
        <v>57</v>
      </c>
      <c r="C1284" s="8" t="s">
        <v>35</v>
      </c>
      <c r="D1284" s="14">
        <v>25462</v>
      </c>
      <c r="E1284" s="14">
        <v>248627</v>
      </c>
      <c r="F1284" s="15">
        <v>69806</v>
      </c>
    </row>
    <row r="1285" spans="1:6" x14ac:dyDescent="0.3">
      <c r="A1285" s="7">
        <v>2018</v>
      </c>
      <c r="B1285" s="8" t="s">
        <v>57</v>
      </c>
      <c r="C1285" s="8" t="s">
        <v>36</v>
      </c>
      <c r="D1285" s="14">
        <v>63415</v>
      </c>
      <c r="E1285" s="14">
        <v>806555</v>
      </c>
      <c r="F1285" s="15">
        <v>78092</v>
      </c>
    </row>
    <row r="1286" spans="1:6" x14ac:dyDescent="0.3">
      <c r="A1286" s="7">
        <v>2018</v>
      </c>
      <c r="B1286" s="8" t="s">
        <v>57</v>
      </c>
      <c r="C1286" s="8" t="s">
        <v>37</v>
      </c>
      <c r="D1286" s="14">
        <v>8651</v>
      </c>
      <c r="E1286" s="14">
        <v>68430</v>
      </c>
      <c r="F1286" s="15">
        <v>68957</v>
      </c>
    </row>
    <row r="1287" spans="1:6" x14ac:dyDescent="0.3">
      <c r="A1287" s="7">
        <v>2018</v>
      </c>
      <c r="B1287" s="8" t="s">
        <v>57</v>
      </c>
      <c r="C1287" s="8" t="s">
        <v>38</v>
      </c>
      <c r="D1287" s="14">
        <v>26993</v>
      </c>
      <c r="E1287" s="14">
        <v>293499</v>
      </c>
      <c r="F1287" s="15">
        <v>50391</v>
      </c>
    </row>
    <row r="1288" spans="1:6" x14ac:dyDescent="0.3">
      <c r="A1288" s="7">
        <v>2018</v>
      </c>
      <c r="B1288" s="8" t="s">
        <v>57</v>
      </c>
      <c r="C1288" s="8" t="s">
        <v>39</v>
      </c>
      <c r="D1288" s="14">
        <v>5205</v>
      </c>
      <c r="E1288" s="14">
        <v>32354</v>
      </c>
      <c r="F1288" s="15">
        <v>56384</v>
      </c>
    </row>
    <row r="1289" spans="1:6" x14ac:dyDescent="0.3">
      <c r="A1289" s="7">
        <v>2018</v>
      </c>
      <c r="B1289" s="8" t="s">
        <v>57</v>
      </c>
      <c r="C1289" s="8" t="s">
        <v>40</v>
      </c>
      <c r="D1289" s="14">
        <v>29519</v>
      </c>
      <c r="E1289" s="14">
        <v>417345</v>
      </c>
      <c r="F1289" s="15">
        <v>59851</v>
      </c>
    </row>
    <row r="1290" spans="1:6" x14ac:dyDescent="0.3">
      <c r="A1290" s="7">
        <v>2018</v>
      </c>
      <c r="B1290" s="8" t="s">
        <v>57</v>
      </c>
      <c r="C1290" s="8" t="s">
        <v>41</v>
      </c>
      <c r="D1290" s="14">
        <v>134025</v>
      </c>
      <c r="E1290" s="14">
        <v>1736415</v>
      </c>
      <c r="F1290" s="15">
        <v>74443</v>
      </c>
    </row>
    <row r="1291" spans="1:6" x14ac:dyDescent="0.3">
      <c r="A1291" s="7">
        <v>2018</v>
      </c>
      <c r="B1291" s="8" t="s">
        <v>57</v>
      </c>
      <c r="C1291" s="8" t="s">
        <v>42</v>
      </c>
      <c r="D1291" s="14">
        <v>23036</v>
      </c>
      <c r="E1291" s="14">
        <v>215564</v>
      </c>
      <c r="F1291" s="15">
        <v>59543</v>
      </c>
    </row>
    <row r="1292" spans="1:6" x14ac:dyDescent="0.3">
      <c r="A1292" s="7">
        <v>2018</v>
      </c>
      <c r="B1292" s="8" t="s">
        <v>57</v>
      </c>
      <c r="C1292" s="8" t="s">
        <v>43</v>
      </c>
      <c r="D1292" s="14">
        <v>5661</v>
      </c>
      <c r="E1292" s="14">
        <v>28976</v>
      </c>
      <c r="F1292" s="15">
        <v>64917</v>
      </c>
    </row>
    <row r="1293" spans="1:6" x14ac:dyDescent="0.3">
      <c r="A1293" s="7">
        <v>2018</v>
      </c>
      <c r="B1293" s="8" t="s">
        <v>57</v>
      </c>
      <c r="C1293" s="8" t="s">
        <v>44</v>
      </c>
      <c r="D1293" s="14">
        <v>58849</v>
      </c>
      <c r="E1293" s="14">
        <v>746452</v>
      </c>
      <c r="F1293" s="15">
        <v>87511</v>
      </c>
    </row>
    <row r="1294" spans="1:6" x14ac:dyDescent="0.3">
      <c r="A1294" s="7">
        <v>2018</v>
      </c>
      <c r="B1294" s="8" t="s">
        <v>57</v>
      </c>
      <c r="C1294" s="8" t="s">
        <v>45</v>
      </c>
      <c r="D1294" s="14">
        <v>40209</v>
      </c>
      <c r="E1294" s="14">
        <v>414712</v>
      </c>
      <c r="F1294" s="15">
        <v>82245</v>
      </c>
    </row>
    <row r="1295" spans="1:6" x14ac:dyDescent="0.3">
      <c r="A1295" s="7">
        <v>2018</v>
      </c>
      <c r="B1295" s="8" t="s">
        <v>57</v>
      </c>
      <c r="C1295" s="8" t="s">
        <v>46</v>
      </c>
      <c r="D1295" s="14">
        <v>8323</v>
      </c>
      <c r="E1295" s="14">
        <v>68965</v>
      </c>
      <c r="F1295" s="15">
        <v>51745</v>
      </c>
    </row>
    <row r="1296" spans="1:6" x14ac:dyDescent="0.3">
      <c r="A1296" s="7">
        <v>2018</v>
      </c>
      <c r="B1296" s="8" t="s">
        <v>57</v>
      </c>
      <c r="C1296" s="8" t="s">
        <v>47</v>
      </c>
      <c r="D1296" s="14">
        <v>25856</v>
      </c>
      <c r="E1296" s="14">
        <v>327719</v>
      </c>
      <c r="F1296" s="15">
        <v>60773</v>
      </c>
    </row>
    <row r="1297" spans="1:6" x14ac:dyDescent="0.3">
      <c r="A1297" s="7">
        <v>2018</v>
      </c>
      <c r="B1297" s="8" t="s">
        <v>57</v>
      </c>
      <c r="C1297" s="8" t="s">
        <v>48</v>
      </c>
      <c r="D1297" s="14">
        <v>4559</v>
      </c>
      <c r="E1297" s="14">
        <v>18733</v>
      </c>
      <c r="F1297" s="15">
        <v>52783</v>
      </c>
    </row>
    <row r="1298" spans="1:6" x14ac:dyDescent="0.3">
      <c r="A1298" s="7">
        <v>2018</v>
      </c>
      <c r="B1298" s="8" t="s">
        <v>58</v>
      </c>
      <c r="C1298" s="8" t="s">
        <v>1</v>
      </c>
      <c r="D1298" s="14">
        <v>12678</v>
      </c>
      <c r="E1298" s="14">
        <v>233306</v>
      </c>
      <c r="F1298" s="15">
        <v>46432</v>
      </c>
    </row>
    <row r="1299" spans="1:6" x14ac:dyDescent="0.3">
      <c r="A1299" s="7">
        <v>2018</v>
      </c>
      <c r="B1299" s="8" t="s">
        <v>58</v>
      </c>
      <c r="C1299" s="8" t="s">
        <v>2</v>
      </c>
      <c r="D1299" s="14">
        <v>18037</v>
      </c>
      <c r="E1299" s="14">
        <v>440616</v>
      </c>
      <c r="F1299" s="15">
        <v>51125</v>
      </c>
    </row>
    <row r="1300" spans="1:6" x14ac:dyDescent="0.3">
      <c r="A1300" s="7">
        <v>2018</v>
      </c>
      <c r="B1300" s="8" t="s">
        <v>58</v>
      </c>
      <c r="C1300" s="8" t="s">
        <v>3</v>
      </c>
      <c r="D1300" s="14">
        <v>15788</v>
      </c>
      <c r="E1300" s="14">
        <v>186119</v>
      </c>
      <c r="F1300" s="15">
        <v>42468</v>
      </c>
    </row>
    <row r="1301" spans="1:6" x14ac:dyDescent="0.3">
      <c r="A1301" s="7">
        <v>2018</v>
      </c>
      <c r="B1301" s="8" t="s">
        <v>58</v>
      </c>
      <c r="C1301" s="8" t="s">
        <v>4</v>
      </c>
      <c r="D1301" s="14">
        <v>618901</v>
      </c>
      <c r="E1301" s="14">
        <v>2649228</v>
      </c>
      <c r="F1301" s="15">
        <v>52187</v>
      </c>
    </row>
    <row r="1302" spans="1:6" x14ac:dyDescent="0.3">
      <c r="A1302" s="7">
        <v>2018</v>
      </c>
      <c r="B1302" s="8" t="s">
        <v>58</v>
      </c>
      <c r="C1302" s="8" t="s">
        <v>5</v>
      </c>
      <c r="D1302" s="14">
        <v>21666</v>
      </c>
      <c r="E1302" s="14">
        <v>335274</v>
      </c>
      <c r="F1302" s="15">
        <v>50156</v>
      </c>
    </row>
    <row r="1303" spans="1:6" x14ac:dyDescent="0.3">
      <c r="A1303" s="7">
        <v>2018</v>
      </c>
      <c r="B1303" s="8" t="s">
        <v>58</v>
      </c>
      <c r="C1303" s="8" t="s">
        <v>6</v>
      </c>
      <c r="D1303" s="14">
        <v>13090</v>
      </c>
      <c r="E1303" s="14">
        <v>326866</v>
      </c>
      <c r="F1303" s="15">
        <v>55369</v>
      </c>
    </row>
    <row r="1304" spans="1:6" x14ac:dyDescent="0.3">
      <c r="A1304" s="7">
        <v>2018</v>
      </c>
      <c r="B1304" s="8" t="s">
        <v>58</v>
      </c>
      <c r="C1304" s="8" t="s">
        <v>7</v>
      </c>
      <c r="D1304" s="14">
        <v>5063</v>
      </c>
      <c r="E1304" s="14">
        <v>75524</v>
      </c>
      <c r="F1304" s="15">
        <v>53795</v>
      </c>
    </row>
    <row r="1305" spans="1:6" x14ac:dyDescent="0.3">
      <c r="A1305" s="7">
        <v>2018</v>
      </c>
      <c r="B1305" s="8" t="s">
        <v>58</v>
      </c>
      <c r="C1305" s="8" t="s">
        <v>8</v>
      </c>
      <c r="D1305" s="14">
        <v>73761</v>
      </c>
      <c r="E1305" s="14">
        <v>1287814</v>
      </c>
      <c r="F1305" s="15">
        <v>50781</v>
      </c>
    </row>
    <row r="1306" spans="1:6" x14ac:dyDescent="0.3">
      <c r="A1306" s="7">
        <v>2018</v>
      </c>
      <c r="B1306" s="8" t="s">
        <v>58</v>
      </c>
      <c r="C1306" s="8" t="s">
        <v>9</v>
      </c>
      <c r="D1306" s="14">
        <v>28952</v>
      </c>
      <c r="E1306" s="14">
        <v>562436</v>
      </c>
      <c r="F1306" s="15">
        <v>52062</v>
      </c>
    </row>
    <row r="1307" spans="1:6" x14ac:dyDescent="0.3">
      <c r="A1307" s="7">
        <v>2018</v>
      </c>
      <c r="B1307" s="8" t="s">
        <v>58</v>
      </c>
      <c r="C1307" s="8" t="s">
        <v>10</v>
      </c>
      <c r="D1307" s="14">
        <v>7824</v>
      </c>
      <c r="E1307" s="14">
        <v>100212</v>
      </c>
      <c r="F1307" s="15">
        <v>42047</v>
      </c>
    </row>
    <row r="1308" spans="1:6" x14ac:dyDescent="0.3">
      <c r="A1308" s="7">
        <v>2018</v>
      </c>
      <c r="B1308" s="8" t="s">
        <v>58</v>
      </c>
      <c r="C1308" s="8" t="s">
        <v>11</v>
      </c>
      <c r="D1308" s="14">
        <v>34720</v>
      </c>
      <c r="E1308" s="14">
        <v>919288</v>
      </c>
      <c r="F1308" s="15">
        <v>50959</v>
      </c>
    </row>
    <row r="1309" spans="1:6" x14ac:dyDescent="0.3">
      <c r="A1309" s="7">
        <v>2018</v>
      </c>
      <c r="B1309" s="8" t="s">
        <v>58</v>
      </c>
      <c r="C1309" s="8" t="s">
        <v>12</v>
      </c>
      <c r="D1309" s="14">
        <v>15692</v>
      </c>
      <c r="E1309" s="14">
        <v>459398</v>
      </c>
      <c r="F1309" s="15">
        <v>47681</v>
      </c>
    </row>
    <row r="1310" spans="1:6" x14ac:dyDescent="0.3">
      <c r="A1310" s="7">
        <v>2018</v>
      </c>
      <c r="B1310" s="8" t="s">
        <v>58</v>
      </c>
      <c r="C1310" s="8" t="s">
        <v>13</v>
      </c>
      <c r="D1310" s="14">
        <v>11589</v>
      </c>
      <c r="E1310" s="14">
        <v>219674</v>
      </c>
      <c r="F1310" s="15">
        <v>43022</v>
      </c>
    </row>
    <row r="1311" spans="1:6" x14ac:dyDescent="0.3">
      <c r="A1311" s="7">
        <v>2018</v>
      </c>
      <c r="B1311" s="8" t="s">
        <v>58</v>
      </c>
      <c r="C1311" s="8" t="s">
        <v>14</v>
      </c>
      <c r="D1311" s="14">
        <v>10277</v>
      </c>
      <c r="E1311" s="14">
        <v>195132</v>
      </c>
      <c r="F1311" s="15">
        <v>42586</v>
      </c>
    </row>
    <row r="1312" spans="1:6" x14ac:dyDescent="0.3">
      <c r="A1312" s="7">
        <v>2018</v>
      </c>
      <c r="B1312" s="8" t="s">
        <v>58</v>
      </c>
      <c r="C1312" s="8" t="s">
        <v>15</v>
      </c>
      <c r="D1312" s="14">
        <v>18161</v>
      </c>
      <c r="E1312" s="14">
        <v>267486</v>
      </c>
      <c r="F1312" s="15">
        <v>48210</v>
      </c>
    </row>
    <row r="1313" spans="1:6" x14ac:dyDescent="0.3">
      <c r="A1313" s="7">
        <v>2018</v>
      </c>
      <c r="B1313" s="8" t="s">
        <v>58</v>
      </c>
      <c r="C1313" s="8" t="s">
        <v>16</v>
      </c>
      <c r="D1313" s="14">
        <v>15480</v>
      </c>
      <c r="E1313" s="14">
        <v>300015</v>
      </c>
      <c r="F1313" s="15">
        <v>43339</v>
      </c>
    </row>
    <row r="1314" spans="1:6" x14ac:dyDescent="0.3">
      <c r="A1314" s="7">
        <v>2018</v>
      </c>
      <c r="B1314" s="8" t="s">
        <v>58</v>
      </c>
      <c r="C1314" s="8" t="s">
        <v>17</v>
      </c>
      <c r="D1314" s="14">
        <v>5483</v>
      </c>
      <c r="E1314" s="14">
        <v>118009</v>
      </c>
      <c r="F1314" s="15">
        <v>47535</v>
      </c>
    </row>
    <row r="1315" spans="1:6" x14ac:dyDescent="0.3">
      <c r="A1315" s="7">
        <v>2018</v>
      </c>
      <c r="B1315" s="8" t="s">
        <v>58</v>
      </c>
      <c r="C1315" s="8" t="s">
        <v>18</v>
      </c>
      <c r="D1315" s="14">
        <v>20856</v>
      </c>
      <c r="E1315" s="14">
        <v>445328</v>
      </c>
      <c r="F1315" s="15">
        <v>54310</v>
      </c>
    </row>
    <row r="1316" spans="1:6" x14ac:dyDescent="0.3">
      <c r="A1316" s="7">
        <v>2018</v>
      </c>
      <c r="B1316" s="8" t="s">
        <v>58</v>
      </c>
      <c r="C1316" s="8" t="s">
        <v>19</v>
      </c>
      <c r="D1316" s="14">
        <v>66364</v>
      </c>
      <c r="E1316" s="14">
        <v>773683</v>
      </c>
      <c r="F1316" s="15">
        <v>58448</v>
      </c>
    </row>
    <row r="1317" spans="1:6" x14ac:dyDescent="0.3">
      <c r="A1317" s="7">
        <v>2018</v>
      </c>
      <c r="B1317" s="8" t="s">
        <v>58</v>
      </c>
      <c r="C1317" s="8" t="s">
        <v>20</v>
      </c>
      <c r="D1317" s="14">
        <v>24822</v>
      </c>
      <c r="E1317" s="14">
        <v>659230</v>
      </c>
      <c r="F1317" s="15">
        <v>49739</v>
      </c>
    </row>
    <row r="1318" spans="1:6" x14ac:dyDescent="0.3">
      <c r="A1318" s="7">
        <v>2018</v>
      </c>
      <c r="B1318" s="8" t="s">
        <v>58</v>
      </c>
      <c r="C1318" s="8" t="s">
        <v>21</v>
      </c>
      <c r="D1318" s="14">
        <v>19210</v>
      </c>
      <c r="E1318" s="14">
        <v>526556</v>
      </c>
      <c r="F1318" s="15">
        <v>51469</v>
      </c>
    </row>
    <row r="1319" spans="1:6" x14ac:dyDescent="0.3">
      <c r="A1319" s="7">
        <v>2018</v>
      </c>
      <c r="B1319" s="8" t="s">
        <v>58</v>
      </c>
      <c r="C1319" s="8" t="s">
        <v>22</v>
      </c>
      <c r="D1319" s="14">
        <v>7531</v>
      </c>
      <c r="E1319" s="14">
        <v>144105</v>
      </c>
      <c r="F1319" s="15">
        <v>41620</v>
      </c>
    </row>
    <row r="1320" spans="1:6" x14ac:dyDescent="0.3">
      <c r="A1320" s="7">
        <v>2018</v>
      </c>
      <c r="B1320" s="8" t="s">
        <v>58</v>
      </c>
      <c r="C1320" s="8" t="s">
        <v>23</v>
      </c>
      <c r="D1320" s="14">
        <v>48555</v>
      </c>
      <c r="E1320" s="14">
        <v>454728</v>
      </c>
      <c r="F1320" s="15">
        <v>46127</v>
      </c>
    </row>
    <row r="1321" spans="1:6" x14ac:dyDescent="0.3">
      <c r="A1321" s="7">
        <v>2018</v>
      </c>
      <c r="B1321" s="8" t="s">
        <v>58</v>
      </c>
      <c r="C1321" s="8" t="s">
        <v>24</v>
      </c>
      <c r="D1321" s="14">
        <v>4637</v>
      </c>
      <c r="E1321" s="14">
        <v>73530</v>
      </c>
      <c r="F1321" s="15">
        <v>47539</v>
      </c>
    </row>
    <row r="1322" spans="1:6" x14ac:dyDescent="0.3">
      <c r="A1322" s="7">
        <v>2018</v>
      </c>
      <c r="B1322" s="8" t="s">
        <v>58</v>
      </c>
      <c r="C1322" s="8" t="s">
        <v>25</v>
      </c>
      <c r="D1322" s="14">
        <v>12205</v>
      </c>
      <c r="E1322" s="14">
        <v>138155</v>
      </c>
      <c r="F1322" s="15">
        <v>46678</v>
      </c>
    </row>
    <row r="1323" spans="1:6" x14ac:dyDescent="0.3">
      <c r="A1323" s="7">
        <v>2018</v>
      </c>
      <c r="B1323" s="8" t="s">
        <v>58</v>
      </c>
      <c r="C1323" s="8" t="s">
        <v>26</v>
      </c>
      <c r="D1323" s="14">
        <v>8913</v>
      </c>
      <c r="E1323" s="14">
        <v>139036</v>
      </c>
      <c r="F1323" s="15">
        <v>54167</v>
      </c>
    </row>
    <row r="1324" spans="1:6" x14ac:dyDescent="0.3">
      <c r="A1324" s="7">
        <v>2018</v>
      </c>
      <c r="B1324" s="8" t="s">
        <v>58</v>
      </c>
      <c r="C1324" s="8" t="s">
        <v>27</v>
      </c>
      <c r="D1324" s="14">
        <v>4700</v>
      </c>
      <c r="E1324" s="14">
        <v>112567</v>
      </c>
      <c r="F1324" s="15">
        <v>56317</v>
      </c>
    </row>
    <row r="1325" spans="1:6" x14ac:dyDescent="0.3">
      <c r="A1325" s="7">
        <v>2018</v>
      </c>
      <c r="B1325" s="8" t="s">
        <v>58</v>
      </c>
      <c r="C1325" s="8" t="s">
        <v>28</v>
      </c>
      <c r="D1325" s="14">
        <v>37328</v>
      </c>
      <c r="E1325" s="14">
        <v>656716</v>
      </c>
      <c r="F1325" s="15">
        <v>53402</v>
      </c>
    </row>
    <row r="1326" spans="1:6" x14ac:dyDescent="0.3">
      <c r="A1326" s="7">
        <v>2018</v>
      </c>
      <c r="B1326" s="8" t="s">
        <v>58</v>
      </c>
      <c r="C1326" s="8" t="s">
        <v>29</v>
      </c>
      <c r="D1326" s="14">
        <v>10221</v>
      </c>
      <c r="E1326" s="14">
        <v>128590</v>
      </c>
      <c r="F1326" s="15">
        <v>41645</v>
      </c>
    </row>
    <row r="1327" spans="1:6" x14ac:dyDescent="0.3">
      <c r="A1327" s="7">
        <v>2018</v>
      </c>
      <c r="B1327" s="8" t="s">
        <v>58</v>
      </c>
      <c r="C1327" s="8" t="s">
        <v>30</v>
      </c>
      <c r="D1327" s="14">
        <v>67399</v>
      </c>
      <c r="E1327" s="14">
        <v>1914153</v>
      </c>
      <c r="F1327" s="15">
        <v>53467</v>
      </c>
    </row>
    <row r="1328" spans="1:6" x14ac:dyDescent="0.3">
      <c r="A1328" s="7">
        <v>2018</v>
      </c>
      <c r="B1328" s="8" t="s">
        <v>58</v>
      </c>
      <c r="C1328" s="8" t="s">
        <v>31</v>
      </c>
      <c r="D1328" s="14">
        <v>27210</v>
      </c>
      <c r="E1328" s="14">
        <v>592067</v>
      </c>
      <c r="F1328" s="15">
        <v>48381</v>
      </c>
    </row>
    <row r="1329" spans="1:6" x14ac:dyDescent="0.3">
      <c r="A1329" s="7">
        <v>2018</v>
      </c>
      <c r="B1329" s="8" t="s">
        <v>58</v>
      </c>
      <c r="C1329" s="8" t="s">
        <v>32</v>
      </c>
      <c r="D1329" s="14">
        <v>2558</v>
      </c>
      <c r="E1329" s="14">
        <v>62184</v>
      </c>
      <c r="F1329" s="15">
        <v>51404</v>
      </c>
    </row>
    <row r="1330" spans="1:6" x14ac:dyDescent="0.3">
      <c r="A1330" s="7">
        <v>2018</v>
      </c>
      <c r="B1330" s="8" t="s">
        <v>58</v>
      </c>
      <c r="C1330" s="8" t="s">
        <v>33</v>
      </c>
      <c r="D1330" s="14">
        <v>34508</v>
      </c>
      <c r="E1330" s="14">
        <v>904140</v>
      </c>
      <c r="F1330" s="15">
        <v>46408</v>
      </c>
    </row>
    <row r="1331" spans="1:6" x14ac:dyDescent="0.3">
      <c r="A1331" s="7">
        <v>2018</v>
      </c>
      <c r="B1331" s="8" t="s">
        <v>58</v>
      </c>
      <c r="C1331" s="8" t="s">
        <v>34</v>
      </c>
      <c r="D1331" s="14">
        <v>13563</v>
      </c>
      <c r="E1331" s="14">
        <v>209863</v>
      </c>
      <c r="F1331" s="15">
        <v>45570</v>
      </c>
    </row>
    <row r="1332" spans="1:6" x14ac:dyDescent="0.3">
      <c r="A1332" s="7">
        <v>2018</v>
      </c>
      <c r="B1332" s="8" t="s">
        <v>58</v>
      </c>
      <c r="C1332" s="8" t="s">
        <v>35</v>
      </c>
      <c r="D1332" s="14">
        <v>15708</v>
      </c>
      <c r="E1332" s="14">
        <v>288939</v>
      </c>
      <c r="F1332" s="15">
        <v>50107</v>
      </c>
    </row>
    <row r="1333" spans="1:6" x14ac:dyDescent="0.3">
      <c r="A1333" s="7">
        <v>2018</v>
      </c>
      <c r="B1333" s="8" t="s">
        <v>58</v>
      </c>
      <c r="C1333" s="8" t="s">
        <v>36</v>
      </c>
      <c r="D1333" s="14">
        <v>57768</v>
      </c>
      <c r="E1333" s="14">
        <v>1209344</v>
      </c>
      <c r="F1333" s="15">
        <v>51808</v>
      </c>
    </row>
    <row r="1334" spans="1:6" x14ac:dyDescent="0.3">
      <c r="A1334" s="7">
        <v>2018</v>
      </c>
      <c r="B1334" s="8" t="s">
        <v>58</v>
      </c>
      <c r="C1334" s="8" t="s">
        <v>37</v>
      </c>
      <c r="D1334" s="14">
        <v>4545</v>
      </c>
      <c r="E1334" s="14">
        <v>100506</v>
      </c>
      <c r="F1334" s="15">
        <v>48716</v>
      </c>
    </row>
    <row r="1335" spans="1:6" x14ac:dyDescent="0.3">
      <c r="A1335" s="7">
        <v>2018</v>
      </c>
      <c r="B1335" s="8" t="s">
        <v>58</v>
      </c>
      <c r="C1335" s="8" t="s">
        <v>38</v>
      </c>
      <c r="D1335" s="14">
        <v>11971</v>
      </c>
      <c r="E1335" s="14">
        <v>234487</v>
      </c>
      <c r="F1335" s="15">
        <v>45993</v>
      </c>
    </row>
    <row r="1336" spans="1:6" x14ac:dyDescent="0.3">
      <c r="A1336" s="7">
        <v>2018</v>
      </c>
      <c r="B1336" s="8" t="s">
        <v>58</v>
      </c>
      <c r="C1336" s="8" t="s">
        <v>39</v>
      </c>
      <c r="D1336" s="14">
        <v>2839</v>
      </c>
      <c r="E1336" s="14">
        <v>67868</v>
      </c>
      <c r="F1336" s="15">
        <v>50399</v>
      </c>
    </row>
    <row r="1337" spans="1:6" x14ac:dyDescent="0.3">
      <c r="A1337" s="7">
        <v>2018</v>
      </c>
      <c r="B1337" s="8" t="s">
        <v>58</v>
      </c>
      <c r="C1337" s="8" t="s">
        <v>40</v>
      </c>
      <c r="D1337" s="14">
        <v>16127</v>
      </c>
      <c r="E1337" s="14">
        <v>420817</v>
      </c>
      <c r="F1337" s="15">
        <v>52099</v>
      </c>
    </row>
    <row r="1338" spans="1:6" x14ac:dyDescent="0.3">
      <c r="A1338" s="7">
        <v>2018</v>
      </c>
      <c r="B1338" s="8" t="s">
        <v>58</v>
      </c>
      <c r="C1338" s="8" t="s">
        <v>41</v>
      </c>
      <c r="D1338" s="14">
        <v>90552</v>
      </c>
      <c r="E1338" s="14">
        <v>1641637</v>
      </c>
      <c r="F1338" s="15">
        <v>48036</v>
      </c>
    </row>
    <row r="1339" spans="1:6" x14ac:dyDescent="0.3">
      <c r="A1339" s="7">
        <v>2018</v>
      </c>
      <c r="B1339" s="8" t="s">
        <v>58</v>
      </c>
      <c r="C1339" s="8" t="s">
        <v>42</v>
      </c>
      <c r="D1339" s="14">
        <v>12264</v>
      </c>
      <c r="E1339" s="14">
        <v>186785</v>
      </c>
      <c r="F1339" s="15">
        <v>43696</v>
      </c>
    </row>
    <row r="1340" spans="1:6" x14ac:dyDescent="0.3">
      <c r="A1340" s="7">
        <v>2018</v>
      </c>
      <c r="B1340" s="8" t="s">
        <v>58</v>
      </c>
      <c r="C1340" s="8" t="s">
        <v>43</v>
      </c>
      <c r="D1340" s="14">
        <v>2463</v>
      </c>
      <c r="E1340" s="14">
        <v>62630</v>
      </c>
      <c r="F1340" s="15">
        <v>46699</v>
      </c>
    </row>
    <row r="1341" spans="1:6" x14ac:dyDescent="0.3">
      <c r="A1341" s="7">
        <v>2018</v>
      </c>
      <c r="B1341" s="8" t="s">
        <v>58</v>
      </c>
      <c r="C1341" s="8" t="s">
        <v>44</v>
      </c>
      <c r="D1341" s="14">
        <v>43566</v>
      </c>
      <c r="E1341" s="14">
        <v>505487</v>
      </c>
      <c r="F1341" s="15">
        <v>49627</v>
      </c>
    </row>
    <row r="1342" spans="1:6" x14ac:dyDescent="0.3">
      <c r="A1342" s="7">
        <v>2018</v>
      </c>
      <c r="B1342" s="8" t="s">
        <v>58</v>
      </c>
      <c r="C1342" s="8" t="s">
        <v>45</v>
      </c>
      <c r="D1342" s="14">
        <v>61026</v>
      </c>
      <c r="E1342" s="14">
        <v>465717</v>
      </c>
      <c r="F1342" s="15">
        <v>51354</v>
      </c>
    </row>
    <row r="1343" spans="1:6" x14ac:dyDescent="0.3">
      <c r="A1343" s="7">
        <v>2018</v>
      </c>
      <c r="B1343" s="8" t="s">
        <v>58</v>
      </c>
      <c r="C1343" s="8" t="s">
        <v>46</v>
      </c>
      <c r="D1343" s="14">
        <v>5765</v>
      </c>
      <c r="E1343" s="14">
        <v>124431</v>
      </c>
      <c r="F1343" s="15">
        <v>46182</v>
      </c>
    </row>
    <row r="1344" spans="1:6" x14ac:dyDescent="0.3">
      <c r="A1344" s="7">
        <v>2018</v>
      </c>
      <c r="B1344" s="8" t="s">
        <v>58</v>
      </c>
      <c r="C1344" s="8" t="s">
        <v>47</v>
      </c>
      <c r="D1344" s="14">
        <v>28013</v>
      </c>
      <c r="E1344" s="14">
        <v>434143</v>
      </c>
      <c r="F1344" s="15">
        <v>49195</v>
      </c>
    </row>
    <row r="1345" spans="1:6" x14ac:dyDescent="0.3">
      <c r="A1345" s="7">
        <v>2018</v>
      </c>
      <c r="B1345" s="8" t="s">
        <v>58</v>
      </c>
      <c r="C1345" s="8" t="s">
        <v>48</v>
      </c>
      <c r="D1345" s="14">
        <v>3338</v>
      </c>
      <c r="E1345" s="14">
        <v>26972</v>
      </c>
      <c r="F1345" s="15">
        <v>42906</v>
      </c>
    </row>
    <row r="1346" spans="1:6" x14ac:dyDescent="0.3">
      <c r="A1346" s="7">
        <v>2018</v>
      </c>
      <c r="B1346" s="8" t="s">
        <v>59</v>
      </c>
      <c r="C1346" s="8" t="s">
        <v>1</v>
      </c>
      <c r="D1346" s="14">
        <v>10993</v>
      </c>
      <c r="E1346" s="14">
        <v>205942</v>
      </c>
      <c r="F1346" s="15">
        <v>16798</v>
      </c>
    </row>
    <row r="1347" spans="1:6" x14ac:dyDescent="0.3">
      <c r="A1347" s="7">
        <v>2018</v>
      </c>
      <c r="B1347" s="8" t="s">
        <v>59</v>
      </c>
      <c r="C1347" s="8" t="s">
        <v>2</v>
      </c>
      <c r="D1347" s="14">
        <v>13627</v>
      </c>
      <c r="E1347" s="14">
        <v>325897</v>
      </c>
      <c r="F1347" s="15">
        <v>24580</v>
      </c>
    </row>
    <row r="1348" spans="1:6" x14ac:dyDescent="0.3">
      <c r="A1348" s="7">
        <v>2018</v>
      </c>
      <c r="B1348" s="8" t="s">
        <v>59</v>
      </c>
      <c r="C1348" s="8" t="s">
        <v>3</v>
      </c>
      <c r="D1348" s="14">
        <v>7168</v>
      </c>
      <c r="E1348" s="14">
        <v>118405</v>
      </c>
      <c r="F1348" s="15">
        <v>16536</v>
      </c>
    </row>
    <row r="1349" spans="1:6" x14ac:dyDescent="0.3">
      <c r="A1349" s="7">
        <v>2018</v>
      </c>
      <c r="B1349" s="8" t="s">
        <v>59</v>
      </c>
      <c r="C1349" s="8" t="s">
        <v>4</v>
      </c>
      <c r="D1349" s="14">
        <v>111455</v>
      </c>
      <c r="E1349" s="14">
        <v>1988750</v>
      </c>
      <c r="F1349" s="15">
        <v>30527</v>
      </c>
    </row>
    <row r="1350" spans="1:6" x14ac:dyDescent="0.3">
      <c r="A1350" s="7">
        <v>2018</v>
      </c>
      <c r="B1350" s="8" t="s">
        <v>59</v>
      </c>
      <c r="C1350" s="8" t="s">
        <v>5</v>
      </c>
      <c r="D1350" s="14">
        <v>16939</v>
      </c>
      <c r="E1350" s="14">
        <v>339407</v>
      </c>
      <c r="F1350" s="15">
        <v>25878</v>
      </c>
    </row>
    <row r="1351" spans="1:6" x14ac:dyDescent="0.3">
      <c r="A1351" s="7">
        <v>2018</v>
      </c>
      <c r="B1351" s="8" t="s">
        <v>59</v>
      </c>
      <c r="C1351" s="8" t="s">
        <v>6</v>
      </c>
      <c r="D1351" s="14">
        <v>10668</v>
      </c>
      <c r="E1351" s="14">
        <v>157709</v>
      </c>
      <c r="F1351" s="15">
        <v>23705</v>
      </c>
    </row>
    <row r="1352" spans="1:6" x14ac:dyDescent="0.3">
      <c r="A1352" s="7">
        <v>2018</v>
      </c>
      <c r="B1352" s="8" t="s">
        <v>59</v>
      </c>
      <c r="C1352" s="8" t="s">
        <v>7</v>
      </c>
      <c r="D1352" s="14">
        <v>2637</v>
      </c>
      <c r="E1352" s="14">
        <v>51696</v>
      </c>
      <c r="F1352" s="15">
        <v>20414</v>
      </c>
    </row>
    <row r="1353" spans="1:6" x14ac:dyDescent="0.3">
      <c r="A1353" s="7">
        <v>2018</v>
      </c>
      <c r="B1353" s="8" t="s">
        <v>59</v>
      </c>
      <c r="C1353" s="8" t="s">
        <v>8</v>
      </c>
      <c r="D1353" s="14">
        <v>56587</v>
      </c>
      <c r="E1353" s="14">
        <v>1226786</v>
      </c>
      <c r="F1353" s="15">
        <v>25881</v>
      </c>
    </row>
    <row r="1354" spans="1:6" x14ac:dyDescent="0.3">
      <c r="A1354" s="7">
        <v>2018</v>
      </c>
      <c r="B1354" s="8" t="s">
        <v>59</v>
      </c>
      <c r="C1354" s="8" t="s">
        <v>9</v>
      </c>
      <c r="D1354" s="14">
        <v>24275</v>
      </c>
      <c r="E1354" s="14">
        <v>487598</v>
      </c>
      <c r="F1354" s="15">
        <v>20604</v>
      </c>
    </row>
    <row r="1355" spans="1:6" x14ac:dyDescent="0.3">
      <c r="A1355" s="7">
        <v>2018</v>
      </c>
      <c r="B1355" s="8" t="s">
        <v>59</v>
      </c>
      <c r="C1355" s="8" t="s">
        <v>10</v>
      </c>
      <c r="D1355" s="14">
        <v>5008</v>
      </c>
      <c r="E1355" s="14">
        <v>78912</v>
      </c>
      <c r="F1355" s="15">
        <v>17141</v>
      </c>
    </row>
    <row r="1356" spans="1:6" x14ac:dyDescent="0.3">
      <c r="A1356" s="7">
        <v>2018</v>
      </c>
      <c r="B1356" s="8" t="s">
        <v>59</v>
      </c>
      <c r="C1356" s="8" t="s">
        <v>11</v>
      </c>
      <c r="D1356" s="14">
        <v>32619</v>
      </c>
      <c r="E1356" s="14">
        <v>617101</v>
      </c>
      <c r="F1356" s="15">
        <v>23765</v>
      </c>
    </row>
    <row r="1357" spans="1:6" x14ac:dyDescent="0.3">
      <c r="A1357" s="7">
        <v>2018</v>
      </c>
      <c r="B1357" s="8" t="s">
        <v>59</v>
      </c>
      <c r="C1357" s="8" t="s">
        <v>12</v>
      </c>
      <c r="D1357" s="14">
        <v>15564</v>
      </c>
      <c r="E1357" s="14">
        <v>310335</v>
      </c>
      <c r="F1357" s="15">
        <v>18981</v>
      </c>
    </row>
    <row r="1358" spans="1:6" x14ac:dyDescent="0.3">
      <c r="A1358" s="7">
        <v>2018</v>
      </c>
      <c r="B1358" s="8" t="s">
        <v>59</v>
      </c>
      <c r="C1358" s="8" t="s">
        <v>13</v>
      </c>
      <c r="D1358" s="14">
        <v>8670</v>
      </c>
      <c r="E1358" s="14">
        <v>143729</v>
      </c>
      <c r="F1358" s="15">
        <v>16799</v>
      </c>
    </row>
    <row r="1359" spans="1:6" x14ac:dyDescent="0.3">
      <c r="A1359" s="7">
        <v>2018</v>
      </c>
      <c r="B1359" s="8" t="s">
        <v>59</v>
      </c>
      <c r="C1359" s="8" t="s">
        <v>14</v>
      </c>
      <c r="D1359" s="14">
        <v>6895</v>
      </c>
      <c r="E1359" s="14">
        <v>129372</v>
      </c>
      <c r="F1359" s="15">
        <v>16764</v>
      </c>
    </row>
    <row r="1360" spans="1:6" x14ac:dyDescent="0.3">
      <c r="A1360" s="7">
        <v>2018</v>
      </c>
      <c r="B1360" s="8" t="s">
        <v>59</v>
      </c>
      <c r="C1360" s="8" t="s">
        <v>15</v>
      </c>
      <c r="D1360" s="14">
        <v>10080</v>
      </c>
      <c r="E1360" s="14">
        <v>197894</v>
      </c>
      <c r="F1360" s="15">
        <v>17719</v>
      </c>
    </row>
    <row r="1361" spans="1:6" x14ac:dyDescent="0.3">
      <c r="A1361" s="7">
        <v>2018</v>
      </c>
      <c r="B1361" s="8" t="s">
        <v>59</v>
      </c>
      <c r="C1361" s="8" t="s">
        <v>16</v>
      </c>
      <c r="D1361" s="14">
        <v>12415</v>
      </c>
      <c r="E1361" s="14">
        <v>236357</v>
      </c>
      <c r="F1361" s="15">
        <v>21264</v>
      </c>
    </row>
    <row r="1362" spans="1:6" x14ac:dyDescent="0.3">
      <c r="A1362" s="7">
        <v>2018</v>
      </c>
      <c r="B1362" s="8" t="s">
        <v>59</v>
      </c>
      <c r="C1362" s="8" t="s">
        <v>17</v>
      </c>
      <c r="D1362" s="14">
        <v>5047</v>
      </c>
      <c r="E1362" s="14">
        <v>68406</v>
      </c>
      <c r="F1362" s="15">
        <v>22087</v>
      </c>
    </row>
    <row r="1363" spans="1:6" x14ac:dyDescent="0.3">
      <c r="A1363" s="7">
        <v>2018</v>
      </c>
      <c r="B1363" s="8" t="s">
        <v>59</v>
      </c>
      <c r="C1363" s="8" t="s">
        <v>18</v>
      </c>
      <c r="D1363" s="14">
        <v>14772</v>
      </c>
      <c r="E1363" s="14">
        <v>282009</v>
      </c>
      <c r="F1363" s="15">
        <v>24012</v>
      </c>
    </row>
    <row r="1364" spans="1:6" x14ac:dyDescent="0.3">
      <c r="A1364" s="7">
        <v>2018</v>
      </c>
      <c r="B1364" s="8" t="s">
        <v>59</v>
      </c>
      <c r="C1364" s="8" t="s">
        <v>19</v>
      </c>
      <c r="D1364" s="14">
        <v>20642</v>
      </c>
      <c r="E1364" s="14">
        <v>375767</v>
      </c>
      <c r="F1364" s="15">
        <v>27758</v>
      </c>
    </row>
    <row r="1365" spans="1:6" x14ac:dyDescent="0.3">
      <c r="A1365" s="7">
        <v>2018</v>
      </c>
      <c r="B1365" s="8" t="s">
        <v>59</v>
      </c>
      <c r="C1365" s="8" t="s">
        <v>20</v>
      </c>
      <c r="D1365" s="14">
        <v>22025</v>
      </c>
      <c r="E1365" s="14">
        <v>432290</v>
      </c>
      <c r="F1365" s="15">
        <v>20566</v>
      </c>
    </row>
    <row r="1366" spans="1:6" x14ac:dyDescent="0.3">
      <c r="A1366" s="7">
        <v>2018</v>
      </c>
      <c r="B1366" s="8" t="s">
        <v>59</v>
      </c>
      <c r="C1366" s="8" t="s">
        <v>21</v>
      </c>
      <c r="D1366" s="14">
        <v>15294</v>
      </c>
      <c r="E1366" s="14">
        <v>272821</v>
      </c>
      <c r="F1366" s="15">
        <v>22507</v>
      </c>
    </row>
    <row r="1367" spans="1:6" x14ac:dyDescent="0.3">
      <c r="A1367" s="7">
        <v>2018</v>
      </c>
      <c r="B1367" s="8" t="s">
        <v>59</v>
      </c>
      <c r="C1367" s="8" t="s">
        <v>22</v>
      </c>
      <c r="D1367" s="14">
        <v>6464</v>
      </c>
      <c r="E1367" s="14">
        <v>134785</v>
      </c>
      <c r="F1367" s="15">
        <v>17523</v>
      </c>
    </row>
    <row r="1368" spans="1:6" x14ac:dyDescent="0.3">
      <c r="A1368" s="7">
        <v>2018</v>
      </c>
      <c r="B1368" s="8" t="s">
        <v>59</v>
      </c>
      <c r="C1368" s="8" t="s">
        <v>23</v>
      </c>
      <c r="D1368" s="14">
        <v>14797</v>
      </c>
      <c r="E1368" s="14">
        <v>305418</v>
      </c>
      <c r="F1368" s="15">
        <v>20892</v>
      </c>
    </row>
    <row r="1369" spans="1:6" x14ac:dyDescent="0.3">
      <c r="A1369" s="7">
        <v>2018</v>
      </c>
      <c r="B1369" s="8" t="s">
        <v>59</v>
      </c>
      <c r="C1369" s="8" t="s">
        <v>24</v>
      </c>
      <c r="D1369" s="14">
        <v>5071</v>
      </c>
      <c r="E1369" s="14">
        <v>66044</v>
      </c>
      <c r="F1369" s="15">
        <v>19150</v>
      </c>
    </row>
    <row r="1370" spans="1:6" x14ac:dyDescent="0.3">
      <c r="A1370" s="7">
        <v>2018</v>
      </c>
      <c r="B1370" s="8" t="s">
        <v>59</v>
      </c>
      <c r="C1370" s="8" t="s">
        <v>25</v>
      </c>
      <c r="D1370" s="14">
        <v>5561</v>
      </c>
      <c r="E1370" s="14">
        <v>92581</v>
      </c>
      <c r="F1370" s="15">
        <v>16715</v>
      </c>
    </row>
    <row r="1371" spans="1:6" x14ac:dyDescent="0.3">
      <c r="A1371" s="7">
        <v>2018</v>
      </c>
      <c r="B1371" s="8" t="s">
        <v>59</v>
      </c>
      <c r="C1371" s="8" t="s">
        <v>26</v>
      </c>
      <c r="D1371" s="14">
        <v>8499</v>
      </c>
      <c r="E1371" s="14">
        <v>352051</v>
      </c>
      <c r="F1371" s="15">
        <v>33688</v>
      </c>
    </row>
    <row r="1372" spans="1:6" x14ac:dyDescent="0.3">
      <c r="A1372" s="7">
        <v>2018</v>
      </c>
      <c r="B1372" s="8" t="s">
        <v>59</v>
      </c>
      <c r="C1372" s="8" t="s">
        <v>27</v>
      </c>
      <c r="D1372" s="14">
        <v>4595</v>
      </c>
      <c r="E1372" s="14">
        <v>71975</v>
      </c>
      <c r="F1372" s="15">
        <v>21945</v>
      </c>
    </row>
    <row r="1373" spans="1:6" x14ac:dyDescent="0.3">
      <c r="A1373" s="7">
        <v>2018</v>
      </c>
      <c r="B1373" s="8" t="s">
        <v>59</v>
      </c>
      <c r="C1373" s="8" t="s">
        <v>28</v>
      </c>
      <c r="D1373" s="14">
        <v>24132</v>
      </c>
      <c r="E1373" s="14">
        <v>385616</v>
      </c>
      <c r="F1373" s="15">
        <v>26316</v>
      </c>
    </row>
    <row r="1374" spans="1:6" x14ac:dyDescent="0.3">
      <c r="A1374" s="7">
        <v>2018</v>
      </c>
      <c r="B1374" s="8" t="s">
        <v>59</v>
      </c>
      <c r="C1374" s="8" t="s">
        <v>29</v>
      </c>
      <c r="D1374" s="14">
        <v>5107</v>
      </c>
      <c r="E1374" s="14">
        <v>97785</v>
      </c>
      <c r="F1374" s="15">
        <v>18651</v>
      </c>
    </row>
    <row r="1375" spans="1:6" x14ac:dyDescent="0.3">
      <c r="A1375" s="7">
        <v>2018</v>
      </c>
      <c r="B1375" s="8" t="s">
        <v>59</v>
      </c>
      <c r="C1375" s="8" t="s">
        <v>30</v>
      </c>
      <c r="D1375" s="14">
        <v>66285</v>
      </c>
      <c r="E1375" s="14">
        <v>957343</v>
      </c>
      <c r="F1375" s="15">
        <v>33850</v>
      </c>
    </row>
    <row r="1376" spans="1:6" x14ac:dyDescent="0.3">
      <c r="A1376" s="7">
        <v>2018</v>
      </c>
      <c r="B1376" s="8" t="s">
        <v>59</v>
      </c>
      <c r="C1376" s="8" t="s">
        <v>31</v>
      </c>
      <c r="D1376" s="14">
        <v>25859</v>
      </c>
      <c r="E1376" s="14">
        <v>502877</v>
      </c>
      <c r="F1376" s="15">
        <v>19767</v>
      </c>
    </row>
    <row r="1377" spans="1:6" x14ac:dyDescent="0.3">
      <c r="A1377" s="7">
        <v>2018</v>
      </c>
      <c r="B1377" s="8" t="s">
        <v>59</v>
      </c>
      <c r="C1377" s="8" t="s">
        <v>32</v>
      </c>
      <c r="D1377" s="14">
        <v>2627</v>
      </c>
      <c r="E1377" s="14">
        <v>40375</v>
      </c>
      <c r="F1377" s="15">
        <v>17889</v>
      </c>
    </row>
    <row r="1378" spans="1:6" x14ac:dyDescent="0.3">
      <c r="A1378" s="7">
        <v>2018</v>
      </c>
      <c r="B1378" s="8" t="s">
        <v>59</v>
      </c>
      <c r="C1378" s="8" t="s">
        <v>33</v>
      </c>
      <c r="D1378" s="14">
        <v>28523</v>
      </c>
      <c r="E1378" s="14">
        <v>566681</v>
      </c>
      <c r="F1378" s="15">
        <v>19459</v>
      </c>
    </row>
    <row r="1379" spans="1:6" x14ac:dyDescent="0.3">
      <c r="A1379" s="7">
        <v>2018</v>
      </c>
      <c r="B1379" s="8" t="s">
        <v>59</v>
      </c>
      <c r="C1379" s="8" t="s">
        <v>34</v>
      </c>
      <c r="D1379" s="14">
        <v>9140</v>
      </c>
      <c r="E1379" s="14">
        <v>171567</v>
      </c>
      <c r="F1379" s="15">
        <v>18204</v>
      </c>
    </row>
    <row r="1380" spans="1:6" x14ac:dyDescent="0.3">
      <c r="A1380" s="7">
        <v>2018</v>
      </c>
      <c r="B1380" s="8" t="s">
        <v>59</v>
      </c>
      <c r="C1380" s="8" t="s">
        <v>35</v>
      </c>
      <c r="D1380" s="14">
        <v>13794</v>
      </c>
      <c r="E1380" s="14">
        <v>210781</v>
      </c>
      <c r="F1380" s="15">
        <v>22754</v>
      </c>
    </row>
    <row r="1381" spans="1:6" x14ac:dyDescent="0.3">
      <c r="A1381" s="7">
        <v>2018</v>
      </c>
      <c r="B1381" s="8" t="s">
        <v>59</v>
      </c>
      <c r="C1381" s="8" t="s">
        <v>36</v>
      </c>
      <c r="D1381" s="14">
        <v>33471</v>
      </c>
      <c r="E1381" s="14">
        <v>571799</v>
      </c>
      <c r="F1381" s="15">
        <v>21102</v>
      </c>
    </row>
    <row r="1382" spans="1:6" x14ac:dyDescent="0.3">
      <c r="A1382" s="7">
        <v>2018</v>
      </c>
      <c r="B1382" s="8" t="s">
        <v>59</v>
      </c>
      <c r="C1382" s="8" t="s">
        <v>37</v>
      </c>
      <c r="D1382" s="14">
        <v>3748</v>
      </c>
      <c r="E1382" s="14">
        <v>59154</v>
      </c>
      <c r="F1382" s="15">
        <v>22818</v>
      </c>
    </row>
    <row r="1383" spans="1:6" x14ac:dyDescent="0.3">
      <c r="A1383" s="7">
        <v>2018</v>
      </c>
      <c r="B1383" s="8" t="s">
        <v>59</v>
      </c>
      <c r="C1383" s="8" t="s">
        <v>38</v>
      </c>
      <c r="D1383" s="14">
        <v>12841</v>
      </c>
      <c r="E1383" s="14">
        <v>263743</v>
      </c>
      <c r="F1383" s="15">
        <v>17991</v>
      </c>
    </row>
    <row r="1384" spans="1:6" x14ac:dyDescent="0.3">
      <c r="A1384" s="7">
        <v>2018</v>
      </c>
      <c r="B1384" s="8" t="s">
        <v>59</v>
      </c>
      <c r="C1384" s="8" t="s">
        <v>39</v>
      </c>
      <c r="D1384" s="14">
        <v>3149</v>
      </c>
      <c r="E1384" s="14">
        <v>47321</v>
      </c>
      <c r="F1384" s="15">
        <v>16954</v>
      </c>
    </row>
    <row r="1385" spans="1:6" x14ac:dyDescent="0.3">
      <c r="A1385" s="7">
        <v>2018</v>
      </c>
      <c r="B1385" s="8" t="s">
        <v>59</v>
      </c>
      <c r="C1385" s="8" t="s">
        <v>40</v>
      </c>
      <c r="D1385" s="14">
        <v>16427</v>
      </c>
      <c r="E1385" s="14">
        <v>337857</v>
      </c>
      <c r="F1385" s="15">
        <v>23524</v>
      </c>
    </row>
    <row r="1386" spans="1:6" x14ac:dyDescent="0.3">
      <c r="A1386" s="7">
        <v>2018</v>
      </c>
      <c r="B1386" s="8" t="s">
        <v>59</v>
      </c>
      <c r="C1386" s="8" t="s">
        <v>41</v>
      </c>
      <c r="D1386" s="14">
        <v>62760</v>
      </c>
      <c r="E1386" s="14">
        <v>1354468</v>
      </c>
      <c r="F1386" s="15">
        <v>21861</v>
      </c>
    </row>
    <row r="1387" spans="1:6" x14ac:dyDescent="0.3">
      <c r="A1387" s="7">
        <v>2018</v>
      </c>
      <c r="B1387" s="8" t="s">
        <v>59</v>
      </c>
      <c r="C1387" s="8" t="s">
        <v>42</v>
      </c>
      <c r="D1387" s="14">
        <v>7374</v>
      </c>
      <c r="E1387" s="14">
        <v>148446</v>
      </c>
      <c r="F1387" s="15">
        <v>20121</v>
      </c>
    </row>
    <row r="1388" spans="1:6" x14ac:dyDescent="0.3">
      <c r="A1388" s="7">
        <v>2018</v>
      </c>
      <c r="B1388" s="8" t="s">
        <v>59</v>
      </c>
      <c r="C1388" s="8" t="s">
        <v>43</v>
      </c>
      <c r="D1388" s="14">
        <v>2279</v>
      </c>
      <c r="E1388" s="14">
        <v>37198</v>
      </c>
      <c r="F1388" s="15">
        <v>23107</v>
      </c>
    </row>
    <row r="1389" spans="1:6" x14ac:dyDescent="0.3">
      <c r="A1389" s="7">
        <v>2018</v>
      </c>
      <c r="B1389" s="8" t="s">
        <v>59</v>
      </c>
      <c r="C1389" s="8" t="s">
        <v>44</v>
      </c>
      <c r="D1389" s="14">
        <v>20479</v>
      </c>
      <c r="E1389" s="14">
        <v>406321</v>
      </c>
      <c r="F1389" s="15">
        <v>20678</v>
      </c>
    </row>
    <row r="1390" spans="1:6" x14ac:dyDescent="0.3">
      <c r="A1390" s="7">
        <v>2018</v>
      </c>
      <c r="B1390" s="8" t="s">
        <v>59</v>
      </c>
      <c r="C1390" s="8" t="s">
        <v>45</v>
      </c>
      <c r="D1390" s="14">
        <v>20431</v>
      </c>
      <c r="E1390" s="14">
        <v>335635</v>
      </c>
      <c r="F1390" s="15">
        <v>25357</v>
      </c>
    </row>
    <row r="1391" spans="1:6" x14ac:dyDescent="0.3">
      <c r="A1391" s="7">
        <v>2018</v>
      </c>
      <c r="B1391" s="8" t="s">
        <v>59</v>
      </c>
      <c r="C1391" s="8" t="s">
        <v>46</v>
      </c>
      <c r="D1391" s="14">
        <v>4722</v>
      </c>
      <c r="E1391" s="14">
        <v>74133</v>
      </c>
      <c r="F1391" s="15">
        <v>17916</v>
      </c>
    </row>
    <row r="1392" spans="1:6" x14ac:dyDescent="0.3">
      <c r="A1392" s="7">
        <v>2018</v>
      </c>
      <c r="B1392" s="8" t="s">
        <v>59</v>
      </c>
      <c r="C1392" s="8" t="s">
        <v>47</v>
      </c>
      <c r="D1392" s="14">
        <v>16931</v>
      </c>
      <c r="E1392" s="14">
        <v>282313</v>
      </c>
      <c r="F1392" s="15">
        <v>18305</v>
      </c>
    </row>
    <row r="1393" spans="1:6" x14ac:dyDescent="0.3">
      <c r="A1393" s="7">
        <v>2018</v>
      </c>
      <c r="B1393" s="8" t="s">
        <v>59</v>
      </c>
      <c r="C1393" s="8" t="s">
        <v>48</v>
      </c>
      <c r="D1393" s="14">
        <v>2383</v>
      </c>
      <c r="E1393" s="14">
        <v>36403</v>
      </c>
      <c r="F1393" s="15">
        <v>21270</v>
      </c>
    </row>
    <row r="1394" spans="1:6" x14ac:dyDescent="0.3">
      <c r="A1394" s="7">
        <v>2018</v>
      </c>
      <c r="B1394" s="8" t="s">
        <v>60</v>
      </c>
      <c r="C1394" s="8" t="s">
        <v>1</v>
      </c>
      <c r="D1394" s="14">
        <v>10102</v>
      </c>
      <c r="E1394" s="14">
        <v>46094</v>
      </c>
      <c r="F1394" s="15">
        <v>37839</v>
      </c>
    </row>
    <row r="1395" spans="1:6" x14ac:dyDescent="0.3">
      <c r="A1395" s="7">
        <v>2018</v>
      </c>
      <c r="B1395" s="8" t="s">
        <v>60</v>
      </c>
      <c r="C1395" s="8" t="s">
        <v>2</v>
      </c>
      <c r="D1395" s="14">
        <v>11119</v>
      </c>
      <c r="E1395" s="14">
        <v>75319</v>
      </c>
      <c r="F1395" s="15">
        <v>37697</v>
      </c>
    </row>
    <row r="1396" spans="1:6" x14ac:dyDescent="0.3">
      <c r="A1396" s="7">
        <v>2018</v>
      </c>
      <c r="B1396" s="8" t="s">
        <v>60</v>
      </c>
      <c r="C1396" s="8" t="s">
        <v>3</v>
      </c>
      <c r="D1396" s="14">
        <v>5345</v>
      </c>
      <c r="E1396" s="14">
        <v>24966</v>
      </c>
      <c r="F1396" s="15">
        <v>34843</v>
      </c>
    </row>
    <row r="1397" spans="1:6" x14ac:dyDescent="0.3">
      <c r="A1397" s="7">
        <v>2018</v>
      </c>
      <c r="B1397" s="8" t="s">
        <v>60</v>
      </c>
      <c r="C1397" s="8" t="s">
        <v>4</v>
      </c>
      <c r="D1397" s="14">
        <v>95398</v>
      </c>
      <c r="E1397" s="14">
        <v>541832</v>
      </c>
      <c r="F1397" s="15">
        <v>40668</v>
      </c>
    </row>
    <row r="1398" spans="1:6" x14ac:dyDescent="0.3">
      <c r="A1398" s="7">
        <v>2018</v>
      </c>
      <c r="B1398" s="8" t="s">
        <v>60</v>
      </c>
      <c r="C1398" s="8" t="s">
        <v>5</v>
      </c>
      <c r="D1398" s="14">
        <v>16405</v>
      </c>
      <c r="E1398" s="14">
        <v>82040</v>
      </c>
      <c r="F1398" s="15">
        <v>40987</v>
      </c>
    </row>
    <row r="1399" spans="1:6" x14ac:dyDescent="0.3">
      <c r="A1399" s="7">
        <v>2018</v>
      </c>
      <c r="B1399" s="8" t="s">
        <v>60</v>
      </c>
      <c r="C1399" s="8" t="s">
        <v>6</v>
      </c>
      <c r="D1399" s="14">
        <v>17517</v>
      </c>
      <c r="E1399" s="14">
        <v>66913</v>
      </c>
      <c r="F1399" s="15">
        <v>33615</v>
      </c>
    </row>
    <row r="1400" spans="1:6" x14ac:dyDescent="0.3">
      <c r="A1400" s="7">
        <v>2018</v>
      </c>
      <c r="B1400" s="8" t="s">
        <v>60</v>
      </c>
      <c r="C1400" s="8" t="s">
        <v>7</v>
      </c>
      <c r="D1400" s="14">
        <v>2054</v>
      </c>
      <c r="E1400" s="14">
        <v>11930</v>
      </c>
      <c r="F1400" s="15">
        <v>34259</v>
      </c>
    </row>
    <row r="1401" spans="1:6" x14ac:dyDescent="0.3">
      <c r="A1401" s="7">
        <v>2018</v>
      </c>
      <c r="B1401" s="8" t="s">
        <v>60</v>
      </c>
      <c r="C1401" s="8" t="s">
        <v>8</v>
      </c>
      <c r="D1401" s="14">
        <v>55687</v>
      </c>
      <c r="E1401" s="14">
        <v>279269</v>
      </c>
      <c r="F1401" s="15">
        <v>36402</v>
      </c>
    </row>
    <row r="1402" spans="1:6" x14ac:dyDescent="0.3">
      <c r="A1402" s="7">
        <v>2018</v>
      </c>
      <c r="B1402" s="8" t="s">
        <v>60</v>
      </c>
      <c r="C1402" s="8" t="s">
        <v>9</v>
      </c>
      <c r="D1402" s="14">
        <v>17999</v>
      </c>
      <c r="E1402" s="14">
        <v>108656</v>
      </c>
      <c r="F1402" s="15">
        <v>36377</v>
      </c>
    </row>
    <row r="1403" spans="1:6" x14ac:dyDescent="0.3">
      <c r="A1403" s="7">
        <v>2018</v>
      </c>
      <c r="B1403" s="8" t="s">
        <v>60</v>
      </c>
      <c r="C1403" s="8" t="s">
        <v>10</v>
      </c>
      <c r="D1403" s="14">
        <v>3985</v>
      </c>
      <c r="E1403" s="14">
        <v>18622</v>
      </c>
      <c r="F1403" s="15">
        <v>31284</v>
      </c>
    </row>
    <row r="1404" spans="1:6" x14ac:dyDescent="0.3">
      <c r="A1404" s="7">
        <v>2018</v>
      </c>
      <c r="B1404" s="8" t="s">
        <v>60</v>
      </c>
      <c r="C1404" s="8" t="s">
        <v>11</v>
      </c>
      <c r="D1404" s="14">
        <v>39449</v>
      </c>
      <c r="E1404" s="14">
        <v>208655</v>
      </c>
      <c r="F1404" s="15">
        <v>42392</v>
      </c>
    </row>
    <row r="1405" spans="1:6" x14ac:dyDescent="0.3">
      <c r="A1405" s="7">
        <v>2018</v>
      </c>
      <c r="B1405" s="8" t="s">
        <v>60</v>
      </c>
      <c r="C1405" s="8" t="s">
        <v>12</v>
      </c>
      <c r="D1405" s="14">
        <v>13122</v>
      </c>
      <c r="E1405" s="14">
        <v>87997</v>
      </c>
      <c r="F1405" s="15">
        <v>32900</v>
      </c>
    </row>
    <row r="1406" spans="1:6" x14ac:dyDescent="0.3">
      <c r="A1406" s="7">
        <v>2018</v>
      </c>
      <c r="B1406" s="8" t="s">
        <v>60</v>
      </c>
      <c r="C1406" s="8" t="s">
        <v>13</v>
      </c>
      <c r="D1406" s="14">
        <v>8669</v>
      </c>
      <c r="E1406" s="14">
        <v>42339</v>
      </c>
      <c r="F1406" s="15">
        <v>34313</v>
      </c>
    </row>
    <row r="1407" spans="1:6" x14ac:dyDescent="0.3">
      <c r="A1407" s="7">
        <v>2018</v>
      </c>
      <c r="B1407" s="8" t="s">
        <v>60</v>
      </c>
      <c r="C1407" s="8" t="s">
        <v>14</v>
      </c>
      <c r="D1407" s="14">
        <v>5983</v>
      </c>
      <c r="E1407" s="14">
        <v>33757</v>
      </c>
      <c r="F1407" s="15">
        <v>34478</v>
      </c>
    </row>
    <row r="1408" spans="1:6" x14ac:dyDescent="0.3">
      <c r="A1408" s="7">
        <v>2018</v>
      </c>
      <c r="B1408" s="8" t="s">
        <v>60</v>
      </c>
      <c r="C1408" s="8" t="s">
        <v>15</v>
      </c>
      <c r="D1408" s="14">
        <v>10697</v>
      </c>
      <c r="E1408" s="14">
        <v>46476</v>
      </c>
      <c r="F1408" s="15">
        <v>33616</v>
      </c>
    </row>
    <row r="1409" spans="1:6" x14ac:dyDescent="0.3">
      <c r="A1409" s="7">
        <v>2018</v>
      </c>
      <c r="B1409" s="8" t="s">
        <v>60</v>
      </c>
      <c r="C1409" s="8" t="s">
        <v>16</v>
      </c>
      <c r="D1409" s="14">
        <v>9230</v>
      </c>
      <c r="E1409" s="14">
        <v>45904</v>
      </c>
      <c r="F1409" s="15">
        <v>37854</v>
      </c>
    </row>
    <row r="1410" spans="1:6" x14ac:dyDescent="0.3">
      <c r="A1410" s="7">
        <v>2018</v>
      </c>
      <c r="B1410" s="8" t="s">
        <v>60</v>
      </c>
      <c r="C1410" s="8" t="s">
        <v>17</v>
      </c>
      <c r="D1410" s="14">
        <v>3832</v>
      </c>
      <c r="E1410" s="14">
        <v>18021</v>
      </c>
      <c r="F1410" s="15">
        <v>33967</v>
      </c>
    </row>
    <row r="1411" spans="1:6" x14ac:dyDescent="0.3">
      <c r="A1411" s="7">
        <v>2018</v>
      </c>
      <c r="B1411" s="8" t="s">
        <v>60</v>
      </c>
      <c r="C1411" s="8" t="s">
        <v>18</v>
      </c>
      <c r="D1411" s="14">
        <v>19354</v>
      </c>
      <c r="E1411" s="14">
        <v>91803</v>
      </c>
      <c r="F1411" s="15">
        <v>43222</v>
      </c>
    </row>
    <row r="1412" spans="1:6" x14ac:dyDescent="0.3">
      <c r="A1412" s="7">
        <v>2018</v>
      </c>
      <c r="B1412" s="8" t="s">
        <v>60</v>
      </c>
      <c r="C1412" s="8" t="s">
        <v>19</v>
      </c>
      <c r="D1412" s="14">
        <v>21621</v>
      </c>
      <c r="E1412" s="14">
        <v>119963</v>
      </c>
      <c r="F1412" s="15">
        <v>38569</v>
      </c>
    </row>
    <row r="1413" spans="1:6" x14ac:dyDescent="0.3">
      <c r="A1413" s="7">
        <v>2018</v>
      </c>
      <c r="B1413" s="8" t="s">
        <v>60</v>
      </c>
      <c r="C1413" s="8" t="s">
        <v>20</v>
      </c>
      <c r="D1413" s="14">
        <v>31024</v>
      </c>
      <c r="E1413" s="14">
        <v>139968</v>
      </c>
      <c r="F1413" s="15">
        <v>33275</v>
      </c>
    </row>
    <row r="1414" spans="1:6" x14ac:dyDescent="0.3">
      <c r="A1414" s="7">
        <v>2018</v>
      </c>
      <c r="B1414" s="8" t="s">
        <v>60</v>
      </c>
      <c r="C1414" s="8" t="s">
        <v>21</v>
      </c>
      <c r="D1414" s="14">
        <v>17099</v>
      </c>
      <c r="E1414" s="14">
        <v>90096</v>
      </c>
      <c r="F1414" s="15">
        <v>34221</v>
      </c>
    </row>
    <row r="1415" spans="1:6" x14ac:dyDescent="0.3">
      <c r="A1415" s="7">
        <v>2018</v>
      </c>
      <c r="B1415" s="8" t="s">
        <v>60</v>
      </c>
      <c r="C1415" s="8" t="s">
        <v>22</v>
      </c>
      <c r="D1415" s="14">
        <v>4645</v>
      </c>
      <c r="E1415" s="14">
        <v>21202</v>
      </c>
      <c r="F1415" s="15">
        <v>34491</v>
      </c>
    </row>
    <row r="1416" spans="1:6" x14ac:dyDescent="0.3">
      <c r="A1416" s="7">
        <v>2018</v>
      </c>
      <c r="B1416" s="8" t="s">
        <v>60</v>
      </c>
      <c r="C1416" s="8" t="s">
        <v>23</v>
      </c>
      <c r="D1416" s="14">
        <v>12996</v>
      </c>
      <c r="E1416" s="14">
        <v>75350</v>
      </c>
      <c r="F1416" s="15">
        <v>34075</v>
      </c>
    </row>
    <row r="1417" spans="1:6" x14ac:dyDescent="0.3">
      <c r="A1417" s="7">
        <v>2018</v>
      </c>
      <c r="B1417" s="8" t="s">
        <v>60</v>
      </c>
      <c r="C1417" s="8" t="s">
        <v>24</v>
      </c>
      <c r="D1417" s="14">
        <v>4285</v>
      </c>
      <c r="E1417" s="14">
        <v>18301</v>
      </c>
      <c r="F1417" s="15">
        <v>30293</v>
      </c>
    </row>
    <row r="1418" spans="1:6" x14ac:dyDescent="0.3">
      <c r="A1418" s="7">
        <v>2018</v>
      </c>
      <c r="B1418" s="8" t="s">
        <v>60</v>
      </c>
      <c r="C1418" s="8" t="s">
        <v>25</v>
      </c>
      <c r="D1418" s="14">
        <v>4614</v>
      </c>
      <c r="E1418" s="14">
        <v>25333</v>
      </c>
      <c r="F1418" s="15">
        <v>32212</v>
      </c>
    </row>
    <row r="1419" spans="1:6" x14ac:dyDescent="0.3">
      <c r="A1419" s="7">
        <v>2018</v>
      </c>
      <c r="B1419" s="8" t="s">
        <v>60</v>
      </c>
      <c r="C1419" s="8" t="s">
        <v>26</v>
      </c>
      <c r="D1419" s="14">
        <v>5080</v>
      </c>
      <c r="E1419" s="14">
        <v>34964</v>
      </c>
      <c r="F1419" s="15">
        <v>37484</v>
      </c>
    </row>
    <row r="1420" spans="1:6" x14ac:dyDescent="0.3">
      <c r="A1420" s="7">
        <v>2018</v>
      </c>
      <c r="B1420" s="8" t="s">
        <v>60</v>
      </c>
      <c r="C1420" s="8" t="s">
        <v>27</v>
      </c>
      <c r="D1420" s="14">
        <v>3934</v>
      </c>
      <c r="E1420" s="14">
        <v>20991</v>
      </c>
      <c r="F1420" s="15">
        <v>37927</v>
      </c>
    </row>
    <row r="1421" spans="1:6" x14ac:dyDescent="0.3">
      <c r="A1421" s="7">
        <v>2018</v>
      </c>
      <c r="B1421" s="8" t="s">
        <v>60</v>
      </c>
      <c r="C1421" s="8" t="s">
        <v>28</v>
      </c>
      <c r="D1421" s="14">
        <v>24105</v>
      </c>
      <c r="E1421" s="14">
        <v>135824</v>
      </c>
      <c r="F1421" s="15">
        <v>36518</v>
      </c>
    </row>
    <row r="1422" spans="1:6" x14ac:dyDescent="0.3">
      <c r="A1422" s="7">
        <v>2018</v>
      </c>
      <c r="B1422" s="8" t="s">
        <v>60</v>
      </c>
      <c r="C1422" s="8" t="s">
        <v>29</v>
      </c>
      <c r="D1422" s="14">
        <v>4073</v>
      </c>
      <c r="E1422" s="14">
        <v>20964</v>
      </c>
      <c r="F1422" s="15">
        <v>34365</v>
      </c>
    </row>
    <row r="1423" spans="1:6" x14ac:dyDescent="0.3">
      <c r="A1423" s="7">
        <v>2018</v>
      </c>
      <c r="B1423" s="8" t="s">
        <v>60</v>
      </c>
      <c r="C1423" s="8" t="s">
        <v>30</v>
      </c>
      <c r="D1423" s="14">
        <v>73275</v>
      </c>
      <c r="E1423" s="14">
        <v>370268</v>
      </c>
      <c r="F1423" s="15">
        <v>41910</v>
      </c>
    </row>
    <row r="1424" spans="1:6" x14ac:dyDescent="0.3">
      <c r="A1424" s="7">
        <v>2018</v>
      </c>
      <c r="B1424" s="8" t="s">
        <v>60</v>
      </c>
      <c r="C1424" s="8" t="s">
        <v>31</v>
      </c>
      <c r="D1424" s="14">
        <v>23444</v>
      </c>
      <c r="E1424" s="14">
        <v>109986</v>
      </c>
      <c r="F1424" s="15">
        <v>35102</v>
      </c>
    </row>
    <row r="1425" spans="1:6" x14ac:dyDescent="0.3">
      <c r="A1425" s="7">
        <v>2018</v>
      </c>
      <c r="B1425" s="8" t="s">
        <v>60</v>
      </c>
      <c r="C1425" s="8" t="s">
        <v>32</v>
      </c>
      <c r="D1425" s="14">
        <v>2051</v>
      </c>
      <c r="E1425" s="14">
        <v>11307</v>
      </c>
      <c r="F1425" s="15">
        <v>37216</v>
      </c>
    </row>
    <row r="1426" spans="1:6" x14ac:dyDescent="0.3">
      <c r="A1426" s="7">
        <v>2018</v>
      </c>
      <c r="B1426" s="8" t="s">
        <v>60</v>
      </c>
      <c r="C1426" s="8" t="s">
        <v>33</v>
      </c>
      <c r="D1426" s="14">
        <v>23542</v>
      </c>
      <c r="E1426" s="14">
        <v>156685</v>
      </c>
      <c r="F1426" s="15">
        <v>34001</v>
      </c>
    </row>
    <row r="1427" spans="1:6" x14ac:dyDescent="0.3">
      <c r="A1427" s="7">
        <v>2018</v>
      </c>
      <c r="B1427" s="8" t="s">
        <v>60</v>
      </c>
      <c r="C1427" s="8" t="s">
        <v>34</v>
      </c>
      <c r="D1427" s="14">
        <v>6640</v>
      </c>
      <c r="E1427" s="14">
        <v>36417</v>
      </c>
      <c r="F1427" s="15">
        <v>35221</v>
      </c>
    </row>
    <row r="1428" spans="1:6" x14ac:dyDescent="0.3">
      <c r="A1428" s="7">
        <v>2018</v>
      </c>
      <c r="B1428" s="8" t="s">
        <v>60</v>
      </c>
      <c r="C1428" s="8" t="s">
        <v>35</v>
      </c>
      <c r="D1428" s="14">
        <v>24302</v>
      </c>
      <c r="E1428" s="14">
        <v>77296</v>
      </c>
      <c r="F1428" s="15">
        <v>34031</v>
      </c>
    </row>
    <row r="1429" spans="1:6" x14ac:dyDescent="0.3">
      <c r="A1429" s="7">
        <v>2018</v>
      </c>
      <c r="B1429" s="8" t="s">
        <v>60</v>
      </c>
      <c r="C1429" s="8" t="s">
        <v>36</v>
      </c>
      <c r="D1429" s="14">
        <v>32530</v>
      </c>
      <c r="E1429" s="14">
        <v>199883</v>
      </c>
      <c r="F1429" s="15">
        <v>33988</v>
      </c>
    </row>
    <row r="1430" spans="1:6" x14ac:dyDescent="0.3">
      <c r="A1430" s="7">
        <v>2018</v>
      </c>
      <c r="B1430" s="8" t="s">
        <v>60</v>
      </c>
      <c r="C1430" s="8" t="s">
        <v>37</v>
      </c>
      <c r="D1430" s="14">
        <v>3459</v>
      </c>
      <c r="E1430" s="14">
        <v>17990</v>
      </c>
      <c r="F1430" s="15">
        <v>33322</v>
      </c>
    </row>
    <row r="1431" spans="1:6" x14ac:dyDescent="0.3">
      <c r="A1431" s="7">
        <v>2018</v>
      </c>
      <c r="B1431" s="8" t="s">
        <v>60</v>
      </c>
      <c r="C1431" s="8" t="s">
        <v>38</v>
      </c>
      <c r="D1431" s="14">
        <v>11329</v>
      </c>
      <c r="E1431" s="14">
        <v>53632</v>
      </c>
      <c r="F1431" s="15">
        <v>32985</v>
      </c>
    </row>
    <row r="1432" spans="1:6" x14ac:dyDescent="0.3">
      <c r="A1432" s="7">
        <v>2018</v>
      </c>
      <c r="B1432" s="8" t="s">
        <v>60</v>
      </c>
      <c r="C1432" s="8" t="s">
        <v>39</v>
      </c>
      <c r="D1432" s="14">
        <v>2201</v>
      </c>
      <c r="E1432" s="14">
        <v>11149</v>
      </c>
      <c r="F1432" s="15">
        <v>32874</v>
      </c>
    </row>
    <row r="1433" spans="1:6" x14ac:dyDescent="0.3">
      <c r="A1433" s="7">
        <v>2018</v>
      </c>
      <c r="B1433" s="8" t="s">
        <v>60</v>
      </c>
      <c r="C1433" s="8" t="s">
        <v>40</v>
      </c>
      <c r="D1433" s="14">
        <v>15494</v>
      </c>
      <c r="E1433" s="14">
        <v>78706</v>
      </c>
      <c r="F1433" s="15">
        <v>35137</v>
      </c>
    </row>
    <row r="1434" spans="1:6" x14ac:dyDescent="0.3">
      <c r="A1434" s="7">
        <v>2018</v>
      </c>
      <c r="B1434" s="8" t="s">
        <v>60</v>
      </c>
      <c r="C1434" s="8" t="s">
        <v>41</v>
      </c>
      <c r="D1434" s="14">
        <v>56598</v>
      </c>
      <c r="E1434" s="14">
        <v>334126</v>
      </c>
      <c r="F1434" s="15">
        <v>39429</v>
      </c>
    </row>
    <row r="1435" spans="1:6" x14ac:dyDescent="0.3">
      <c r="A1435" s="7">
        <v>2018</v>
      </c>
      <c r="B1435" s="8" t="s">
        <v>60</v>
      </c>
      <c r="C1435" s="8" t="s">
        <v>42</v>
      </c>
      <c r="D1435" s="14">
        <v>6320</v>
      </c>
      <c r="E1435" s="14">
        <v>36120</v>
      </c>
      <c r="F1435" s="15">
        <v>35627</v>
      </c>
    </row>
    <row r="1436" spans="1:6" x14ac:dyDescent="0.3">
      <c r="A1436" s="7">
        <v>2018</v>
      </c>
      <c r="B1436" s="8" t="s">
        <v>60</v>
      </c>
      <c r="C1436" s="8" t="s">
        <v>43</v>
      </c>
      <c r="D1436" s="14">
        <v>1954</v>
      </c>
      <c r="E1436" s="14">
        <v>8748</v>
      </c>
      <c r="F1436" s="15">
        <v>36288</v>
      </c>
    </row>
    <row r="1437" spans="1:6" x14ac:dyDescent="0.3">
      <c r="A1437" s="7">
        <v>2018</v>
      </c>
      <c r="B1437" s="8" t="s">
        <v>60</v>
      </c>
      <c r="C1437" s="8" t="s">
        <v>44</v>
      </c>
      <c r="D1437" s="14">
        <v>36204</v>
      </c>
      <c r="E1437" s="14">
        <v>145640</v>
      </c>
      <c r="F1437" s="15">
        <v>42804</v>
      </c>
    </row>
    <row r="1438" spans="1:6" x14ac:dyDescent="0.3">
      <c r="A1438" s="7">
        <v>2018</v>
      </c>
      <c r="B1438" s="8" t="s">
        <v>60</v>
      </c>
      <c r="C1438" s="8" t="s">
        <v>45</v>
      </c>
      <c r="D1438" s="14">
        <v>19893</v>
      </c>
      <c r="E1438" s="14">
        <v>99054</v>
      </c>
      <c r="F1438" s="15">
        <v>40310</v>
      </c>
    </row>
    <row r="1439" spans="1:6" x14ac:dyDescent="0.3">
      <c r="A1439" s="7">
        <v>2018</v>
      </c>
      <c r="B1439" s="8" t="s">
        <v>60</v>
      </c>
      <c r="C1439" s="8" t="s">
        <v>46</v>
      </c>
      <c r="D1439" s="14">
        <v>5536</v>
      </c>
      <c r="E1439" s="14">
        <v>19873</v>
      </c>
      <c r="F1439" s="15">
        <v>31425</v>
      </c>
    </row>
    <row r="1440" spans="1:6" x14ac:dyDescent="0.3">
      <c r="A1440" s="7">
        <v>2018</v>
      </c>
      <c r="B1440" s="8" t="s">
        <v>60</v>
      </c>
      <c r="C1440" s="8" t="s">
        <v>47</v>
      </c>
      <c r="D1440" s="14">
        <v>14009</v>
      </c>
      <c r="E1440" s="14">
        <v>84183</v>
      </c>
      <c r="F1440" s="15">
        <v>30593</v>
      </c>
    </row>
    <row r="1441" spans="1:6" x14ac:dyDescent="0.3">
      <c r="A1441" s="7">
        <v>2018</v>
      </c>
      <c r="B1441" s="8" t="s">
        <v>60</v>
      </c>
      <c r="C1441" s="8" t="s">
        <v>48</v>
      </c>
      <c r="D1441" s="14">
        <v>1664</v>
      </c>
      <c r="E1441" s="14">
        <v>7261</v>
      </c>
      <c r="F1441" s="15">
        <v>37155</v>
      </c>
    </row>
    <row r="1442" spans="1:6" x14ac:dyDescent="0.3">
      <c r="A1442" s="7">
        <v>2017</v>
      </c>
      <c r="B1442" s="8" t="s">
        <v>55</v>
      </c>
      <c r="C1442" s="8" t="s">
        <v>1</v>
      </c>
      <c r="D1442" s="14">
        <v>1815</v>
      </c>
      <c r="E1442" s="14">
        <v>17999</v>
      </c>
      <c r="F1442" s="15">
        <v>52748</v>
      </c>
    </row>
    <row r="1443" spans="1:6" x14ac:dyDescent="0.3">
      <c r="A1443" s="7">
        <v>2017</v>
      </c>
      <c r="B1443" s="8" t="s">
        <v>55</v>
      </c>
      <c r="C1443" s="8" t="s">
        <v>2</v>
      </c>
      <c r="D1443" s="14">
        <v>1257</v>
      </c>
      <c r="E1443" s="14">
        <v>37216</v>
      </c>
      <c r="F1443" s="15">
        <v>47116</v>
      </c>
    </row>
    <row r="1444" spans="1:6" x14ac:dyDescent="0.3">
      <c r="A1444" s="7">
        <v>2017</v>
      </c>
      <c r="B1444" s="8" t="s">
        <v>55</v>
      </c>
      <c r="C1444" s="8" t="s">
        <v>3</v>
      </c>
      <c r="D1444" s="14">
        <v>2551</v>
      </c>
      <c r="E1444" s="14">
        <v>16476</v>
      </c>
      <c r="F1444" s="15">
        <v>46191</v>
      </c>
    </row>
    <row r="1445" spans="1:6" x14ac:dyDescent="0.3">
      <c r="A1445" s="7">
        <v>2017</v>
      </c>
      <c r="B1445" s="8" t="s">
        <v>55</v>
      </c>
      <c r="C1445" s="8" t="s">
        <v>4</v>
      </c>
      <c r="D1445" s="14">
        <v>17021</v>
      </c>
      <c r="E1445" s="14">
        <v>441460</v>
      </c>
      <c r="F1445" s="15">
        <v>37249</v>
      </c>
    </row>
    <row r="1446" spans="1:6" x14ac:dyDescent="0.3">
      <c r="A1446" s="7">
        <v>2017</v>
      </c>
      <c r="B1446" s="8" t="s">
        <v>55</v>
      </c>
      <c r="C1446" s="8" t="s">
        <v>5</v>
      </c>
      <c r="D1446" s="14">
        <v>3202</v>
      </c>
      <c r="E1446" s="14">
        <v>43394</v>
      </c>
      <c r="F1446" s="15">
        <v>84161</v>
      </c>
    </row>
    <row r="1447" spans="1:6" x14ac:dyDescent="0.3">
      <c r="A1447" s="7">
        <v>2017</v>
      </c>
      <c r="B1447" s="8" t="s">
        <v>55</v>
      </c>
      <c r="C1447" s="8" t="s">
        <v>6</v>
      </c>
      <c r="D1447" s="8">
        <v>433</v>
      </c>
      <c r="E1447" s="14">
        <v>5305</v>
      </c>
      <c r="F1447" s="15">
        <v>40017</v>
      </c>
    </row>
    <row r="1448" spans="1:6" x14ac:dyDescent="0.3">
      <c r="A1448" s="7">
        <v>2017</v>
      </c>
      <c r="B1448" s="8" t="s">
        <v>55</v>
      </c>
      <c r="C1448" s="8" t="s">
        <v>7</v>
      </c>
      <c r="D1448" s="8">
        <v>177</v>
      </c>
      <c r="E1448" s="14">
        <v>1538</v>
      </c>
      <c r="F1448" s="15">
        <v>39651</v>
      </c>
    </row>
    <row r="1449" spans="1:6" x14ac:dyDescent="0.3">
      <c r="A1449" s="7">
        <v>2017</v>
      </c>
      <c r="B1449" s="8" t="s">
        <v>55</v>
      </c>
      <c r="C1449" s="8" t="s">
        <v>8</v>
      </c>
      <c r="D1449" s="14">
        <v>5285</v>
      </c>
      <c r="E1449" s="14">
        <v>75471</v>
      </c>
      <c r="F1449" s="15">
        <v>32773</v>
      </c>
    </row>
    <row r="1450" spans="1:6" x14ac:dyDescent="0.3">
      <c r="A1450" s="7">
        <v>2017</v>
      </c>
      <c r="B1450" s="8" t="s">
        <v>55</v>
      </c>
      <c r="C1450" s="8" t="s">
        <v>9</v>
      </c>
      <c r="D1450" s="14">
        <v>2594</v>
      </c>
      <c r="E1450" s="14">
        <v>29299</v>
      </c>
      <c r="F1450" s="15">
        <v>41048</v>
      </c>
    </row>
    <row r="1451" spans="1:6" x14ac:dyDescent="0.3">
      <c r="A1451" s="7">
        <v>2017</v>
      </c>
      <c r="B1451" s="8" t="s">
        <v>55</v>
      </c>
      <c r="C1451" s="8" t="s">
        <v>10</v>
      </c>
      <c r="D1451" s="14">
        <v>2448</v>
      </c>
      <c r="E1451" s="14">
        <v>26790</v>
      </c>
      <c r="F1451" s="15">
        <v>38417</v>
      </c>
    </row>
    <row r="1452" spans="1:6" x14ac:dyDescent="0.3">
      <c r="A1452" s="7">
        <v>2017</v>
      </c>
      <c r="B1452" s="8" t="s">
        <v>55</v>
      </c>
      <c r="C1452" s="8" t="s">
        <v>11</v>
      </c>
      <c r="D1452" s="14">
        <v>2730</v>
      </c>
      <c r="E1452" s="14">
        <v>26665</v>
      </c>
      <c r="F1452" s="15">
        <v>48549</v>
      </c>
    </row>
    <row r="1453" spans="1:6" x14ac:dyDescent="0.3">
      <c r="A1453" s="7">
        <v>2017</v>
      </c>
      <c r="B1453" s="8" t="s">
        <v>55</v>
      </c>
      <c r="C1453" s="8" t="s">
        <v>12</v>
      </c>
      <c r="D1453" s="14">
        <v>2183</v>
      </c>
      <c r="E1453" s="14">
        <v>21072</v>
      </c>
      <c r="F1453" s="15">
        <v>47269</v>
      </c>
    </row>
    <row r="1454" spans="1:6" x14ac:dyDescent="0.3">
      <c r="A1454" s="7">
        <v>2017</v>
      </c>
      <c r="B1454" s="8" t="s">
        <v>55</v>
      </c>
      <c r="C1454" s="8" t="s">
        <v>13</v>
      </c>
      <c r="D1454" s="14">
        <v>2766</v>
      </c>
      <c r="E1454" s="14">
        <v>22503</v>
      </c>
      <c r="F1454" s="15">
        <v>41388</v>
      </c>
    </row>
    <row r="1455" spans="1:6" x14ac:dyDescent="0.3">
      <c r="A1455" s="7">
        <v>2017</v>
      </c>
      <c r="B1455" s="8" t="s">
        <v>55</v>
      </c>
      <c r="C1455" s="8" t="s">
        <v>14</v>
      </c>
      <c r="D1455" s="14">
        <v>2686</v>
      </c>
      <c r="E1455" s="14">
        <v>19024</v>
      </c>
      <c r="F1455" s="15">
        <v>45105</v>
      </c>
    </row>
    <row r="1456" spans="1:6" x14ac:dyDescent="0.3">
      <c r="A1456" s="7">
        <v>2017</v>
      </c>
      <c r="B1456" s="8" t="s">
        <v>55</v>
      </c>
      <c r="C1456" s="8" t="s">
        <v>15</v>
      </c>
      <c r="D1456" s="14">
        <v>1584</v>
      </c>
      <c r="E1456" s="14">
        <v>18306</v>
      </c>
      <c r="F1456" s="15">
        <v>54943</v>
      </c>
    </row>
    <row r="1457" spans="1:6" x14ac:dyDescent="0.3">
      <c r="A1457" s="7">
        <v>2017</v>
      </c>
      <c r="B1457" s="8" t="s">
        <v>55</v>
      </c>
      <c r="C1457" s="8" t="s">
        <v>16</v>
      </c>
      <c r="D1457" s="14">
        <v>3082</v>
      </c>
      <c r="E1457" s="14">
        <v>42251</v>
      </c>
      <c r="F1457" s="15">
        <v>80128</v>
      </c>
    </row>
    <row r="1458" spans="1:6" x14ac:dyDescent="0.3">
      <c r="A1458" s="7">
        <v>2017</v>
      </c>
      <c r="B1458" s="8" t="s">
        <v>55</v>
      </c>
      <c r="C1458" s="8" t="s">
        <v>17</v>
      </c>
      <c r="D1458" s="14">
        <v>1370</v>
      </c>
      <c r="E1458" s="14">
        <v>6817</v>
      </c>
      <c r="F1458" s="15">
        <v>40118</v>
      </c>
    </row>
    <row r="1459" spans="1:6" x14ac:dyDescent="0.3">
      <c r="A1459" s="7">
        <v>2017</v>
      </c>
      <c r="B1459" s="8" t="s">
        <v>55</v>
      </c>
      <c r="C1459" s="8" t="s">
        <v>18</v>
      </c>
      <c r="D1459" s="8">
        <v>723</v>
      </c>
      <c r="E1459" s="14">
        <v>6432</v>
      </c>
      <c r="F1459" s="15">
        <v>42478</v>
      </c>
    </row>
    <row r="1460" spans="1:6" x14ac:dyDescent="0.3">
      <c r="A1460" s="7">
        <v>2017</v>
      </c>
      <c r="B1460" s="8" t="s">
        <v>55</v>
      </c>
      <c r="C1460" s="8" t="s">
        <v>19</v>
      </c>
      <c r="D1460" s="14">
        <v>1030</v>
      </c>
      <c r="E1460" s="14">
        <v>9290</v>
      </c>
      <c r="F1460" s="15">
        <v>61286</v>
      </c>
    </row>
    <row r="1461" spans="1:6" x14ac:dyDescent="0.3">
      <c r="A1461" s="7">
        <v>2017</v>
      </c>
      <c r="B1461" s="8" t="s">
        <v>55</v>
      </c>
      <c r="C1461" s="8" t="s">
        <v>20</v>
      </c>
      <c r="D1461" s="14">
        <v>3203</v>
      </c>
      <c r="E1461" s="14">
        <v>36801</v>
      </c>
      <c r="F1461" s="15">
        <v>38160</v>
      </c>
    </row>
    <row r="1462" spans="1:6" x14ac:dyDescent="0.3">
      <c r="A1462" s="7">
        <v>2017</v>
      </c>
      <c r="B1462" s="8" t="s">
        <v>55</v>
      </c>
      <c r="C1462" s="8" t="s">
        <v>21</v>
      </c>
      <c r="D1462" s="14">
        <v>2992</v>
      </c>
      <c r="E1462" s="14">
        <v>27804</v>
      </c>
      <c r="F1462" s="15">
        <v>47599</v>
      </c>
    </row>
    <row r="1463" spans="1:6" x14ac:dyDescent="0.3">
      <c r="A1463" s="7">
        <v>2017</v>
      </c>
      <c r="B1463" s="8" t="s">
        <v>55</v>
      </c>
      <c r="C1463" s="8" t="s">
        <v>22</v>
      </c>
      <c r="D1463" s="14">
        <v>2168</v>
      </c>
      <c r="E1463" s="14">
        <v>16360</v>
      </c>
      <c r="F1463" s="15">
        <v>45681</v>
      </c>
    </row>
    <row r="1464" spans="1:6" x14ac:dyDescent="0.3">
      <c r="A1464" s="7">
        <v>2017</v>
      </c>
      <c r="B1464" s="8" t="s">
        <v>55</v>
      </c>
      <c r="C1464" s="8" t="s">
        <v>23</v>
      </c>
      <c r="D1464" s="14">
        <v>1950</v>
      </c>
      <c r="E1464" s="14">
        <v>16365</v>
      </c>
      <c r="F1464" s="15">
        <v>42894</v>
      </c>
    </row>
    <row r="1465" spans="1:6" x14ac:dyDescent="0.3">
      <c r="A1465" s="7">
        <v>2017</v>
      </c>
      <c r="B1465" s="8" t="s">
        <v>55</v>
      </c>
      <c r="C1465" s="8" t="s">
        <v>24</v>
      </c>
      <c r="D1465" s="14">
        <v>1753</v>
      </c>
      <c r="E1465" s="14">
        <v>11976</v>
      </c>
      <c r="F1465" s="15">
        <v>64781</v>
      </c>
    </row>
    <row r="1466" spans="1:6" x14ac:dyDescent="0.3">
      <c r="A1466" s="7">
        <v>2017</v>
      </c>
      <c r="B1466" s="8" t="s">
        <v>55</v>
      </c>
      <c r="C1466" s="8" t="s">
        <v>25</v>
      </c>
      <c r="D1466" s="14">
        <v>2337</v>
      </c>
      <c r="E1466" s="14">
        <v>15500</v>
      </c>
      <c r="F1466" s="15">
        <v>39544</v>
      </c>
    </row>
    <row r="1467" spans="1:6" x14ac:dyDescent="0.3">
      <c r="A1467" s="7">
        <v>2017</v>
      </c>
      <c r="B1467" s="8" t="s">
        <v>55</v>
      </c>
      <c r="C1467" s="8" t="s">
        <v>26</v>
      </c>
      <c r="D1467" s="8">
        <v>612</v>
      </c>
      <c r="E1467" s="14">
        <v>17902</v>
      </c>
      <c r="F1467" s="15">
        <v>82999</v>
      </c>
    </row>
    <row r="1468" spans="1:6" x14ac:dyDescent="0.3">
      <c r="A1468" s="7">
        <v>2017</v>
      </c>
      <c r="B1468" s="8" t="s">
        <v>55</v>
      </c>
      <c r="C1468" s="8" t="s">
        <v>27</v>
      </c>
      <c r="D1468" s="8">
        <v>350</v>
      </c>
      <c r="E1468" s="14">
        <v>2556</v>
      </c>
      <c r="F1468" s="15">
        <v>41972</v>
      </c>
    </row>
    <row r="1469" spans="1:6" x14ac:dyDescent="0.3">
      <c r="A1469" s="7">
        <v>2017</v>
      </c>
      <c r="B1469" s="8" t="s">
        <v>55</v>
      </c>
      <c r="C1469" s="8" t="s">
        <v>28</v>
      </c>
      <c r="D1469" s="14">
        <v>1018</v>
      </c>
      <c r="E1469" s="14">
        <v>12853</v>
      </c>
      <c r="F1469" s="15">
        <v>37279</v>
      </c>
    </row>
    <row r="1470" spans="1:6" x14ac:dyDescent="0.3">
      <c r="A1470" s="7">
        <v>2017</v>
      </c>
      <c r="B1470" s="8" t="s">
        <v>55</v>
      </c>
      <c r="C1470" s="8" t="s">
        <v>29</v>
      </c>
      <c r="D1470" s="14">
        <v>1991</v>
      </c>
      <c r="E1470" s="14">
        <v>32275</v>
      </c>
      <c r="F1470" s="15">
        <v>59989</v>
      </c>
    </row>
    <row r="1471" spans="1:6" x14ac:dyDescent="0.3">
      <c r="A1471" s="7">
        <v>2017</v>
      </c>
      <c r="B1471" s="8" t="s">
        <v>55</v>
      </c>
      <c r="C1471" s="8" t="s">
        <v>30</v>
      </c>
      <c r="D1471" s="14">
        <v>3023</v>
      </c>
      <c r="E1471" s="14">
        <v>30834</v>
      </c>
      <c r="F1471" s="15">
        <v>39487</v>
      </c>
    </row>
    <row r="1472" spans="1:6" x14ac:dyDescent="0.3">
      <c r="A1472" s="7">
        <v>2017</v>
      </c>
      <c r="B1472" s="8" t="s">
        <v>55</v>
      </c>
      <c r="C1472" s="8" t="s">
        <v>31</v>
      </c>
      <c r="D1472" s="14">
        <v>3306</v>
      </c>
      <c r="E1472" s="14">
        <v>30981</v>
      </c>
      <c r="F1472" s="15">
        <v>37636</v>
      </c>
    </row>
    <row r="1473" spans="1:6" x14ac:dyDescent="0.3">
      <c r="A1473" s="7">
        <v>2017</v>
      </c>
      <c r="B1473" s="8" t="s">
        <v>55</v>
      </c>
      <c r="C1473" s="8" t="s">
        <v>32</v>
      </c>
      <c r="D1473" s="14">
        <v>1771</v>
      </c>
      <c r="E1473" s="14">
        <v>22394</v>
      </c>
      <c r="F1473" s="15">
        <v>89578</v>
      </c>
    </row>
    <row r="1474" spans="1:6" x14ac:dyDescent="0.3">
      <c r="A1474" s="7">
        <v>2017</v>
      </c>
      <c r="B1474" s="8" t="s">
        <v>55</v>
      </c>
      <c r="C1474" s="8" t="s">
        <v>33</v>
      </c>
      <c r="D1474" s="14">
        <v>2483</v>
      </c>
      <c r="E1474" s="14">
        <v>27504</v>
      </c>
      <c r="F1474" s="15">
        <v>48849</v>
      </c>
    </row>
    <row r="1475" spans="1:6" x14ac:dyDescent="0.3">
      <c r="A1475" s="7">
        <v>2017</v>
      </c>
      <c r="B1475" s="8" t="s">
        <v>55</v>
      </c>
      <c r="C1475" s="8" t="s">
        <v>34</v>
      </c>
      <c r="D1475" s="14">
        <v>4333</v>
      </c>
      <c r="E1475" s="14">
        <v>58716</v>
      </c>
      <c r="F1475" s="15">
        <v>88899</v>
      </c>
    </row>
    <row r="1476" spans="1:6" x14ac:dyDescent="0.3">
      <c r="A1476" s="7">
        <v>2017</v>
      </c>
      <c r="B1476" s="8" t="s">
        <v>55</v>
      </c>
      <c r="C1476" s="8" t="s">
        <v>35</v>
      </c>
      <c r="D1476" s="14">
        <v>4453</v>
      </c>
      <c r="E1476" s="14">
        <v>52439</v>
      </c>
      <c r="F1476" s="15">
        <v>35362</v>
      </c>
    </row>
    <row r="1477" spans="1:6" x14ac:dyDescent="0.3">
      <c r="A1477" s="7">
        <v>2017</v>
      </c>
      <c r="B1477" s="8" t="s">
        <v>55</v>
      </c>
      <c r="C1477" s="8" t="s">
        <v>36</v>
      </c>
      <c r="D1477" s="14">
        <v>3498</v>
      </c>
      <c r="E1477" s="14">
        <v>50197</v>
      </c>
      <c r="F1477" s="15">
        <v>63021</v>
      </c>
    </row>
    <row r="1478" spans="1:6" x14ac:dyDescent="0.3">
      <c r="A1478" s="7">
        <v>2017</v>
      </c>
      <c r="B1478" s="8" t="s">
        <v>55</v>
      </c>
      <c r="C1478" s="8" t="s">
        <v>38</v>
      </c>
      <c r="D1478" s="14">
        <v>1230</v>
      </c>
      <c r="E1478" s="14">
        <v>12432</v>
      </c>
      <c r="F1478" s="15">
        <v>40520</v>
      </c>
    </row>
    <row r="1479" spans="1:6" x14ac:dyDescent="0.3">
      <c r="A1479" s="7">
        <v>2017</v>
      </c>
      <c r="B1479" s="8" t="s">
        <v>55</v>
      </c>
      <c r="C1479" s="8" t="s">
        <v>39</v>
      </c>
      <c r="D1479" s="14">
        <v>1026</v>
      </c>
      <c r="E1479" s="14">
        <v>6646</v>
      </c>
      <c r="F1479" s="15">
        <v>41459</v>
      </c>
    </row>
    <row r="1480" spans="1:6" x14ac:dyDescent="0.3">
      <c r="A1480" s="7">
        <v>2017</v>
      </c>
      <c r="B1480" s="8" t="s">
        <v>55</v>
      </c>
      <c r="C1480" s="8" t="s">
        <v>40</v>
      </c>
      <c r="D1480" s="14">
        <v>1071</v>
      </c>
      <c r="E1480" s="14">
        <v>10750</v>
      </c>
      <c r="F1480" s="15">
        <v>43908</v>
      </c>
    </row>
    <row r="1481" spans="1:6" x14ac:dyDescent="0.3">
      <c r="A1481" s="7">
        <v>2017</v>
      </c>
      <c r="B1481" s="8" t="s">
        <v>55</v>
      </c>
      <c r="C1481" s="8" t="s">
        <v>41</v>
      </c>
      <c r="D1481" s="14">
        <v>19580</v>
      </c>
      <c r="E1481" s="14">
        <v>281110</v>
      </c>
      <c r="F1481" s="15">
        <v>107415</v>
      </c>
    </row>
    <row r="1482" spans="1:6" x14ac:dyDescent="0.3">
      <c r="A1482" s="7">
        <v>2017</v>
      </c>
      <c r="B1482" s="8" t="s">
        <v>55</v>
      </c>
      <c r="C1482" s="8" t="s">
        <v>42</v>
      </c>
      <c r="D1482" s="14">
        <v>1034</v>
      </c>
      <c r="E1482" s="14">
        <v>14217</v>
      </c>
      <c r="F1482" s="15">
        <v>59120</v>
      </c>
    </row>
    <row r="1483" spans="1:6" x14ac:dyDescent="0.3">
      <c r="A1483" s="7">
        <v>2017</v>
      </c>
      <c r="B1483" s="8" t="s">
        <v>55</v>
      </c>
      <c r="C1483" s="8" t="s">
        <v>43</v>
      </c>
      <c r="D1483" s="8">
        <v>551</v>
      </c>
      <c r="E1483" s="14">
        <v>3901</v>
      </c>
      <c r="F1483" s="15">
        <v>37223</v>
      </c>
    </row>
    <row r="1484" spans="1:6" x14ac:dyDescent="0.3">
      <c r="A1484" s="7">
        <v>2017</v>
      </c>
      <c r="B1484" s="8" t="s">
        <v>55</v>
      </c>
      <c r="C1484" s="8" t="s">
        <v>44</v>
      </c>
      <c r="D1484" s="14">
        <v>2061</v>
      </c>
      <c r="E1484" s="14">
        <v>19558</v>
      </c>
      <c r="F1484" s="15">
        <v>44371</v>
      </c>
    </row>
    <row r="1485" spans="1:6" x14ac:dyDescent="0.3">
      <c r="A1485" s="7">
        <v>2017</v>
      </c>
      <c r="B1485" s="8" t="s">
        <v>55</v>
      </c>
      <c r="C1485" s="8" t="s">
        <v>45</v>
      </c>
      <c r="D1485" s="14">
        <v>7493</v>
      </c>
      <c r="E1485" s="14">
        <v>107674</v>
      </c>
      <c r="F1485" s="15">
        <v>32082</v>
      </c>
    </row>
    <row r="1486" spans="1:6" x14ac:dyDescent="0.3">
      <c r="A1486" s="7">
        <v>2017</v>
      </c>
      <c r="B1486" s="8" t="s">
        <v>55</v>
      </c>
      <c r="C1486" s="8" t="s">
        <v>46</v>
      </c>
      <c r="D1486" s="14">
        <v>1221</v>
      </c>
      <c r="E1486" s="14">
        <v>22793</v>
      </c>
      <c r="F1486" s="15">
        <v>76848</v>
      </c>
    </row>
    <row r="1487" spans="1:6" x14ac:dyDescent="0.3">
      <c r="A1487" s="7">
        <v>2017</v>
      </c>
      <c r="B1487" s="8" t="s">
        <v>55</v>
      </c>
      <c r="C1487" s="8" t="s">
        <v>47</v>
      </c>
      <c r="D1487" s="14">
        <v>2865</v>
      </c>
      <c r="E1487" s="14">
        <v>31986</v>
      </c>
      <c r="F1487" s="15">
        <v>37981</v>
      </c>
    </row>
    <row r="1488" spans="1:6" x14ac:dyDescent="0.3">
      <c r="A1488" s="7">
        <v>2017</v>
      </c>
      <c r="B1488" s="8" t="s">
        <v>55</v>
      </c>
      <c r="C1488" s="8" t="s">
        <v>48</v>
      </c>
      <c r="D1488" s="14">
        <v>1442</v>
      </c>
      <c r="E1488" s="14">
        <v>22390</v>
      </c>
      <c r="F1488" s="15">
        <v>81163</v>
      </c>
    </row>
    <row r="1489" spans="1:6" x14ac:dyDescent="0.3">
      <c r="A1489" s="7">
        <v>2017</v>
      </c>
      <c r="B1489" s="8" t="s">
        <v>51</v>
      </c>
      <c r="C1489" s="8" t="s">
        <v>1</v>
      </c>
      <c r="D1489" s="14">
        <v>9645</v>
      </c>
      <c r="E1489" s="14">
        <v>85262</v>
      </c>
      <c r="F1489" s="15">
        <v>52230</v>
      </c>
    </row>
    <row r="1490" spans="1:6" x14ac:dyDescent="0.3">
      <c r="A1490" s="7">
        <v>2017</v>
      </c>
      <c r="B1490" s="8" t="s">
        <v>51</v>
      </c>
      <c r="C1490" s="8" t="s">
        <v>2</v>
      </c>
      <c r="D1490" s="14">
        <v>11368</v>
      </c>
      <c r="E1490" s="14">
        <v>144747</v>
      </c>
      <c r="F1490" s="15">
        <v>53440</v>
      </c>
    </row>
    <row r="1491" spans="1:6" x14ac:dyDescent="0.3">
      <c r="A1491" s="7">
        <v>2017</v>
      </c>
      <c r="B1491" s="8" t="s">
        <v>51</v>
      </c>
      <c r="C1491" s="8" t="s">
        <v>3</v>
      </c>
      <c r="D1491" s="14">
        <v>6817</v>
      </c>
      <c r="E1491" s="14">
        <v>51130</v>
      </c>
      <c r="F1491" s="15">
        <v>47283</v>
      </c>
    </row>
    <row r="1492" spans="1:6" x14ac:dyDescent="0.3">
      <c r="A1492" s="7">
        <v>2017</v>
      </c>
      <c r="B1492" s="8" t="s">
        <v>51</v>
      </c>
      <c r="C1492" s="8" t="s">
        <v>4</v>
      </c>
      <c r="D1492" s="14">
        <v>72972</v>
      </c>
      <c r="E1492" s="14">
        <v>805942</v>
      </c>
      <c r="F1492" s="15">
        <v>67561</v>
      </c>
    </row>
    <row r="1493" spans="1:6" x14ac:dyDescent="0.3">
      <c r="A1493" s="7">
        <v>2017</v>
      </c>
      <c r="B1493" s="8" t="s">
        <v>51</v>
      </c>
      <c r="C1493" s="8" t="s">
        <v>5</v>
      </c>
      <c r="D1493" s="14">
        <v>19243</v>
      </c>
      <c r="E1493" s="14">
        <v>163473</v>
      </c>
      <c r="F1493" s="15">
        <v>59444</v>
      </c>
    </row>
    <row r="1494" spans="1:6" x14ac:dyDescent="0.3">
      <c r="A1494" s="7">
        <v>2017</v>
      </c>
      <c r="B1494" s="8" t="s">
        <v>51</v>
      </c>
      <c r="C1494" s="8" t="s">
        <v>6</v>
      </c>
      <c r="D1494" s="14">
        <v>9351</v>
      </c>
      <c r="E1494" s="14">
        <v>58327</v>
      </c>
      <c r="F1494" s="15">
        <v>68641</v>
      </c>
    </row>
    <row r="1495" spans="1:6" x14ac:dyDescent="0.3">
      <c r="A1495" s="7">
        <v>2017</v>
      </c>
      <c r="B1495" s="8" t="s">
        <v>51</v>
      </c>
      <c r="C1495" s="8" t="s">
        <v>7</v>
      </c>
      <c r="D1495" s="14">
        <v>2777</v>
      </c>
      <c r="E1495" s="14">
        <v>21591</v>
      </c>
      <c r="F1495" s="15">
        <v>59040</v>
      </c>
    </row>
    <row r="1496" spans="1:6" x14ac:dyDescent="0.3">
      <c r="A1496" s="7">
        <v>2017</v>
      </c>
      <c r="B1496" s="8" t="s">
        <v>51</v>
      </c>
      <c r="C1496" s="8" t="s">
        <v>8</v>
      </c>
      <c r="D1496" s="14">
        <v>67384</v>
      </c>
      <c r="E1496" s="14">
        <v>503704</v>
      </c>
      <c r="F1496" s="15">
        <v>49256</v>
      </c>
    </row>
    <row r="1497" spans="1:6" x14ac:dyDescent="0.3">
      <c r="A1497" s="7">
        <v>2017</v>
      </c>
      <c r="B1497" s="8" t="s">
        <v>51</v>
      </c>
      <c r="C1497" s="8" t="s">
        <v>9</v>
      </c>
      <c r="D1497" s="14">
        <v>20135</v>
      </c>
      <c r="E1497" s="14">
        <v>182259</v>
      </c>
      <c r="F1497" s="15">
        <v>58213</v>
      </c>
    </row>
    <row r="1498" spans="1:6" x14ac:dyDescent="0.3">
      <c r="A1498" s="7">
        <v>2017</v>
      </c>
      <c r="B1498" s="8" t="s">
        <v>51</v>
      </c>
      <c r="C1498" s="8" t="s">
        <v>10</v>
      </c>
      <c r="D1498" s="14">
        <v>7660</v>
      </c>
      <c r="E1498" s="14">
        <v>42668</v>
      </c>
      <c r="F1498" s="15">
        <v>42865</v>
      </c>
    </row>
    <row r="1499" spans="1:6" x14ac:dyDescent="0.3">
      <c r="A1499" s="7">
        <v>2017</v>
      </c>
      <c r="B1499" s="8" t="s">
        <v>51</v>
      </c>
      <c r="C1499" s="8" t="s">
        <v>11</v>
      </c>
      <c r="D1499" s="14">
        <v>31422</v>
      </c>
      <c r="E1499" s="14">
        <v>220019</v>
      </c>
      <c r="F1499" s="15">
        <v>70893</v>
      </c>
    </row>
    <row r="1500" spans="1:6" x14ac:dyDescent="0.3">
      <c r="A1500" s="7">
        <v>2017</v>
      </c>
      <c r="B1500" s="8" t="s">
        <v>51</v>
      </c>
      <c r="C1500" s="8" t="s">
        <v>12</v>
      </c>
      <c r="D1500" s="14">
        <v>14839</v>
      </c>
      <c r="E1500" s="14">
        <v>138040</v>
      </c>
      <c r="F1500" s="15">
        <v>57099</v>
      </c>
    </row>
    <row r="1501" spans="1:6" x14ac:dyDescent="0.3">
      <c r="A1501" s="7">
        <v>2017</v>
      </c>
      <c r="B1501" s="8" t="s">
        <v>51</v>
      </c>
      <c r="C1501" s="8" t="s">
        <v>13</v>
      </c>
      <c r="D1501" s="14">
        <v>9417</v>
      </c>
      <c r="E1501" s="14">
        <v>76086</v>
      </c>
      <c r="F1501" s="15">
        <v>55415</v>
      </c>
    </row>
    <row r="1502" spans="1:6" x14ac:dyDescent="0.3">
      <c r="A1502" s="7">
        <v>2017</v>
      </c>
      <c r="B1502" s="8" t="s">
        <v>51</v>
      </c>
      <c r="C1502" s="8" t="s">
        <v>14</v>
      </c>
      <c r="D1502" s="14">
        <v>7584</v>
      </c>
      <c r="E1502" s="14">
        <v>60238</v>
      </c>
      <c r="F1502" s="15">
        <v>52807</v>
      </c>
    </row>
    <row r="1503" spans="1:6" x14ac:dyDescent="0.3">
      <c r="A1503" s="7">
        <v>2017</v>
      </c>
      <c r="B1503" s="8" t="s">
        <v>51</v>
      </c>
      <c r="C1503" s="8" t="s">
        <v>15</v>
      </c>
      <c r="D1503" s="14">
        <v>9339</v>
      </c>
      <c r="E1503" s="14">
        <v>77332</v>
      </c>
      <c r="F1503" s="15">
        <v>53194</v>
      </c>
    </row>
    <row r="1504" spans="1:6" x14ac:dyDescent="0.3">
      <c r="A1504" s="7">
        <v>2017</v>
      </c>
      <c r="B1504" s="8" t="s">
        <v>51</v>
      </c>
      <c r="C1504" s="8" t="s">
        <v>16</v>
      </c>
      <c r="D1504" s="14">
        <v>10825</v>
      </c>
      <c r="E1504" s="14">
        <v>147021</v>
      </c>
      <c r="F1504" s="15">
        <v>61781</v>
      </c>
    </row>
    <row r="1505" spans="1:6" x14ac:dyDescent="0.3">
      <c r="A1505" s="7">
        <v>2017</v>
      </c>
      <c r="B1505" s="8" t="s">
        <v>51</v>
      </c>
      <c r="C1505" s="8" t="s">
        <v>17</v>
      </c>
      <c r="D1505" s="14">
        <v>5502</v>
      </c>
      <c r="E1505" s="14">
        <v>28253</v>
      </c>
      <c r="F1505" s="15">
        <v>47930</v>
      </c>
    </row>
    <row r="1506" spans="1:6" x14ac:dyDescent="0.3">
      <c r="A1506" s="7">
        <v>2017</v>
      </c>
      <c r="B1506" s="8" t="s">
        <v>51</v>
      </c>
      <c r="C1506" s="8" t="s">
        <v>18</v>
      </c>
      <c r="D1506" s="14">
        <v>16463</v>
      </c>
      <c r="E1506" s="14">
        <v>162140</v>
      </c>
      <c r="F1506" s="15">
        <v>65027</v>
      </c>
    </row>
    <row r="1507" spans="1:6" x14ac:dyDescent="0.3">
      <c r="A1507" s="7">
        <v>2017</v>
      </c>
      <c r="B1507" s="8" t="s">
        <v>51</v>
      </c>
      <c r="C1507" s="8" t="s">
        <v>19</v>
      </c>
      <c r="D1507" s="14">
        <v>21055</v>
      </c>
      <c r="E1507" s="14">
        <v>152131</v>
      </c>
      <c r="F1507" s="15">
        <v>75405</v>
      </c>
    </row>
    <row r="1508" spans="1:6" x14ac:dyDescent="0.3">
      <c r="A1508" s="7">
        <v>2017</v>
      </c>
      <c r="B1508" s="8" t="s">
        <v>51</v>
      </c>
      <c r="C1508" s="8" t="s">
        <v>20</v>
      </c>
      <c r="D1508" s="14">
        <v>19544</v>
      </c>
      <c r="E1508" s="14">
        <v>161903</v>
      </c>
      <c r="F1508" s="15">
        <v>61511</v>
      </c>
    </row>
    <row r="1509" spans="1:6" x14ac:dyDescent="0.3">
      <c r="A1509" s="7">
        <v>2017</v>
      </c>
      <c r="B1509" s="8" t="s">
        <v>51</v>
      </c>
      <c r="C1509" s="8" t="s">
        <v>21</v>
      </c>
      <c r="D1509" s="14">
        <v>15746</v>
      </c>
      <c r="E1509" s="14">
        <v>119642</v>
      </c>
      <c r="F1509" s="15">
        <v>65464</v>
      </c>
    </row>
    <row r="1510" spans="1:6" x14ac:dyDescent="0.3">
      <c r="A1510" s="7">
        <v>2017</v>
      </c>
      <c r="B1510" s="8" t="s">
        <v>51</v>
      </c>
      <c r="C1510" s="8" t="s">
        <v>22</v>
      </c>
      <c r="D1510" s="14">
        <v>5670</v>
      </c>
      <c r="E1510" s="14">
        <v>43467</v>
      </c>
      <c r="F1510" s="15">
        <v>48782</v>
      </c>
    </row>
    <row r="1511" spans="1:6" x14ac:dyDescent="0.3">
      <c r="A1511" s="7">
        <v>2017</v>
      </c>
      <c r="B1511" s="8" t="s">
        <v>51</v>
      </c>
      <c r="C1511" s="8" t="s">
        <v>23</v>
      </c>
      <c r="D1511" s="14">
        <v>15141</v>
      </c>
      <c r="E1511" s="14">
        <v>123034</v>
      </c>
      <c r="F1511" s="15">
        <v>57823</v>
      </c>
    </row>
    <row r="1512" spans="1:6" x14ac:dyDescent="0.3">
      <c r="A1512" s="7">
        <v>2017</v>
      </c>
      <c r="B1512" s="8" t="s">
        <v>51</v>
      </c>
      <c r="C1512" s="8" t="s">
        <v>24</v>
      </c>
      <c r="D1512" s="14">
        <v>6287</v>
      </c>
      <c r="E1512" s="14">
        <v>27712</v>
      </c>
      <c r="F1512" s="15">
        <v>50369</v>
      </c>
    </row>
    <row r="1513" spans="1:6" x14ac:dyDescent="0.3">
      <c r="A1513" s="7">
        <v>2017</v>
      </c>
      <c r="B1513" s="8" t="s">
        <v>51</v>
      </c>
      <c r="C1513" s="8" t="s">
        <v>25</v>
      </c>
      <c r="D1513" s="14">
        <v>7053</v>
      </c>
      <c r="E1513" s="14">
        <v>51174</v>
      </c>
      <c r="F1513" s="15">
        <v>49634</v>
      </c>
    </row>
    <row r="1514" spans="1:6" x14ac:dyDescent="0.3">
      <c r="A1514" s="7">
        <v>2017</v>
      </c>
      <c r="B1514" s="8" t="s">
        <v>51</v>
      </c>
      <c r="C1514" s="8" t="s">
        <v>26</v>
      </c>
      <c r="D1514" s="14">
        <v>5859</v>
      </c>
      <c r="E1514" s="14">
        <v>82998</v>
      </c>
      <c r="F1514" s="15">
        <v>58071</v>
      </c>
    </row>
    <row r="1515" spans="1:6" x14ac:dyDescent="0.3">
      <c r="A1515" s="7">
        <v>2017</v>
      </c>
      <c r="B1515" s="8" t="s">
        <v>51</v>
      </c>
      <c r="C1515" s="8" t="s">
        <v>27</v>
      </c>
      <c r="D1515" s="14">
        <v>4363</v>
      </c>
      <c r="E1515" s="14">
        <v>26466</v>
      </c>
      <c r="F1515" s="15">
        <v>61497</v>
      </c>
    </row>
    <row r="1516" spans="1:6" x14ac:dyDescent="0.3">
      <c r="A1516" s="7">
        <v>2017</v>
      </c>
      <c r="B1516" s="8" t="s">
        <v>51</v>
      </c>
      <c r="C1516" s="8" t="s">
        <v>28</v>
      </c>
      <c r="D1516" s="14">
        <v>21672</v>
      </c>
      <c r="E1516" s="14">
        <v>154907</v>
      </c>
      <c r="F1516" s="15">
        <v>71145</v>
      </c>
    </row>
    <row r="1517" spans="1:6" x14ac:dyDescent="0.3">
      <c r="A1517" s="7">
        <v>2017</v>
      </c>
      <c r="B1517" s="8" t="s">
        <v>51</v>
      </c>
      <c r="C1517" s="8" t="s">
        <v>29</v>
      </c>
      <c r="D1517" s="14">
        <v>5141</v>
      </c>
      <c r="E1517" s="14">
        <v>45511</v>
      </c>
      <c r="F1517" s="15">
        <v>46369</v>
      </c>
    </row>
    <row r="1518" spans="1:6" x14ac:dyDescent="0.3">
      <c r="A1518" s="7">
        <v>2017</v>
      </c>
      <c r="B1518" s="8" t="s">
        <v>51</v>
      </c>
      <c r="C1518" s="8" t="s">
        <v>30</v>
      </c>
      <c r="D1518" s="14">
        <v>50064</v>
      </c>
      <c r="E1518" s="14">
        <v>386615</v>
      </c>
      <c r="F1518" s="15">
        <v>71408</v>
      </c>
    </row>
    <row r="1519" spans="1:6" x14ac:dyDescent="0.3">
      <c r="A1519" s="7">
        <v>2017</v>
      </c>
      <c r="B1519" s="8" t="s">
        <v>51</v>
      </c>
      <c r="C1519" s="8" t="s">
        <v>31</v>
      </c>
      <c r="D1519" s="14">
        <v>26057</v>
      </c>
      <c r="E1519" s="14">
        <v>208662</v>
      </c>
      <c r="F1519" s="15">
        <v>52372</v>
      </c>
    </row>
    <row r="1520" spans="1:6" x14ac:dyDescent="0.3">
      <c r="A1520" s="7">
        <v>2017</v>
      </c>
      <c r="B1520" s="8" t="s">
        <v>51</v>
      </c>
      <c r="C1520" s="8" t="s">
        <v>32</v>
      </c>
      <c r="D1520" s="14">
        <v>4035</v>
      </c>
      <c r="E1520" s="14">
        <v>26732</v>
      </c>
      <c r="F1520" s="15">
        <v>63029</v>
      </c>
    </row>
    <row r="1521" spans="1:6" x14ac:dyDescent="0.3">
      <c r="A1521" s="7">
        <v>2017</v>
      </c>
      <c r="B1521" s="8" t="s">
        <v>51</v>
      </c>
      <c r="C1521" s="8" t="s">
        <v>33</v>
      </c>
      <c r="D1521" s="14">
        <v>23022</v>
      </c>
      <c r="E1521" s="14">
        <v>217025</v>
      </c>
      <c r="F1521" s="15">
        <v>60831</v>
      </c>
    </row>
    <row r="1522" spans="1:6" x14ac:dyDescent="0.3">
      <c r="A1522" s="7">
        <v>2017</v>
      </c>
      <c r="B1522" s="8" t="s">
        <v>51</v>
      </c>
      <c r="C1522" s="8" t="s">
        <v>34</v>
      </c>
      <c r="D1522" s="14">
        <v>9823</v>
      </c>
      <c r="E1522" s="14">
        <v>77247</v>
      </c>
      <c r="F1522" s="15">
        <v>50585</v>
      </c>
    </row>
    <row r="1523" spans="1:6" x14ac:dyDescent="0.3">
      <c r="A1523" s="7">
        <v>2017</v>
      </c>
      <c r="B1523" s="8" t="s">
        <v>51</v>
      </c>
      <c r="C1523" s="8" t="s">
        <v>35</v>
      </c>
      <c r="D1523" s="14">
        <v>13468</v>
      </c>
      <c r="E1523" s="14">
        <v>96991</v>
      </c>
      <c r="F1523" s="15">
        <v>57987</v>
      </c>
    </row>
    <row r="1524" spans="1:6" x14ac:dyDescent="0.3">
      <c r="A1524" s="7">
        <v>2017</v>
      </c>
      <c r="B1524" s="8" t="s">
        <v>51</v>
      </c>
      <c r="C1524" s="8" t="s">
        <v>36</v>
      </c>
      <c r="D1524" s="14">
        <v>28397</v>
      </c>
      <c r="E1524" s="14">
        <v>248932</v>
      </c>
      <c r="F1524" s="15">
        <v>64769</v>
      </c>
    </row>
    <row r="1525" spans="1:6" x14ac:dyDescent="0.3">
      <c r="A1525" s="7">
        <v>2017</v>
      </c>
      <c r="B1525" s="8" t="s">
        <v>51</v>
      </c>
      <c r="C1525" s="8" t="s">
        <v>38</v>
      </c>
      <c r="D1525" s="14">
        <v>11635</v>
      </c>
      <c r="E1525" s="14">
        <v>100817</v>
      </c>
      <c r="F1525" s="15">
        <v>53542</v>
      </c>
    </row>
    <row r="1526" spans="1:6" x14ac:dyDescent="0.3">
      <c r="A1526" s="7">
        <v>2017</v>
      </c>
      <c r="B1526" s="8" t="s">
        <v>51</v>
      </c>
      <c r="C1526" s="8" t="s">
        <v>39</v>
      </c>
      <c r="D1526" s="14">
        <v>3883</v>
      </c>
      <c r="E1526" s="14">
        <v>22351</v>
      </c>
      <c r="F1526" s="15">
        <v>47385</v>
      </c>
    </row>
    <row r="1527" spans="1:6" x14ac:dyDescent="0.3">
      <c r="A1527" s="7">
        <v>2017</v>
      </c>
      <c r="B1527" s="8" t="s">
        <v>51</v>
      </c>
      <c r="C1527" s="8" t="s">
        <v>40</v>
      </c>
      <c r="D1527" s="14">
        <v>11745</v>
      </c>
      <c r="E1527" s="14">
        <v>119968</v>
      </c>
      <c r="F1527" s="15">
        <v>56642</v>
      </c>
    </row>
    <row r="1528" spans="1:6" x14ac:dyDescent="0.3">
      <c r="A1528" s="7">
        <v>2017</v>
      </c>
      <c r="B1528" s="8" t="s">
        <v>51</v>
      </c>
      <c r="C1528" s="8" t="s">
        <v>41</v>
      </c>
      <c r="D1528" s="14">
        <v>49310</v>
      </c>
      <c r="E1528" s="14">
        <v>711119</v>
      </c>
      <c r="F1528" s="15">
        <v>63219</v>
      </c>
    </row>
    <row r="1529" spans="1:6" x14ac:dyDescent="0.3">
      <c r="A1529" s="7">
        <v>2017</v>
      </c>
      <c r="B1529" s="8" t="s">
        <v>51</v>
      </c>
      <c r="C1529" s="8" t="s">
        <v>42</v>
      </c>
      <c r="D1529" s="14">
        <v>10886</v>
      </c>
      <c r="E1529" s="14">
        <v>97495</v>
      </c>
      <c r="F1529" s="15">
        <v>49132</v>
      </c>
    </row>
    <row r="1530" spans="1:6" x14ac:dyDescent="0.3">
      <c r="A1530" s="7">
        <v>2017</v>
      </c>
      <c r="B1530" s="8" t="s">
        <v>51</v>
      </c>
      <c r="C1530" s="8" t="s">
        <v>43</v>
      </c>
      <c r="D1530" s="14">
        <v>2865</v>
      </c>
      <c r="E1530" s="14">
        <v>15187</v>
      </c>
      <c r="F1530" s="15">
        <v>50125</v>
      </c>
    </row>
    <row r="1531" spans="1:6" x14ac:dyDescent="0.3">
      <c r="A1531" s="7">
        <v>2017</v>
      </c>
      <c r="B1531" s="8" t="s">
        <v>51</v>
      </c>
      <c r="C1531" s="8" t="s">
        <v>44</v>
      </c>
      <c r="D1531" s="14">
        <v>21256</v>
      </c>
      <c r="E1531" s="14">
        <v>192576</v>
      </c>
      <c r="F1531" s="15">
        <v>56166</v>
      </c>
    </row>
    <row r="1532" spans="1:6" x14ac:dyDescent="0.3">
      <c r="A1532" s="7">
        <v>2017</v>
      </c>
      <c r="B1532" s="8" t="s">
        <v>51</v>
      </c>
      <c r="C1532" s="8" t="s">
        <v>45</v>
      </c>
      <c r="D1532" s="14">
        <v>25279</v>
      </c>
      <c r="E1532" s="14">
        <v>187247</v>
      </c>
      <c r="F1532" s="15">
        <v>61249</v>
      </c>
    </row>
    <row r="1533" spans="1:6" x14ac:dyDescent="0.3">
      <c r="A1533" s="7">
        <v>2017</v>
      </c>
      <c r="B1533" s="8" t="s">
        <v>51</v>
      </c>
      <c r="C1533" s="8" t="s">
        <v>46</v>
      </c>
      <c r="D1533" s="14">
        <v>4402</v>
      </c>
      <c r="E1533" s="14">
        <v>31522</v>
      </c>
      <c r="F1533" s="15">
        <v>57987</v>
      </c>
    </row>
    <row r="1534" spans="1:6" x14ac:dyDescent="0.3">
      <c r="A1534" s="7">
        <v>2017</v>
      </c>
      <c r="B1534" s="8" t="s">
        <v>51</v>
      </c>
      <c r="C1534" s="8" t="s">
        <v>47</v>
      </c>
      <c r="D1534" s="14">
        <v>14158</v>
      </c>
      <c r="E1534" s="14">
        <v>117226</v>
      </c>
      <c r="F1534" s="15">
        <v>60136</v>
      </c>
    </row>
    <row r="1535" spans="1:6" x14ac:dyDescent="0.3">
      <c r="A1535" s="7">
        <v>2017</v>
      </c>
      <c r="B1535" s="8" t="s">
        <v>51</v>
      </c>
      <c r="C1535" s="8" t="s">
        <v>48</v>
      </c>
      <c r="D1535" s="14">
        <v>3427</v>
      </c>
      <c r="E1535" s="14">
        <v>19573</v>
      </c>
      <c r="F1535" s="15">
        <v>50877</v>
      </c>
    </row>
    <row r="1536" spans="1:6" x14ac:dyDescent="0.3">
      <c r="A1536" s="7">
        <v>2017</v>
      </c>
      <c r="B1536" s="8" t="s">
        <v>52</v>
      </c>
      <c r="C1536" s="8" t="s">
        <v>1</v>
      </c>
      <c r="D1536" s="14">
        <v>5447</v>
      </c>
      <c r="E1536" s="14">
        <v>263487</v>
      </c>
      <c r="F1536" s="15">
        <v>55197</v>
      </c>
    </row>
    <row r="1537" spans="1:6" x14ac:dyDescent="0.3">
      <c r="A1537" s="7">
        <v>2017</v>
      </c>
      <c r="B1537" s="8" t="s">
        <v>52</v>
      </c>
      <c r="C1537" s="8" t="s">
        <v>2</v>
      </c>
      <c r="D1537" s="14">
        <v>4657</v>
      </c>
      <c r="E1537" s="14">
        <v>162399</v>
      </c>
      <c r="F1537" s="15">
        <v>73528</v>
      </c>
    </row>
    <row r="1538" spans="1:6" x14ac:dyDescent="0.3">
      <c r="A1538" s="7">
        <v>2017</v>
      </c>
      <c r="B1538" s="8" t="s">
        <v>52</v>
      </c>
      <c r="C1538" s="8" t="s">
        <v>3</v>
      </c>
      <c r="D1538" s="14">
        <v>2928</v>
      </c>
      <c r="E1538" s="14">
        <v>157305</v>
      </c>
      <c r="F1538" s="15">
        <v>46766</v>
      </c>
    </row>
    <row r="1539" spans="1:6" x14ac:dyDescent="0.3">
      <c r="A1539" s="7">
        <v>2017</v>
      </c>
      <c r="B1539" s="8" t="s">
        <v>52</v>
      </c>
      <c r="C1539" s="8" t="s">
        <v>4</v>
      </c>
      <c r="D1539" s="14">
        <v>42215</v>
      </c>
      <c r="E1539" s="14">
        <v>1303550</v>
      </c>
      <c r="F1539" s="15">
        <v>92246</v>
      </c>
    </row>
    <row r="1540" spans="1:6" x14ac:dyDescent="0.3">
      <c r="A1540" s="7">
        <v>2017</v>
      </c>
      <c r="B1540" s="8" t="s">
        <v>52</v>
      </c>
      <c r="C1540" s="8" t="s">
        <v>5</v>
      </c>
      <c r="D1540" s="14">
        <v>5750</v>
      </c>
      <c r="E1540" s="14">
        <v>144067</v>
      </c>
      <c r="F1540" s="15">
        <v>69446</v>
      </c>
    </row>
    <row r="1541" spans="1:6" x14ac:dyDescent="0.3">
      <c r="A1541" s="7">
        <v>2017</v>
      </c>
      <c r="B1541" s="8" t="s">
        <v>52</v>
      </c>
      <c r="C1541" s="8" t="s">
        <v>6</v>
      </c>
      <c r="D1541" s="14">
        <v>4460</v>
      </c>
      <c r="E1541" s="14">
        <v>158891</v>
      </c>
      <c r="F1541" s="15">
        <v>81864</v>
      </c>
    </row>
    <row r="1542" spans="1:6" x14ac:dyDescent="0.3">
      <c r="A1542" s="7">
        <v>2017</v>
      </c>
      <c r="B1542" s="8" t="s">
        <v>52</v>
      </c>
      <c r="C1542" s="8" t="s">
        <v>7</v>
      </c>
      <c r="D1542" s="8">
        <v>688</v>
      </c>
      <c r="E1542" s="14">
        <v>25928</v>
      </c>
      <c r="F1542" s="15">
        <v>62417</v>
      </c>
    </row>
    <row r="1543" spans="1:6" x14ac:dyDescent="0.3">
      <c r="A1543" s="7">
        <v>2017</v>
      </c>
      <c r="B1543" s="8" t="s">
        <v>52</v>
      </c>
      <c r="C1543" s="8" t="s">
        <v>8</v>
      </c>
      <c r="D1543" s="14">
        <v>20513</v>
      </c>
      <c r="E1543" s="14">
        <v>363137</v>
      </c>
      <c r="F1543" s="15">
        <v>59389</v>
      </c>
    </row>
    <row r="1544" spans="1:6" x14ac:dyDescent="0.3">
      <c r="A1544" s="7">
        <v>2017</v>
      </c>
      <c r="B1544" s="8" t="s">
        <v>52</v>
      </c>
      <c r="C1544" s="8" t="s">
        <v>9</v>
      </c>
      <c r="D1544" s="14">
        <v>9745</v>
      </c>
      <c r="E1544" s="14">
        <v>395916</v>
      </c>
      <c r="F1544" s="15">
        <v>57889</v>
      </c>
    </row>
    <row r="1545" spans="1:6" x14ac:dyDescent="0.3">
      <c r="A1545" s="7">
        <v>2017</v>
      </c>
      <c r="B1545" s="8" t="s">
        <v>52</v>
      </c>
      <c r="C1545" s="8" t="s">
        <v>10</v>
      </c>
      <c r="D1545" s="14">
        <v>2750</v>
      </c>
      <c r="E1545" s="14">
        <v>66056</v>
      </c>
      <c r="F1545" s="15">
        <v>61543</v>
      </c>
    </row>
    <row r="1546" spans="1:6" x14ac:dyDescent="0.3">
      <c r="A1546" s="7">
        <v>2017</v>
      </c>
      <c r="B1546" s="8" t="s">
        <v>52</v>
      </c>
      <c r="C1546" s="8" t="s">
        <v>11</v>
      </c>
      <c r="D1546" s="14">
        <v>17979</v>
      </c>
      <c r="E1546" s="14">
        <v>574692</v>
      </c>
      <c r="F1546" s="15">
        <v>70174</v>
      </c>
    </row>
    <row r="1547" spans="1:6" x14ac:dyDescent="0.3">
      <c r="A1547" s="7">
        <v>2017</v>
      </c>
      <c r="B1547" s="8" t="s">
        <v>52</v>
      </c>
      <c r="C1547" s="8" t="s">
        <v>12</v>
      </c>
      <c r="D1547" s="14">
        <v>8554</v>
      </c>
      <c r="E1547" s="14">
        <v>531312</v>
      </c>
      <c r="F1547" s="15">
        <v>61118</v>
      </c>
    </row>
    <row r="1548" spans="1:6" x14ac:dyDescent="0.3">
      <c r="A1548" s="7">
        <v>2017</v>
      </c>
      <c r="B1548" s="8" t="s">
        <v>52</v>
      </c>
      <c r="C1548" s="8" t="s">
        <v>13</v>
      </c>
      <c r="D1548" s="14">
        <v>4125</v>
      </c>
      <c r="E1548" s="14">
        <v>215910</v>
      </c>
      <c r="F1548" s="15">
        <v>58617</v>
      </c>
    </row>
    <row r="1549" spans="1:6" x14ac:dyDescent="0.3">
      <c r="A1549" s="7">
        <v>2017</v>
      </c>
      <c r="B1549" s="8" t="s">
        <v>52</v>
      </c>
      <c r="C1549" s="8" t="s">
        <v>14</v>
      </c>
      <c r="D1549" s="14">
        <v>3164</v>
      </c>
      <c r="E1549" s="14">
        <v>161517</v>
      </c>
      <c r="F1549" s="15">
        <v>57532</v>
      </c>
    </row>
    <row r="1550" spans="1:6" x14ac:dyDescent="0.3">
      <c r="A1550" s="7">
        <v>2017</v>
      </c>
      <c r="B1550" s="8" t="s">
        <v>52</v>
      </c>
      <c r="C1550" s="8" t="s">
        <v>15</v>
      </c>
      <c r="D1550" s="14">
        <v>4368</v>
      </c>
      <c r="E1550" s="14">
        <v>250180</v>
      </c>
      <c r="F1550" s="15">
        <v>58143</v>
      </c>
    </row>
    <row r="1551" spans="1:6" x14ac:dyDescent="0.3">
      <c r="A1551" s="7">
        <v>2017</v>
      </c>
      <c r="B1551" s="8" t="s">
        <v>52</v>
      </c>
      <c r="C1551" s="8" t="s">
        <v>16</v>
      </c>
      <c r="D1551" s="14">
        <v>4464</v>
      </c>
      <c r="E1551" s="14">
        <v>134680</v>
      </c>
      <c r="F1551" s="15">
        <v>72604</v>
      </c>
    </row>
    <row r="1552" spans="1:6" x14ac:dyDescent="0.3">
      <c r="A1552" s="7">
        <v>2017</v>
      </c>
      <c r="B1552" s="8" t="s">
        <v>52</v>
      </c>
      <c r="C1552" s="8" t="s">
        <v>17</v>
      </c>
      <c r="D1552" s="14">
        <v>1877</v>
      </c>
      <c r="E1552" s="14">
        <v>50911</v>
      </c>
      <c r="F1552" s="15">
        <v>55458</v>
      </c>
    </row>
    <row r="1553" spans="1:6" x14ac:dyDescent="0.3">
      <c r="A1553" s="7">
        <v>2017</v>
      </c>
      <c r="B1553" s="8" t="s">
        <v>52</v>
      </c>
      <c r="C1553" s="8" t="s">
        <v>18</v>
      </c>
      <c r="D1553" s="14">
        <v>3901</v>
      </c>
      <c r="E1553" s="14">
        <v>106864</v>
      </c>
      <c r="F1553" s="15">
        <v>77289</v>
      </c>
    </row>
    <row r="1554" spans="1:6" x14ac:dyDescent="0.3">
      <c r="A1554" s="7">
        <v>2017</v>
      </c>
      <c r="B1554" s="8" t="s">
        <v>52</v>
      </c>
      <c r="C1554" s="8" t="s">
        <v>19</v>
      </c>
      <c r="D1554" s="14">
        <v>6850</v>
      </c>
      <c r="E1554" s="14">
        <v>244647</v>
      </c>
      <c r="F1554" s="15">
        <v>88132</v>
      </c>
    </row>
    <row r="1555" spans="1:6" x14ac:dyDescent="0.3">
      <c r="A1555" s="7">
        <v>2017</v>
      </c>
      <c r="B1555" s="8" t="s">
        <v>52</v>
      </c>
      <c r="C1555" s="8" t="s">
        <v>20</v>
      </c>
      <c r="D1555" s="14">
        <v>15721</v>
      </c>
      <c r="E1555" s="14">
        <v>615106</v>
      </c>
      <c r="F1555" s="15">
        <v>66395</v>
      </c>
    </row>
    <row r="1556" spans="1:6" x14ac:dyDescent="0.3">
      <c r="A1556" s="7">
        <v>2017</v>
      </c>
      <c r="B1556" s="8" t="s">
        <v>52</v>
      </c>
      <c r="C1556" s="8" t="s">
        <v>21</v>
      </c>
      <c r="D1556" s="14">
        <v>8369</v>
      </c>
      <c r="E1556" s="14">
        <v>319035</v>
      </c>
      <c r="F1556" s="15">
        <v>65734</v>
      </c>
    </row>
    <row r="1557" spans="1:6" x14ac:dyDescent="0.3">
      <c r="A1557" s="7">
        <v>2017</v>
      </c>
      <c r="B1557" s="8" t="s">
        <v>52</v>
      </c>
      <c r="C1557" s="8" t="s">
        <v>22</v>
      </c>
      <c r="D1557" s="14">
        <v>2441</v>
      </c>
      <c r="E1557" s="14">
        <v>144047</v>
      </c>
      <c r="F1557" s="15">
        <v>48199</v>
      </c>
    </row>
    <row r="1558" spans="1:6" x14ac:dyDescent="0.3">
      <c r="A1558" s="7">
        <v>2017</v>
      </c>
      <c r="B1558" s="8" t="s">
        <v>52</v>
      </c>
      <c r="C1558" s="8" t="s">
        <v>23</v>
      </c>
      <c r="D1558" s="14">
        <v>6636</v>
      </c>
      <c r="E1558" s="14">
        <v>265863</v>
      </c>
      <c r="F1558" s="15">
        <v>57139</v>
      </c>
    </row>
    <row r="1559" spans="1:6" x14ac:dyDescent="0.3">
      <c r="A1559" s="7">
        <v>2017</v>
      </c>
      <c r="B1559" s="8" t="s">
        <v>52</v>
      </c>
      <c r="C1559" s="8" t="s">
        <v>24</v>
      </c>
      <c r="D1559" s="14">
        <v>1572</v>
      </c>
      <c r="E1559" s="14">
        <v>19893</v>
      </c>
      <c r="F1559" s="15">
        <v>48758</v>
      </c>
    </row>
    <row r="1560" spans="1:6" x14ac:dyDescent="0.3">
      <c r="A1560" s="7">
        <v>2017</v>
      </c>
      <c r="B1560" s="8" t="s">
        <v>52</v>
      </c>
      <c r="C1560" s="8" t="s">
        <v>25</v>
      </c>
      <c r="D1560" s="14">
        <v>1977</v>
      </c>
      <c r="E1560" s="14">
        <v>98082</v>
      </c>
      <c r="F1560" s="15">
        <v>49568</v>
      </c>
    </row>
    <row r="1561" spans="1:6" x14ac:dyDescent="0.3">
      <c r="A1561" s="7">
        <v>2017</v>
      </c>
      <c r="B1561" s="8" t="s">
        <v>52</v>
      </c>
      <c r="C1561" s="8" t="s">
        <v>26</v>
      </c>
      <c r="D1561" s="14">
        <v>2043</v>
      </c>
      <c r="E1561" s="14">
        <v>47800</v>
      </c>
      <c r="F1561" s="15">
        <v>56486</v>
      </c>
    </row>
    <row r="1562" spans="1:6" x14ac:dyDescent="0.3">
      <c r="A1562" s="7">
        <v>2017</v>
      </c>
      <c r="B1562" s="8" t="s">
        <v>52</v>
      </c>
      <c r="C1562" s="8" t="s">
        <v>27</v>
      </c>
      <c r="D1562" s="14">
        <v>2011</v>
      </c>
      <c r="E1562" s="14">
        <v>68971</v>
      </c>
      <c r="F1562" s="15">
        <v>70482</v>
      </c>
    </row>
    <row r="1563" spans="1:6" x14ac:dyDescent="0.3">
      <c r="A1563" s="7">
        <v>2017</v>
      </c>
      <c r="B1563" s="8" t="s">
        <v>52</v>
      </c>
      <c r="C1563" s="8" t="s">
        <v>28</v>
      </c>
      <c r="D1563" s="14">
        <v>8962</v>
      </c>
      <c r="E1563" s="14">
        <v>242476</v>
      </c>
      <c r="F1563" s="15">
        <v>78813</v>
      </c>
    </row>
    <row r="1564" spans="1:6" x14ac:dyDescent="0.3">
      <c r="A1564" s="7">
        <v>2017</v>
      </c>
      <c r="B1564" s="8" t="s">
        <v>52</v>
      </c>
      <c r="C1564" s="8" t="s">
        <v>29</v>
      </c>
      <c r="D1564" s="14">
        <v>1724</v>
      </c>
      <c r="E1564" s="14">
        <v>26398</v>
      </c>
      <c r="F1564" s="15">
        <v>53328</v>
      </c>
    </row>
    <row r="1565" spans="1:6" x14ac:dyDescent="0.3">
      <c r="A1565" s="7">
        <v>2017</v>
      </c>
      <c r="B1565" s="8" t="s">
        <v>52</v>
      </c>
      <c r="C1565" s="8" t="s">
        <v>30</v>
      </c>
      <c r="D1565" s="14">
        <v>17319</v>
      </c>
      <c r="E1565" s="14">
        <v>444182</v>
      </c>
      <c r="F1565" s="15">
        <v>65899</v>
      </c>
    </row>
    <row r="1566" spans="1:6" x14ac:dyDescent="0.3">
      <c r="A1566" s="7">
        <v>2017</v>
      </c>
      <c r="B1566" s="8" t="s">
        <v>52</v>
      </c>
      <c r="C1566" s="8" t="s">
        <v>31</v>
      </c>
      <c r="D1566" s="14">
        <v>10287</v>
      </c>
      <c r="E1566" s="14">
        <v>467306</v>
      </c>
      <c r="F1566" s="15">
        <v>58368</v>
      </c>
    </row>
    <row r="1567" spans="1:6" x14ac:dyDescent="0.3">
      <c r="A1567" s="7">
        <v>2017</v>
      </c>
      <c r="B1567" s="8" t="s">
        <v>52</v>
      </c>
      <c r="C1567" s="8" t="s">
        <v>32</v>
      </c>
      <c r="D1567" s="8">
        <v>810</v>
      </c>
      <c r="E1567" s="14">
        <v>24680</v>
      </c>
      <c r="F1567" s="15">
        <v>52594</v>
      </c>
    </row>
    <row r="1568" spans="1:6" x14ac:dyDescent="0.3">
      <c r="A1568" s="7">
        <v>2017</v>
      </c>
      <c r="B1568" s="8" t="s">
        <v>52</v>
      </c>
      <c r="C1568" s="8" t="s">
        <v>33</v>
      </c>
      <c r="D1568" s="14">
        <v>15430</v>
      </c>
      <c r="E1568" s="14">
        <v>685942</v>
      </c>
      <c r="F1568" s="15">
        <v>60002</v>
      </c>
    </row>
    <row r="1569" spans="1:6" x14ac:dyDescent="0.3">
      <c r="A1569" s="7">
        <v>2017</v>
      </c>
      <c r="B1569" s="8" t="s">
        <v>52</v>
      </c>
      <c r="C1569" s="8" t="s">
        <v>34</v>
      </c>
      <c r="D1569" s="14">
        <v>4230</v>
      </c>
      <c r="E1569" s="14">
        <v>128122</v>
      </c>
      <c r="F1569" s="15">
        <v>55496</v>
      </c>
    </row>
    <row r="1570" spans="1:6" x14ac:dyDescent="0.3">
      <c r="A1570" s="7">
        <v>2017</v>
      </c>
      <c r="B1570" s="8" t="s">
        <v>52</v>
      </c>
      <c r="C1570" s="8" t="s">
        <v>35</v>
      </c>
      <c r="D1570" s="14">
        <v>6175</v>
      </c>
      <c r="E1570" s="14">
        <v>189318</v>
      </c>
      <c r="F1570" s="15">
        <v>68161</v>
      </c>
    </row>
    <row r="1571" spans="1:6" x14ac:dyDescent="0.3">
      <c r="A1571" s="7">
        <v>2017</v>
      </c>
      <c r="B1571" s="8" t="s">
        <v>52</v>
      </c>
      <c r="C1571" s="8" t="s">
        <v>36</v>
      </c>
      <c r="D1571" s="14">
        <v>14414</v>
      </c>
      <c r="E1571" s="14">
        <v>561774</v>
      </c>
      <c r="F1571" s="15">
        <v>61111</v>
      </c>
    </row>
    <row r="1572" spans="1:6" x14ac:dyDescent="0.3">
      <c r="A1572" s="7">
        <v>2017</v>
      </c>
      <c r="B1572" s="8" t="s">
        <v>52</v>
      </c>
      <c r="C1572" s="8" t="s">
        <v>37</v>
      </c>
      <c r="D1572" s="14">
        <v>1567</v>
      </c>
      <c r="E1572" s="14">
        <v>40341</v>
      </c>
      <c r="F1572" s="15">
        <v>57616</v>
      </c>
    </row>
    <row r="1573" spans="1:6" x14ac:dyDescent="0.3">
      <c r="A1573" s="7">
        <v>2017</v>
      </c>
      <c r="B1573" s="8" t="s">
        <v>52</v>
      </c>
      <c r="C1573" s="8" t="s">
        <v>38</v>
      </c>
      <c r="D1573" s="14">
        <v>5906</v>
      </c>
      <c r="E1573" s="14">
        <v>240456</v>
      </c>
      <c r="F1573" s="15">
        <v>58927</v>
      </c>
    </row>
    <row r="1574" spans="1:6" x14ac:dyDescent="0.3">
      <c r="A1574" s="7">
        <v>2017</v>
      </c>
      <c r="B1574" s="8" t="s">
        <v>52</v>
      </c>
      <c r="C1574" s="8" t="s">
        <v>39</v>
      </c>
      <c r="D1574" s="14">
        <v>1091</v>
      </c>
      <c r="E1574" s="14">
        <v>43081</v>
      </c>
      <c r="F1574" s="15">
        <v>47877</v>
      </c>
    </row>
    <row r="1575" spans="1:6" x14ac:dyDescent="0.3">
      <c r="A1575" s="7">
        <v>2017</v>
      </c>
      <c r="B1575" s="8" t="s">
        <v>52</v>
      </c>
      <c r="C1575" s="8" t="s">
        <v>40</v>
      </c>
      <c r="D1575" s="14">
        <v>6835</v>
      </c>
      <c r="E1575" s="14">
        <v>348417</v>
      </c>
      <c r="F1575" s="15">
        <v>59526</v>
      </c>
    </row>
    <row r="1576" spans="1:6" x14ac:dyDescent="0.3">
      <c r="A1576" s="7">
        <v>2017</v>
      </c>
      <c r="B1576" s="8" t="s">
        <v>52</v>
      </c>
      <c r="C1576" s="8" t="s">
        <v>41</v>
      </c>
      <c r="D1576" s="14">
        <v>24275</v>
      </c>
      <c r="E1576" s="14">
        <v>851513</v>
      </c>
      <c r="F1576" s="15">
        <v>75813</v>
      </c>
    </row>
    <row r="1577" spans="1:6" x14ac:dyDescent="0.3">
      <c r="A1577" s="7">
        <v>2017</v>
      </c>
      <c r="B1577" s="8" t="s">
        <v>52</v>
      </c>
      <c r="C1577" s="8" t="s">
        <v>42</v>
      </c>
      <c r="D1577" s="14">
        <v>4248</v>
      </c>
      <c r="E1577" s="14">
        <v>128365</v>
      </c>
      <c r="F1577" s="15">
        <v>56723</v>
      </c>
    </row>
    <row r="1578" spans="1:6" x14ac:dyDescent="0.3">
      <c r="A1578" s="7">
        <v>2017</v>
      </c>
      <c r="B1578" s="8" t="s">
        <v>52</v>
      </c>
      <c r="C1578" s="8" t="s">
        <v>43</v>
      </c>
      <c r="D1578" s="14">
        <v>1105</v>
      </c>
      <c r="E1578" s="14">
        <v>29550</v>
      </c>
      <c r="F1578" s="15">
        <v>58004</v>
      </c>
    </row>
    <row r="1579" spans="1:6" x14ac:dyDescent="0.3">
      <c r="A1579" s="7">
        <v>2017</v>
      </c>
      <c r="B1579" s="8" t="s">
        <v>52</v>
      </c>
      <c r="C1579" s="8" t="s">
        <v>44</v>
      </c>
      <c r="D1579" s="14">
        <v>6475</v>
      </c>
      <c r="E1579" s="14">
        <v>232927</v>
      </c>
      <c r="F1579" s="15">
        <v>57894</v>
      </c>
    </row>
    <row r="1580" spans="1:6" x14ac:dyDescent="0.3">
      <c r="A1580" s="7">
        <v>2017</v>
      </c>
      <c r="B1580" s="8" t="s">
        <v>52</v>
      </c>
      <c r="C1580" s="8" t="s">
        <v>45</v>
      </c>
      <c r="D1580" s="14">
        <v>7671</v>
      </c>
      <c r="E1580" s="14">
        <v>280368</v>
      </c>
      <c r="F1580" s="15">
        <v>76290</v>
      </c>
    </row>
    <row r="1581" spans="1:6" x14ac:dyDescent="0.3">
      <c r="A1581" s="7">
        <v>2017</v>
      </c>
      <c r="B1581" s="8" t="s">
        <v>52</v>
      </c>
      <c r="C1581" s="8" t="s">
        <v>46</v>
      </c>
      <c r="D1581" s="14">
        <v>1272</v>
      </c>
      <c r="E1581" s="14">
        <v>46575</v>
      </c>
      <c r="F1581" s="15">
        <v>58624</v>
      </c>
    </row>
    <row r="1582" spans="1:6" x14ac:dyDescent="0.3">
      <c r="A1582" s="7">
        <v>2017</v>
      </c>
      <c r="B1582" s="8" t="s">
        <v>52</v>
      </c>
      <c r="C1582" s="8" t="s">
        <v>47</v>
      </c>
      <c r="D1582" s="14">
        <v>9356</v>
      </c>
      <c r="E1582" s="14">
        <v>466595</v>
      </c>
      <c r="F1582" s="15">
        <v>57001</v>
      </c>
    </row>
    <row r="1583" spans="1:6" x14ac:dyDescent="0.3">
      <c r="A1583" s="7">
        <v>2017</v>
      </c>
      <c r="B1583" s="8" t="s">
        <v>52</v>
      </c>
      <c r="C1583" s="8" t="s">
        <v>48</v>
      </c>
      <c r="D1583" s="8">
        <v>598</v>
      </c>
      <c r="E1583" s="14">
        <v>9378</v>
      </c>
      <c r="F1583" s="15">
        <v>65834</v>
      </c>
    </row>
    <row r="1584" spans="1:6" x14ac:dyDescent="0.3">
      <c r="A1584" s="7">
        <v>2017</v>
      </c>
      <c r="B1584" s="8" t="s">
        <v>54</v>
      </c>
      <c r="C1584" s="8" t="s">
        <v>1</v>
      </c>
      <c r="D1584" s="14">
        <v>32410</v>
      </c>
      <c r="E1584" s="14">
        <v>375653</v>
      </c>
      <c r="F1584" s="15">
        <v>40518</v>
      </c>
    </row>
    <row r="1585" spans="1:6" x14ac:dyDescent="0.3">
      <c r="A1585" s="7">
        <v>2017</v>
      </c>
      <c r="B1585" s="8" t="s">
        <v>54</v>
      </c>
      <c r="C1585" s="8" t="s">
        <v>2</v>
      </c>
      <c r="D1585" s="14">
        <v>29489</v>
      </c>
      <c r="E1585" s="14">
        <v>518475</v>
      </c>
      <c r="F1585" s="15">
        <v>45126</v>
      </c>
    </row>
    <row r="1586" spans="1:6" x14ac:dyDescent="0.3">
      <c r="A1586" s="7">
        <v>2017</v>
      </c>
      <c r="B1586" s="8" t="s">
        <v>54</v>
      </c>
      <c r="C1586" s="8" t="s">
        <v>3</v>
      </c>
      <c r="D1586" s="14">
        <v>21486</v>
      </c>
      <c r="E1586" s="14">
        <v>247661</v>
      </c>
      <c r="F1586" s="15">
        <v>40275</v>
      </c>
    </row>
    <row r="1587" spans="1:6" x14ac:dyDescent="0.3">
      <c r="A1587" s="7">
        <v>2017</v>
      </c>
      <c r="B1587" s="8" t="s">
        <v>54</v>
      </c>
      <c r="C1587" s="8" t="s">
        <v>4</v>
      </c>
      <c r="D1587" s="14">
        <v>185826</v>
      </c>
      <c r="E1587" s="14">
        <v>3010983</v>
      </c>
      <c r="F1587" s="15">
        <v>51095</v>
      </c>
    </row>
    <row r="1588" spans="1:6" x14ac:dyDescent="0.3">
      <c r="A1588" s="7">
        <v>2017</v>
      </c>
      <c r="B1588" s="8" t="s">
        <v>54</v>
      </c>
      <c r="C1588" s="8" t="s">
        <v>5</v>
      </c>
      <c r="D1588" s="14">
        <v>35715</v>
      </c>
      <c r="E1588" s="14">
        <v>458174</v>
      </c>
      <c r="F1588" s="15">
        <v>48601</v>
      </c>
    </row>
    <row r="1589" spans="1:6" x14ac:dyDescent="0.3">
      <c r="A1589" s="7">
        <v>2017</v>
      </c>
      <c r="B1589" s="8" t="s">
        <v>54</v>
      </c>
      <c r="C1589" s="8" t="s">
        <v>6</v>
      </c>
      <c r="D1589" s="14">
        <v>25027</v>
      </c>
      <c r="E1589" s="14">
        <v>297198</v>
      </c>
      <c r="F1589" s="15">
        <v>50064</v>
      </c>
    </row>
    <row r="1590" spans="1:6" x14ac:dyDescent="0.3">
      <c r="A1590" s="7">
        <v>2017</v>
      </c>
      <c r="B1590" s="8" t="s">
        <v>54</v>
      </c>
      <c r="C1590" s="8" t="s">
        <v>7</v>
      </c>
      <c r="D1590" s="14">
        <v>6681</v>
      </c>
      <c r="E1590" s="14">
        <v>79724</v>
      </c>
      <c r="F1590" s="15">
        <v>39700</v>
      </c>
    </row>
    <row r="1591" spans="1:6" x14ac:dyDescent="0.3">
      <c r="A1591" s="7">
        <v>2017</v>
      </c>
      <c r="B1591" s="8" t="s">
        <v>54</v>
      </c>
      <c r="C1591" s="8" t="s">
        <v>8</v>
      </c>
      <c r="D1591" s="14">
        <v>139501</v>
      </c>
      <c r="E1591" s="14">
        <v>1739867</v>
      </c>
      <c r="F1591" s="15">
        <v>43229</v>
      </c>
    </row>
    <row r="1592" spans="1:6" x14ac:dyDescent="0.3">
      <c r="A1592" s="7">
        <v>2017</v>
      </c>
      <c r="B1592" s="8" t="s">
        <v>54</v>
      </c>
      <c r="C1592" s="8" t="s">
        <v>9</v>
      </c>
      <c r="D1592" s="14">
        <v>60382</v>
      </c>
      <c r="E1592" s="14">
        <v>930943</v>
      </c>
      <c r="F1592" s="15">
        <v>48763</v>
      </c>
    </row>
    <row r="1593" spans="1:6" x14ac:dyDescent="0.3">
      <c r="A1593" s="7">
        <v>2017</v>
      </c>
      <c r="B1593" s="8" t="s">
        <v>54</v>
      </c>
      <c r="C1593" s="8" t="s">
        <v>10</v>
      </c>
      <c r="D1593" s="14">
        <v>11706</v>
      </c>
      <c r="E1593" s="14">
        <v>136606</v>
      </c>
      <c r="F1593" s="15">
        <v>38856</v>
      </c>
    </row>
    <row r="1594" spans="1:6" x14ac:dyDescent="0.3">
      <c r="A1594" s="7">
        <v>2017</v>
      </c>
      <c r="B1594" s="8" t="s">
        <v>54</v>
      </c>
      <c r="C1594" s="8" t="s">
        <v>11</v>
      </c>
      <c r="D1594" s="14">
        <v>77273</v>
      </c>
      <c r="E1594" s="14">
        <v>1192805</v>
      </c>
      <c r="F1594" s="15">
        <v>50025</v>
      </c>
    </row>
    <row r="1595" spans="1:6" x14ac:dyDescent="0.3">
      <c r="A1595" s="7">
        <v>2017</v>
      </c>
      <c r="B1595" s="8" t="s">
        <v>54</v>
      </c>
      <c r="C1595" s="8" t="s">
        <v>12</v>
      </c>
      <c r="D1595" s="14">
        <v>40630</v>
      </c>
      <c r="E1595" s="14">
        <v>588381</v>
      </c>
      <c r="F1595" s="15">
        <v>40479</v>
      </c>
    </row>
    <row r="1596" spans="1:6" x14ac:dyDescent="0.3">
      <c r="A1596" s="7">
        <v>2017</v>
      </c>
      <c r="B1596" s="8" t="s">
        <v>54</v>
      </c>
      <c r="C1596" s="8" t="s">
        <v>13</v>
      </c>
      <c r="D1596" s="14">
        <v>23446</v>
      </c>
      <c r="E1596" s="14">
        <v>311763</v>
      </c>
      <c r="F1596" s="15">
        <v>39025</v>
      </c>
    </row>
    <row r="1597" spans="1:6" x14ac:dyDescent="0.3">
      <c r="A1597" s="7">
        <v>2017</v>
      </c>
      <c r="B1597" s="8" t="s">
        <v>54</v>
      </c>
      <c r="C1597" s="8" t="s">
        <v>14</v>
      </c>
      <c r="D1597" s="14">
        <v>20676</v>
      </c>
      <c r="E1597" s="14">
        <v>263529</v>
      </c>
      <c r="F1597" s="15">
        <v>40705</v>
      </c>
    </row>
    <row r="1598" spans="1:6" x14ac:dyDescent="0.3">
      <c r="A1598" s="7">
        <v>2017</v>
      </c>
      <c r="B1598" s="8" t="s">
        <v>54</v>
      </c>
      <c r="C1598" s="8" t="s">
        <v>15</v>
      </c>
      <c r="D1598" s="14">
        <v>27941</v>
      </c>
      <c r="E1598" s="14">
        <v>398217</v>
      </c>
      <c r="F1598" s="15">
        <v>41261</v>
      </c>
    </row>
    <row r="1599" spans="1:6" x14ac:dyDescent="0.3">
      <c r="A1599" s="7">
        <v>2017</v>
      </c>
      <c r="B1599" s="8" t="s">
        <v>54</v>
      </c>
      <c r="C1599" s="8" t="s">
        <v>16</v>
      </c>
      <c r="D1599" s="14">
        <v>30444</v>
      </c>
      <c r="E1599" s="14">
        <v>378830</v>
      </c>
      <c r="F1599" s="15">
        <v>40938</v>
      </c>
    </row>
    <row r="1600" spans="1:6" x14ac:dyDescent="0.3">
      <c r="A1600" s="7">
        <v>2017</v>
      </c>
      <c r="B1600" s="8" t="s">
        <v>54</v>
      </c>
      <c r="C1600" s="8" t="s">
        <v>17</v>
      </c>
      <c r="D1600" s="14">
        <v>11060</v>
      </c>
      <c r="E1600" s="14">
        <v>119329</v>
      </c>
      <c r="F1600" s="15">
        <v>36287</v>
      </c>
    </row>
    <row r="1601" spans="1:6" x14ac:dyDescent="0.3">
      <c r="A1601" s="7">
        <v>2017</v>
      </c>
      <c r="B1601" s="8" t="s">
        <v>54</v>
      </c>
      <c r="C1601" s="8" t="s">
        <v>18</v>
      </c>
      <c r="D1601" s="14">
        <v>33064</v>
      </c>
      <c r="E1601" s="14">
        <v>462131</v>
      </c>
      <c r="F1601" s="15">
        <v>45367</v>
      </c>
    </row>
    <row r="1602" spans="1:6" x14ac:dyDescent="0.3">
      <c r="A1602" s="7">
        <v>2017</v>
      </c>
      <c r="B1602" s="8" t="s">
        <v>54</v>
      </c>
      <c r="C1602" s="8" t="s">
        <v>19</v>
      </c>
      <c r="D1602" s="14">
        <v>42906</v>
      </c>
      <c r="E1602" s="14">
        <v>577319</v>
      </c>
      <c r="F1602" s="15">
        <v>51500</v>
      </c>
    </row>
    <row r="1603" spans="1:6" x14ac:dyDescent="0.3">
      <c r="A1603" s="7">
        <v>2017</v>
      </c>
      <c r="B1603" s="8" t="s">
        <v>54</v>
      </c>
      <c r="C1603" s="8" t="s">
        <v>20</v>
      </c>
      <c r="D1603" s="14">
        <v>52149</v>
      </c>
      <c r="E1603" s="14">
        <v>784393</v>
      </c>
      <c r="F1603" s="15">
        <v>45628</v>
      </c>
    </row>
    <row r="1604" spans="1:6" x14ac:dyDescent="0.3">
      <c r="A1604" s="7">
        <v>2017</v>
      </c>
      <c r="B1604" s="8" t="s">
        <v>54</v>
      </c>
      <c r="C1604" s="8" t="s">
        <v>21</v>
      </c>
      <c r="D1604" s="14">
        <v>36334</v>
      </c>
      <c r="E1604" s="14">
        <v>531926</v>
      </c>
      <c r="F1604" s="15">
        <v>48273</v>
      </c>
    </row>
    <row r="1605" spans="1:6" x14ac:dyDescent="0.3">
      <c r="A1605" s="7">
        <v>2017</v>
      </c>
      <c r="B1605" s="8" t="s">
        <v>54</v>
      </c>
      <c r="C1605" s="8" t="s">
        <v>22</v>
      </c>
      <c r="D1605" s="14">
        <v>19589</v>
      </c>
      <c r="E1605" s="14">
        <v>229775</v>
      </c>
      <c r="F1605" s="15">
        <v>35324</v>
      </c>
    </row>
    <row r="1606" spans="1:6" x14ac:dyDescent="0.3">
      <c r="A1606" s="7">
        <v>2017</v>
      </c>
      <c r="B1606" s="8" t="s">
        <v>54</v>
      </c>
      <c r="C1606" s="8" t="s">
        <v>23</v>
      </c>
      <c r="D1606" s="14">
        <v>40324</v>
      </c>
      <c r="E1606" s="14">
        <v>538185</v>
      </c>
      <c r="F1606" s="15">
        <v>41095</v>
      </c>
    </row>
    <row r="1607" spans="1:6" x14ac:dyDescent="0.3">
      <c r="A1607" s="7">
        <v>2017</v>
      </c>
      <c r="B1607" s="8" t="s">
        <v>54</v>
      </c>
      <c r="C1607" s="8" t="s">
        <v>24</v>
      </c>
      <c r="D1607" s="14">
        <v>9270</v>
      </c>
      <c r="E1607" s="14">
        <v>91194</v>
      </c>
      <c r="F1607" s="15">
        <v>38067</v>
      </c>
    </row>
    <row r="1608" spans="1:6" x14ac:dyDescent="0.3">
      <c r="A1608" s="7">
        <v>2017</v>
      </c>
      <c r="B1608" s="8" t="s">
        <v>54</v>
      </c>
      <c r="C1608" s="8" t="s">
        <v>25</v>
      </c>
      <c r="D1608" s="14">
        <v>15024</v>
      </c>
      <c r="E1608" s="14">
        <v>190930</v>
      </c>
      <c r="F1608" s="15">
        <v>38493</v>
      </c>
    </row>
    <row r="1609" spans="1:6" x14ac:dyDescent="0.3">
      <c r="A1609" s="7">
        <v>2017</v>
      </c>
      <c r="B1609" s="8" t="s">
        <v>54</v>
      </c>
      <c r="C1609" s="8" t="s">
        <v>26</v>
      </c>
      <c r="D1609" s="14">
        <v>15910</v>
      </c>
      <c r="E1609" s="14">
        <v>247973</v>
      </c>
      <c r="F1609" s="15">
        <v>42847</v>
      </c>
    </row>
    <row r="1610" spans="1:6" x14ac:dyDescent="0.3">
      <c r="A1610" s="7">
        <v>2017</v>
      </c>
      <c r="B1610" s="8" t="s">
        <v>54</v>
      </c>
      <c r="C1610" s="8" t="s">
        <v>27</v>
      </c>
      <c r="D1610" s="14">
        <v>12612</v>
      </c>
      <c r="E1610" s="14">
        <v>139876</v>
      </c>
      <c r="F1610" s="15">
        <v>46101</v>
      </c>
    </row>
    <row r="1611" spans="1:6" x14ac:dyDescent="0.3">
      <c r="A1611" s="7">
        <v>2017</v>
      </c>
      <c r="B1611" s="8" t="s">
        <v>54</v>
      </c>
      <c r="C1611" s="8" t="s">
        <v>28</v>
      </c>
      <c r="D1611" s="14">
        <v>53977</v>
      </c>
      <c r="E1611" s="14">
        <v>872180</v>
      </c>
      <c r="F1611" s="15">
        <v>52631</v>
      </c>
    </row>
    <row r="1612" spans="1:6" x14ac:dyDescent="0.3">
      <c r="A1612" s="7">
        <v>2017</v>
      </c>
      <c r="B1612" s="8" t="s">
        <v>54</v>
      </c>
      <c r="C1612" s="8" t="s">
        <v>29</v>
      </c>
      <c r="D1612" s="14">
        <v>10538</v>
      </c>
      <c r="E1612" s="14">
        <v>134696</v>
      </c>
      <c r="F1612" s="15">
        <v>36519</v>
      </c>
    </row>
    <row r="1613" spans="1:6" x14ac:dyDescent="0.3">
      <c r="A1613" s="7">
        <v>2017</v>
      </c>
      <c r="B1613" s="8" t="s">
        <v>54</v>
      </c>
      <c r="C1613" s="8" t="s">
        <v>30</v>
      </c>
      <c r="D1613" s="14">
        <v>126549</v>
      </c>
      <c r="E1613" s="14">
        <v>1562385</v>
      </c>
      <c r="F1613" s="15">
        <v>50389</v>
      </c>
    </row>
    <row r="1614" spans="1:6" x14ac:dyDescent="0.3">
      <c r="A1614" s="7">
        <v>2017</v>
      </c>
      <c r="B1614" s="8" t="s">
        <v>54</v>
      </c>
      <c r="C1614" s="8" t="s">
        <v>31</v>
      </c>
      <c r="D1614" s="14">
        <v>61042</v>
      </c>
      <c r="E1614" s="14">
        <v>824989</v>
      </c>
      <c r="F1614" s="15">
        <v>41845</v>
      </c>
    </row>
    <row r="1615" spans="1:6" x14ac:dyDescent="0.3">
      <c r="A1615" s="7">
        <v>2017</v>
      </c>
      <c r="B1615" s="8" t="s">
        <v>54</v>
      </c>
      <c r="C1615" s="8" t="s">
        <v>32</v>
      </c>
      <c r="D1615" s="14">
        <v>7819</v>
      </c>
      <c r="E1615" s="14">
        <v>92052</v>
      </c>
      <c r="F1615" s="15">
        <v>47910</v>
      </c>
    </row>
    <row r="1616" spans="1:6" x14ac:dyDescent="0.3">
      <c r="A1616" s="7">
        <v>2017</v>
      </c>
      <c r="B1616" s="8" t="s">
        <v>54</v>
      </c>
      <c r="C1616" s="8" t="s">
        <v>33</v>
      </c>
      <c r="D1616" s="14">
        <v>68763</v>
      </c>
      <c r="E1616" s="14">
        <v>1018161</v>
      </c>
      <c r="F1616" s="15">
        <v>42564</v>
      </c>
    </row>
    <row r="1617" spans="1:6" x14ac:dyDescent="0.3">
      <c r="A1617" s="7">
        <v>2017</v>
      </c>
      <c r="B1617" s="8" t="s">
        <v>54</v>
      </c>
      <c r="C1617" s="8" t="s">
        <v>34</v>
      </c>
      <c r="D1617" s="14">
        <v>23838</v>
      </c>
      <c r="E1617" s="14">
        <v>301165</v>
      </c>
      <c r="F1617" s="15">
        <v>41040</v>
      </c>
    </row>
    <row r="1618" spans="1:6" x14ac:dyDescent="0.3">
      <c r="A1618" s="7">
        <v>2017</v>
      </c>
      <c r="B1618" s="8" t="s">
        <v>54</v>
      </c>
      <c r="C1618" s="8" t="s">
        <v>35</v>
      </c>
      <c r="D1618" s="14">
        <v>26684</v>
      </c>
      <c r="E1618" s="14">
        <v>347515</v>
      </c>
      <c r="F1618" s="15">
        <v>42870</v>
      </c>
    </row>
    <row r="1619" spans="1:6" x14ac:dyDescent="0.3">
      <c r="A1619" s="7">
        <v>2017</v>
      </c>
      <c r="B1619" s="8" t="s">
        <v>54</v>
      </c>
      <c r="C1619" s="8" t="s">
        <v>36</v>
      </c>
      <c r="D1619" s="14">
        <v>75374</v>
      </c>
      <c r="E1619" s="14">
        <v>1115565</v>
      </c>
      <c r="F1619" s="15">
        <v>43972</v>
      </c>
    </row>
    <row r="1620" spans="1:6" x14ac:dyDescent="0.3">
      <c r="A1620" s="7">
        <v>2017</v>
      </c>
      <c r="B1620" s="8" t="s">
        <v>54</v>
      </c>
      <c r="C1620" s="8" t="s">
        <v>37</v>
      </c>
      <c r="D1620" s="14">
        <v>7674</v>
      </c>
      <c r="E1620" s="14">
        <v>76263</v>
      </c>
      <c r="F1620" s="15">
        <v>42503</v>
      </c>
    </row>
    <row r="1621" spans="1:6" x14ac:dyDescent="0.3">
      <c r="A1621" s="7">
        <v>2017</v>
      </c>
      <c r="B1621" s="8" t="s">
        <v>54</v>
      </c>
      <c r="C1621" s="8" t="s">
        <v>38</v>
      </c>
      <c r="D1621" s="14">
        <v>29784</v>
      </c>
      <c r="E1621" s="14">
        <v>395329</v>
      </c>
      <c r="F1621" s="15">
        <v>38973</v>
      </c>
    </row>
    <row r="1622" spans="1:6" x14ac:dyDescent="0.3">
      <c r="A1622" s="7">
        <v>2017</v>
      </c>
      <c r="B1622" s="8" t="s">
        <v>54</v>
      </c>
      <c r="C1622" s="8" t="s">
        <v>39</v>
      </c>
      <c r="D1622" s="14">
        <v>8036</v>
      </c>
      <c r="E1622" s="14">
        <v>86427</v>
      </c>
      <c r="F1622" s="15">
        <v>38278</v>
      </c>
    </row>
    <row r="1623" spans="1:6" x14ac:dyDescent="0.3">
      <c r="A1623" s="7">
        <v>2017</v>
      </c>
      <c r="B1623" s="8" t="s">
        <v>54</v>
      </c>
      <c r="C1623" s="8" t="s">
        <v>40</v>
      </c>
      <c r="D1623" s="14">
        <v>39250</v>
      </c>
      <c r="E1623" s="14">
        <v>618046</v>
      </c>
      <c r="F1623" s="15">
        <v>44773</v>
      </c>
    </row>
    <row r="1624" spans="1:6" x14ac:dyDescent="0.3">
      <c r="A1624" s="7">
        <v>2017</v>
      </c>
      <c r="B1624" s="8" t="s">
        <v>54</v>
      </c>
      <c r="C1624" s="8" t="s">
        <v>41</v>
      </c>
      <c r="D1624" s="14">
        <v>145842</v>
      </c>
      <c r="E1624" s="14">
        <v>2432880</v>
      </c>
      <c r="F1624" s="15">
        <v>50316</v>
      </c>
    </row>
    <row r="1625" spans="1:6" x14ac:dyDescent="0.3">
      <c r="A1625" s="7">
        <v>2017</v>
      </c>
      <c r="B1625" s="8" t="s">
        <v>54</v>
      </c>
      <c r="C1625" s="8" t="s">
        <v>42</v>
      </c>
      <c r="D1625" s="14">
        <v>19048</v>
      </c>
      <c r="E1625" s="14">
        <v>276552</v>
      </c>
      <c r="F1625" s="15">
        <v>42378</v>
      </c>
    </row>
    <row r="1626" spans="1:6" x14ac:dyDescent="0.3">
      <c r="A1626" s="7">
        <v>2017</v>
      </c>
      <c r="B1626" s="8" t="s">
        <v>54</v>
      </c>
      <c r="C1626" s="8" t="s">
        <v>43</v>
      </c>
      <c r="D1626" s="14">
        <v>5138</v>
      </c>
      <c r="E1626" s="14">
        <v>55012</v>
      </c>
      <c r="F1626" s="15">
        <v>38650</v>
      </c>
    </row>
    <row r="1627" spans="1:6" x14ac:dyDescent="0.3">
      <c r="A1627" s="7">
        <v>2017</v>
      </c>
      <c r="B1627" s="8" t="s">
        <v>54</v>
      </c>
      <c r="C1627" s="8" t="s">
        <v>44</v>
      </c>
      <c r="D1627" s="14">
        <v>42996</v>
      </c>
      <c r="E1627" s="14">
        <v>652711</v>
      </c>
      <c r="F1627" s="15">
        <v>42291</v>
      </c>
    </row>
    <row r="1628" spans="1:6" x14ac:dyDescent="0.3">
      <c r="A1628" s="7">
        <v>2017</v>
      </c>
      <c r="B1628" s="8" t="s">
        <v>54</v>
      </c>
      <c r="C1628" s="8" t="s">
        <v>45</v>
      </c>
      <c r="D1628" s="14">
        <v>39715</v>
      </c>
      <c r="E1628" s="14">
        <v>610599</v>
      </c>
      <c r="F1628" s="15">
        <v>58924</v>
      </c>
    </row>
    <row r="1629" spans="1:6" x14ac:dyDescent="0.3">
      <c r="A1629" s="7">
        <v>2017</v>
      </c>
      <c r="B1629" s="8" t="s">
        <v>54</v>
      </c>
      <c r="C1629" s="8" t="s">
        <v>46</v>
      </c>
      <c r="D1629" s="14">
        <v>10925</v>
      </c>
      <c r="E1629" s="14">
        <v>129300</v>
      </c>
      <c r="F1629" s="15">
        <v>37489</v>
      </c>
    </row>
    <row r="1630" spans="1:6" x14ac:dyDescent="0.3">
      <c r="A1630" s="7">
        <v>2017</v>
      </c>
      <c r="B1630" s="8" t="s">
        <v>54</v>
      </c>
      <c r="C1630" s="8" t="s">
        <v>47</v>
      </c>
      <c r="D1630" s="14">
        <v>35433</v>
      </c>
      <c r="E1630" s="14">
        <v>539603</v>
      </c>
      <c r="F1630" s="15">
        <v>39831</v>
      </c>
    </row>
    <row r="1631" spans="1:6" x14ac:dyDescent="0.3">
      <c r="A1631" s="7">
        <v>2017</v>
      </c>
      <c r="B1631" s="8" t="s">
        <v>54</v>
      </c>
      <c r="C1631" s="8" t="s">
        <v>48</v>
      </c>
      <c r="D1631" s="14">
        <v>4822</v>
      </c>
      <c r="E1631" s="14">
        <v>49799</v>
      </c>
      <c r="F1631" s="15">
        <v>40999</v>
      </c>
    </row>
    <row r="1632" spans="1:6" x14ac:dyDescent="0.3">
      <c r="A1632" s="7">
        <v>2017</v>
      </c>
      <c r="B1632" s="8" t="s">
        <v>53</v>
      </c>
      <c r="C1632" s="8" t="s">
        <v>1</v>
      </c>
      <c r="D1632" s="14">
        <v>1969</v>
      </c>
      <c r="E1632" s="14">
        <v>20807</v>
      </c>
      <c r="F1632" s="15">
        <v>58932</v>
      </c>
    </row>
    <row r="1633" spans="1:6" x14ac:dyDescent="0.3">
      <c r="A1633" s="7">
        <v>2017</v>
      </c>
      <c r="B1633" s="8" t="s">
        <v>53</v>
      </c>
      <c r="C1633" s="8" t="s">
        <v>2</v>
      </c>
      <c r="D1633" s="14">
        <v>2461</v>
      </c>
      <c r="E1633" s="14">
        <v>44962</v>
      </c>
      <c r="F1633" s="15">
        <v>71171</v>
      </c>
    </row>
    <row r="1634" spans="1:6" x14ac:dyDescent="0.3">
      <c r="A1634" s="7">
        <v>2017</v>
      </c>
      <c r="B1634" s="8" t="s">
        <v>53</v>
      </c>
      <c r="C1634" s="8" t="s">
        <v>3</v>
      </c>
      <c r="D1634" s="14">
        <v>1123</v>
      </c>
      <c r="E1634" s="14">
        <v>12766</v>
      </c>
      <c r="F1634" s="15">
        <v>56682</v>
      </c>
    </row>
    <row r="1635" spans="1:6" x14ac:dyDescent="0.3">
      <c r="A1635" s="7">
        <v>2017</v>
      </c>
      <c r="B1635" s="8" t="s">
        <v>53</v>
      </c>
      <c r="C1635" s="8" t="s">
        <v>4</v>
      </c>
      <c r="D1635" s="14">
        <v>22519</v>
      </c>
      <c r="E1635" s="14">
        <v>513029</v>
      </c>
      <c r="F1635" s="15">
        <v>172309</v>
      </c>
    </row>
    <row r="1636" spans="1:6" x14ac:dyDescent="0.3">
      <c r="A1636" s="7">
        <v>2017</v>
      </c>
      <c r="B1636" s="8" t="s">
        <v>53</v>
      </c>
      <c r="C1636" s="8" t="s">
        <v>5</v>
      </c>
      <c r="D1636" s="14">
        <v>3891</v>
      </c>
      <c r="E1636" s="14">
        <v>71641</v>
      </c>
      <c r="F1636" s="15">
        <v>100781</v>
      </c>
    </row>
    <row r="1637" spans="1:6" x14ac:dyDescent="0.3">
      <c r="A1637" s="7">
        <v>2017</v>
      </c>
      <c r="B1637" s="8" t="s">
        <v>53</v>
      </c>
      <c r="C1637" s="8" t="s">
        <v>6</v>
      </c>
      <c r="D1637" s="14">
        <v>2146</v>
      </c>
      <c r="E1637" s="14">
        <v>31542</v>
      </c>
      <c r="F1637" s="15">
        <v>103094</v>
      </c>
    </row>
    <row r="1638" spans="1:6" x14ac:dyDescent="0.3">
      <c r="A1638" s="7">
        <v>2017</v>
      </c>
      <c r="B1638" s="8" t="s">
        <v>53</v>
      </c>
      <c r="C1638" s="8" t="s">
        <v>7</v>
      </c>
      <c r="D1638" s="8">
        <v>409</v>
      </c>
      <c r="E1638" s="14">
        <v>4560</v>
      </c>
      <c r="F1638" s="15">
        <v>64686</v>
      </c>
    </row>
    <row r="1639" spans="1:6" x14ac:dyDescent="0.3">
      <c r="A1639" s="7">
        <v>2017</v>
      </c>
      <c r="B1639" s="8" t="s">
        <v>53</v>
      </c>
      <c r="C1639" s="8" t="s">
        <v>8</v>
      </c>
      <c r="D1639" s="14">
        <v>10983</v>
      </c>
      <c r="E1639" s="14">
        <v>138039</v>
      </c>
      <c r="F1639" s="15">
        <v>80305</v>
      </c>
    </row>
    <row r="1640" spans="1:6" x14ac:dyDescent="0.3">
      <c r="A1640" s="7">
        <v>2017</v>
      </c>
      <c r="B1640" s="8" t="s">
        <v>53</v>
      </c>
      <c r="C1640" s="8" t="s">
        <v>9</v>
      </c>
      <c r="D1640" s="14">
        <v>4911</v>
      </c>
      <c r="E1640" s="14">
        <v>116074</v>
      </c>
      <c r="F1640" s="15">
        <v>96306</v>
      </c>
    </row>
    <row r="1641" spans="1:6" x14ac:dyDescent="0.3">
      <c r="A1641" s="7">
        <v>2017</v>
      </c>
      <c r="B1641" s="8" t="s">
        <v>53</v>
      </c>
      <c r="C1641" s="8" t="s">
        <v>10</v>
      </c>
      <c r="D1641" s="14">
        <v>1175</v>
      </c>
      <c r="E1641" s="14">
        <v>8923</v>
      </c>
      <c r="F1641" s="15">
        <v>51032</v>
      </c>
    </row>
    <row r="1642" spans="1:6" x14ac:dyDescent="0.3">
      <c r="A1642" s="7">
        <v>2017</v>
      </c>
      <c r="B1642" s="8" t="s">
        <v>53</v>
      </c>
      <c r="C1642" s="8" t="s">
        <v>11</v>
      </c>
      <c r="D1642" s="14">
        <v>6534</v>
      </c>
      <c r="E1642" s="14">
        <v>96181</v>
      </c>
      <c r="F1642" s="15">
        <v>85328</v>
      </c>
    </row>
    <row r="1643" spans="1:6" x14ac:dyDescent="0.3">
      <c r="A1643" s="7">
        <v>2017</v>
      </c>
      <c r="B1643" s="8" t="s">
        <v>53</v>
      </c>
      <c r="C1643" s="8" t="s">
        <v>12</v>
      </c>
      <c r="D1643" s="14">
        <v>2019</v>
      </c>
      <c r="E1643" s="14">
        <v>31465</v>
      </c>
      <c r="F1643" s="15">
        <v>59391</v>
      </c>
    </row>
    <row r="1644" spans="1:6" x14ac:dyDescent="0.3">
      <c r="A1644" s="7">
        <v>2017</v>
      </c>
      <c r="B1644" s="8" t="s">
        <v>53</v>
      </c>
      <c r="C1644" s="8" t="s">
        <v>13</v>
      </c>
      <c r="D1644" s="14">
        <v>1698</v>
      </c>
      <c r="E1644" s="14">
        <v>21891</v>
      </c>
      <c r="F1644" s="15">
        <v>55957</v>
      </c>
    </row>
    <row r="1645" spans="1:6" x14ac:dyDescent="0.3">
      <c r="A1645" s="7">
        <v>2017</v>
      </c>
      <c r="B1645" s="8" t="s">
        <v>53</v>
      </c>
      <c r="C1645" s="8" t="s">
        <v>14</v>
      </c>
      <c r="D1645" s="14">
        <v>1260</v>
      </c>
      <c r="E1645" s="14">
        <v>19279</v>
      </c>
      <c r="F1645" s="15">
        <v>61084</v>
      </c>
    </row>
    <row r="1646" spans="1:6" x14ac:dyDescent="0.3">
      <c r="A1646" s="7">
        <v>2017</v>
      </c>
      <c r="B1646" s="8" t="s">
        <v>53</v>
      </c>
      <c r="C1646" s="8" t="s">
        <v>15</v>
      </c>
      <c r="D1646" s="14">
        <v>1697</v>
      </c>
      <c r="E1646" s="14">
        <v>22698</v>
      </c>
      <c r="F1646" s="15">
        <v>54857</v>
      </c>
    </row>
    <row r="1647" spans="1:6" x14ac:dyDescent="0.3">
      <c r="A1647" s="7">
        <v>2017</v>
      </c>
      <c r="B1647" s="8" t="s">
        <v>53</v>
      </c>
      <c r="C1647" s="8" t="s">
        <v>16</v>
      </c>
      <c r="D1647" s="14">
        <v>1650</v>
      </c>
      <c r="E1647" s="14">
        <v>22941</v>
      </c>
      <c r="F1647" s="15">
        <v>55038</v>
      </c>
    </row>
    <row r="1648" spans="1:6" x14ac:dyDescent="0.3">
      <c r="A1648" s="7">
        <v>2017</v>
      </c>
      <c r="B1648" s="8" t="s">
        <v>53</v>
      </c>
      <c r="C1648" s="8" t="s">
        <v>17</v>
      </c>
      <c r="D1648" s="8">
        <v>843</v>
      </c>
      <c r="E1648" s="14">
        <v>7340</v>
      </c>
      <c r="F1648" s="15">
        <v>52561</v>
      </c>
    </row>
    <row r="1649" spans="1:6" x14ac:dyDescent="0.3">
      <c r="A1649" s="7">
        <v>2017</v>
      </c>
      <c r="B1649" s="8" t="s">
        <v>53</v>
      </c>
      <c r="C1649" s="8" t="s">
        <v>18</v>
      </c>
      <c r="D1649" s="14">
        <v>2719</v>
      </c>
      <c r="E1649" s="14">
        <v>37583</v>
      </c>
      <c r="F1649" s="15">
        <v>88009</v>
      </c>
    </row>
    <row r="1650" spans="1:6" x14ac:dyDescent="0.3">
      <c r="A1650" s="7">
        <v>2017</v>
      </c>
      <c r="B1650" s="8" t="s">
        <v>53</v>
      </c>
      <c r="C1650" s="8" t="s">
        <v>19</v>
      </c>
      <c r="D1650" s="14">
        <v>5143</v>
      </c>
      <c r="E1650" s="14">
        <v>91861</v>
      </c>
      <c r="F1650" s="15">
        <v>114166</v>
      </c>
    </row>
    <row r="1651" spans="1:6" x14ac:dyDescent="0.3">
      <c r="A1651" s="7">
        <v>2017</v>
      </c>
      <c r="B1651" s="8" t="s">
        <v>53</v>
      </c>
      <c r="C1651" s="8" t="s">
        <v>20</v>
      </c>
      <c r="D1651" s="14">
        <v>5934</v>
      </c>
      <c r="E1651" s="14">
        <v>56524</v>
      </c>
      <c r="F1651" s="15">
        <v>70884</v>
      </c>
    </row>
    <row r="1652" spans="1:6" x14ac:dyDescent="0.3">
      <c r="A1652" s="7">
        <v>2017</v>
      </c>
      <c r="B1652" s="8" t="s">
        <v>53</v>
      </c>
      <c r="C1652" s="8" t="s">
        <v>21</v>
      </c>
      <c r="D1652" s="14">
        <v>3663</v>
      </c>
      <c r="E1652" s="14">
        <v>50310</v>
      </c>
      <c r="F1652" s="15">
        <v>75459</v>
      </c>
    </row>
    <row r="1653" spans="1:6" x14ac:dyDescent="0.3">
      <c r="A1653" s="7">
        <v>2017</v>
      </c>
      <c r="B1653" s="8" t="s">
        <v>53</v>
      </c>
      <c r="C1653" s="8" t="s">
        <v>22</v>
      </c>
      <c r="D1653" s="8">
        <v>962</v>
      </c>
      <c r="E1653" s="14">
        <v>11593</v>
      </c>
      <c r="F1653" s="15">
        <v>48002</v>
      </c>
    </row>
    <row r="1654" spans="1:6" x14ac:dyDescent="0.3">
      <c r="A1654" s="7">
        <v>2017</v>
      </c>
      <c r="B1654" s="8" t="s">
        <v>53</v>
      </c>
      <c r="C1654" s="8" t="s">
        <v>23</v>
      </c>
      <c r="D1654" s="14">
        <v>3051</v>
      </c>
      <c r="E1654" s="14">
        <v>48249</v>
      </c>
      <c r="F1654" s="15">
        <v>73665</v>
      </c>
    </row>
    <row r="1655" spans="1:6" x14ac:dyDescent="0.3">
      <c r="A1655" s="7">
        <v>2017</v>
      </c>
      <c r="B1655" s="8" t="s">
        <v>53</v>
      </c>
      <c r="C1655" s="8" t="s">
        <v>24</v>
      </c>
      <c r="D1655" s="8">
        <v>759</v>
      </c>
      <c r="E1655" s="14">
        <v>6394</v>
      </c>
      <c r="F1655" s="15">
        <v>51903</v>
      </c>
    </row>
    <row r="1656" spans="1:6" x14ac:dyDescent="0.3">
      <c r="A1656" s="7">
        <v>2017</v>
      </c>
      <c r="B1656" s="8" t="s">
        <v>53</v>
      </c>
      <c r="C1656" s="8" t="s">
        <v>25</v>
      </c>
      <c r="D1656" s="8">
        <v>964</v>
      </c>
      <c r="E1656" s="14">
        <v>18204</v>
      </c>
      <c r="F1656" s="15">
        <v>61365</v>
      </c>
    </row>
    <row r="1657" spans="1:6" x14ac:dyDescent="0.3">
      <c r="A1657" s="7">
        <v>2017</v>
      </c>
      <c r="B1657" s="8" t="s">
        <v>53</v>
      </c>
      <c r="C1657" s="8" t="s">
        <v>26</v>
      </c>
      <c r="D1657" s="14">
        <v>1440</v>
      </c>
      <c r="E1657" s="14">
        <v>14735</v>
      </c>
      <c r="F1657" s="15">
        <v>65866</v>
      </c>
    </row>
    <row r="1658" spans="1:6" x14ac:dyDescent="0.3">
      <c r="A1658" s="7">
        <v>2017</v>
      </c>
      <c r="B1658" s="8" t="s">
        <v>53</v>
      </c>
      <c r="C1658" s="8" t="s">
        <v>27</v>
      </c>
      <c r="D1658" s="8">
        <v>843</v>
      </c>
      <c r="E1658" s="14">
        <v>12554</v>
      </c>
      <c r="F1658" s="15">
        <v>88119</v>
      </c>
    </row>
    <row r="1659" spans="1:6" x14ac:dyDescent="0.3">
      <c r="A1659" s="7">
        <v>2017</v>
      </c>
      <c r="B1659" s="8" t="s">
        <v>53</v>
      </c>
      <c r="C1659" s="8" t="s">
        <v>28</v>
      </c>
      <c r="D1659" s="14">
        <v>3595</v>
      </c>
      <c r="E1659" s="14">
        <v>70379</v>
      </c>
      <c r="F1659" s="15">
        <v>108638</v>
      </c>
    </row>
    <row r="1660" spans="1:6" x14ac:dyDescent="0.3">
      <c r="A1660" s="7">
        <v>2017</v>
      </c>
      <c r="B1660" s="8" t="s">
        <v>53</v>
      </c>
      <c r="C1660" s="8" t="s">
        <v>29</v>
      </c>
      <c r="D1660" s="8">
        <v>929</v>
      </c>
      <c r="E1660" s="14">
        <v>12398</v>
      </c>
      <c r="F1660" s="15">
        <v>51009</v>
      </c>
    </row>
    <row r="1661" spans="1:6" x14ac:dyDescent="0.3">
      <c r="A1661" s="7">
        <v>2017</v>
      </c>
      <c r="B1661" s="8" t="s">
        <v>53</v>
      </c>
      <c r="C1661" s="8" t="s">
        <v>30</v>
      </c>
      <c r="D1661" s="14">
        <v>12397</v>
      </c>
      <c r="E1661" s="14">
        <v>269233</v>
      </c>
      <c r="F1661" s="15">
        <v>119508</v>
      </c>
    </row>
    <row r="1662" spans="1:6" x14ac:dyDescent="0.3">
      <c r="A1662" s="7">
        <v>2017</v>
      </c>
      <c r="B1662" s="8" t="s">
        <v>53</v>
      </c>
      <c r="C1662" s="8" t="s">
        <v>31</v>
      </c>
      <c r="D1662" s="14">
        <v>5042</v>
      </c>
      <c r="E1662" s="14">
        <v>78826</v>
      </c>
      <c r="F1662" s="15">
        <v>80496</v>
      </c>
    </row>
    <row r="1663" spans="1:6" x14ac:dyDescent="0.3">
      <c r="A1663" s="7">
        <v>2017</v>
      </c>
      <c r="B1663" s="8" t="s">
        <v>53</v>
      </c>
      <c r="C1663" s="8" t="s">
        <v>32</v>
      </c>
      <c r="D1663" s="8">
        <v>396</v>
      </c>
      <c r="E1663" s="14">
        <v>6502</v>
      </c>
      <c r="F1663" s="15">
        <v>65114</v>
      </c>
    </row>
    <row r="1664" spans="1:6" x14ac:dyDescent="0.3">
      <c r="A1664" s="7">
        <v>2017</v>
      </c>
      <c r="B1664" s="8" t="s">
        <v>53</v>
      </c>
      <c r="C1664" s="8" t="s">
        <v>33</v>
      </c>
      <c r="D1664" s="14">
        <v>4456</v>
      </c>
      <c r="E1664" s="14">
        <v>71562</v>
      </c>
      <c r="F1664" s="15">
        <v>67912</v>
      </c>
    </row>
    <row r="1665" spans="1:6" x14ac:dyDescent="0.3">
      <c r="A1665" s="7">
        <v>2017</v>
      </c>
      <c r="B1665" s="8" t="s">
        <v>53</v>
      </c>
      <c r="C1665" s="8" t="s">
        <v>34</v>
      </c>
      <c r="D1665" s="14">
        <v>1491</v>
      </c>
      <c r="E1665" s="14">
        <v>20417</v>
      </c>
      <c r="F1665" s="15">
        <v>57922</v>
      </c>
    </row>
    <row r="1666" spans="1:6" x14ac:dyDescent="0.3">
      <c r="A1666" s="7">
        <v>2017</v>
      </c>
      <c r="B1666" s="8" t="s">
        <v>53</v>
      </c>
      <c r="C1666" s="8" t="s">
        <v>35</v>
      </c>
      <c r="D1666" s="14">
        <v>3521</v>
      </c>
      <c r="E1666" s="14">
        <v>34177</v>
      </c>
      <c r="F1666" s="15">
        <v>80210</v>
      </c>
    </row>
    <row r="1667" spans="1:6" x14ac:dyDescent="0.3">
      <c r="A1667" s="7">
        <v>2017</v>
      </c>
      <c r="B1667" s="8" t="s">
        <v>53</v>
      </c>
      <c r="C1667" s="8" t="s">
        <v>36</v>
      </c>
      <c r="D1667" s="14">
        <v>4664</v>
      </c>
      <c r="E1667" s="14">
        <v>83352</v>
      </c>
      <c r="F1667" s="15">
        <v>78987</v>
      </c>
    </row>
    <row r="1668" spans="1:6" x14ac:dyDescent="0.3">
      <c r="A1668" s="7">
        <v>2017</v>
      </c>
      <c r="B1668" s="8" t="s">
        <v>53</v>
      </c>
      <c r="C1668" s="8" t="s">
        <v>37</v>
      </c>
      <c r="D1668" s="8">
        <v>745</v>
      </c>
      <c r="E1668" s="14">
        <v>6125</v>
      </c>
      <c r="F1668" s="15">
        <v>70660</v>
      </c>
    </row>
    <row r="1669" spans="1:6" x14ac:dyDescent="0.3">
      <c r="A1669" s="7">
        <v>2017</v>
      </c>
      <c r="B1669" s="8" t="s">
        <v>53</v>
      </c>
      <c r="C1669" s="8" t="s">
        <v>38</v>
      </c>
      <c r="D1669" s="14">
        <v>2430</v>
      </c>
      <c r="E1669" s="14">
        <v>27428</v>
      </c>
      <c r="F1669" s="15">
        <v>61428</v>
      </c>
    </row>
    <row r="1670" spans="1:6" x14ac:dyDescent="0.3">
      <c r="A1670" s="7">
        <v>2017</v>
      </c>
      <c r="B1670" s="8" t="s">
        <v>53</v>
      </c>
      <c r="C1670" s="8" t="s">
        <v>39</v>
      </c>
      <c r="D1670" s="8">
        <v>561</v>
      </c>
      <c r="E1670" s="14">
        <v>5720</v>
      </c>
      <c r="F1670" s="15">
        <v>47231</v>
      </c>
    </row>
    <row r="1671" spans="1:6" x14ac:dyDescent="0.3">
      <c r="A1671" s="7">
        <v>2017</v>
      </c>
      <c r="B1671" s="8" t="s">
        <v>53</v>
      </c>
      <c r="C1671" s="8" t="s">
        <v>40</v>
      </c>
      <c r="D1671" s="14">
        <v>3260</v>
      </c>
      <c r="E1671" s="14">
        <v>45482</v>
      </c>
      <c r="F1671" s="15">
        <v>68381</v>
      </c>
    </row>
    <row r="1672" spans="1:6" x14ac:dyDescent="0.3">
      <c r="A1672" s="7">
        <v>2017</v>
      </c>
      <c r="B1672" s="8" t="s">
        <v>53</v>
      </c>
      <c r="C1672" s="8" t="s">
        <v>41</v>
      </c>
      <c r="D1672" s="14">
        <v>9521</v>
      </c>
      <c r="E1672" s="14">
        <v>201873</v>
      </c>
      <c r="F1672" s="15">
        <v>84394</v>
      </c>
    </row>
    <row r="1673" spans="1:6" x14ac:dyDescent="0.3">
      <c r="A1673" s="7">
        <v>2017</v>
      </c>
      <c r="B1673" s="8" t="s">
        <v>53</v>
      </c>
      <c r="C1673" s="8" t="s">
        <v>42</v>
      </c>
      <c r="D1673" s="14">
        <v>2347</v>
      </c>
      <c r="E1673" s="14">
        <v>37185</v>
      </c>
      <c r="F1673" s="15">
        <v>71167</v>
      </c>
    </row>
    <row r="1674" spans="1:6" x14ac:dyDescent="0.3">
      <c r="A1674" s="7">
        <v>2017</v>
      </c>
      <c r="B1674" s="8" t="s">
        <v>53</v>
      </c>
      <c r="C1674" s="8" t="s">
        <v>43</v>
      </c>
      <c r="D1674" s="8">
        <v>503</v>
      </c>
      <c r="E1674" s="14">
        <v>4478</v>
      </c>
      <c r="F1674" s="15">
        <v>58372</v>
      </c>
    </row>
    <row r="1675" spans="1:6" x14ac:dyDescent="0.3">
      <c r="A1675" s="7">
        <v>2017</v>
      </c>
      <c r="B1675" s="8" t="s">
        <v>53</v>
      </c>
      <c r="C1675" s="8" t="s">
        <v>44</v>
      </c>
      <c r="D1675" s="14">
        <v>4222</v>
      </c>
      <c r="E1675" s="14">
        <v>67623</v>
      </c>
      <c r="F1675" s="15">
        <v>98219</v>
      </c>
    </row>
    <row r="1676" spans="1:6" x14ac:dyDescent="0.3">
      <c r="A1676" s="7">
        <v>2017</v>
      </c>
      <c r="B1676" s="8" t="s">
        <v>53</v>
      </c>
      <c r="C1676" s="8" t="s">
        <v>45</v>
      </c>
      <c r="D1676" s="14">
        <v>4271</v>
      </c>
      <c r="E1676" s="14">
        <v>125798</v>
      </c>
      <c r="F1676" s="15">
        <v>172513</v>
      </c>
    </row>
    <row r="1677" spans="1:6" x14ac:dyDescent="0.3">
      <c r="A1677" s="7">
        <v>2017</v>
      </c>
      <c r="B1677" s="8" t="s">
        <v>53</v>
      </c>
      <c r="C1677" s="8" t="s">
        <v>46</v>
      </c>
      <c r="D1677" s="8">
        <v>764</v>
      </c>
      <c r="E1677" s="14">
        <v>8615</v>
      </c>
      <c r="F1677" s="15">
        <v>50474</v>
      </c>
    </row>
    <row r="1678" spans="1:6" x14ac:dyDescent="0.3">
      <c r="A1678" s="7">
        <v>2017</v>
      </c>
      <c r="B1678" s="8" t="s">
        <v>53</v>
      </c>
      <c r="C1678" s="8" t="s">
        <v>47</v>
      </c>
      <c r="D1678" s="14">
        <v>2126</v>
      </c>
      <c r="E1678" s="14">
        <v>47658</v>
      </c>
      <c r="F1678" s="15">
        <v>71912</v>
      </c>
    </row>
    <row r="1679" spans="1:6" x14ac:dyDescent="0.3">
      <c r="A1679" s="7">
        <v>2017</v>
      </c>
      <c r="B1679" s="8" t="s">
        <v>53</v>
      </c>
      <c r="C1679" s="8" t="s">
        <v>48</v>
      </c>
      <c r="D1679" s="8">
        <v>389</v>
      </c>
      <c r="E1679" s="14">
        <v>3680</v>
      </c>
      <c r="F1679" s="15">
        <v>46375</v>
      </c>
    </row>
    <row r="1680" spans="1:6" x14ac:dyDescent="0.3">
      <c r="A1680" s="7">
        <v>2017</v>
      </c>
      <c r="B1680" s="8" t="s">
        <v>56</v>
      </c>
      <c r="C1680" s="8" t="s">
        <v>1</v>
      </c>
      <c r="D1680" s="14">
        <v>13089</v>
      </c>
      <c r="E1680" s="14">
        <v>94756</v>
      </c>
      <c r="F1680" s="15">
        <v>66324</v>
      </c>
    </row>
    <row r="1681" spans="1:6" x14ac:dyDescent="0.3">
      <c r="A1681" s="7">
        <v>2017</v>
      </c>
      <c r="B1681" s="8" t="s">
        <v>56</v>
      </c>
      <c r="C1681" s="8" t="s">
        <v>2</v>
      </c>
      <c r="D1681" s="14">
        <v>15754</v>
      </c>
      <c r="E1681" s="14">
        <v>206540</v>
      </c>
      <c r="F1681" s="15">
        <v>68059</v>
      </c>
    </row>
    <row r="1682" spans="1:6" x14ac:dyDescent="0.3">
      <c r="A1682" s="7">
        <v>2017</v>
      </c>
      <c r="B1682" s="8" t="s">
        <v>56</v>
      </c>
      <c r="C1682" s="8" t="s">
        <v>3</v>
      </c>
      <c r="D1682" s="14">
        <v>8251</v>
      </c>
      <c r="E1682" s="14">
        <v>49596</v>
      </c>
      <c r="F1682" s="15">
        <v>55939</v>
      </c>
    </row>
    <row r="1683" spans="1:6" x14ac:dyDescent="0.3">
      <c r="A1683" s="7">
        <v>2017</v>
      </c>
      <c r="B1683" s="8" t="s">
        <v>56</v>
      </c>
      <c r="C1683" s="8" t="s">
        <v>4</v>
      </c>
      <c r="D1683" s="14">
        <v>98024</v>
      </c>
      <c r="E1683" s="14">
        <v>827494</v>
      </c>
      <c r="F1683" s="15">
        <v>104466</v>
      </c>
    </row>
    <row r="1684" spans="1:6" x14ac:dyDescent="0.3">
      <c r="A1684" s="7">
        <v>2017</v>
      </c>
      <c r="B1684" s="8" t="s">
        <v>56</v>
      </c>
      <c r="C1684" s="8" t="s">
        <v>5</v>
      </c>
      <c r="D1684" s="14">
        <v>22552</v>
      </c>
      <c r="E1684" s="14">
        <v>161870</v>
      </c>
      <c r="F1684" s="15">
        <v>81536</v>
      </c>
    </row>
    <row r="1685" spans="1:6" x14ac:dyDescent="0.3">
      <c r="A1685" s="7">
        <v>2017</v>
      </c>
      <c r="B1685" s="8" t="s">
        <v>56</v>
      </c>
      <c r="C1685" s="8" t="s">
        <v>6</v>
      </c>
      <c r="D1685" s="14">
        <v>10779</v>
      </c>
      <c r="E1685" s="14">
        <v>126051</v>
      </c>
      <c r="F1685" s="15">
        <v>152598</v>
      </c>
    </row>
    <row r="1686" spans="1:6" x14ac:dyDescent="0.3">
      <c r="A1686" s="7">
        <v>2017</v>
      </c>
      <c r="B1686" s="8" t="s">
        <v>56</v>
      </c>
      <c r="C1686" s="8" t="s">
        <v>7</v>
      </c>
      <c r="D1686" s="14">
        <v>2800</v>
      </c>
      <c r="E1686" s="14">
        <v>47894</v>
      </c>
      <c r="F1686" s="15">
        <v>92267</v>
      </c>
    </row>
    <row r="1687" spans="1:6" x14ac:dyDescent="0.3">
      <c r="A1687" s="7">
        <v>2017</v>
      </c>
      <c r="B1687" s="8" t="s">
        <v>56</v>
      </c>
      <c r="C1687" s="8" t="s">
        <v>8</v>
      </c>
      <c r="D1687" s="14">
        <v>71616</v>
      </c>
      <c r="E1687" s="14">
        <v>556510</v>
      </c>
      <c r="F1687" s="15">
        <v>72708</v>
      </c>
    </row>
    <row r="1688" spans="1:6" x14ac:dyDescent="0.3">
      <c r="A1688" s="7">
        <v>2017</v>
      </c>
      <c r="B1688" s="8" t="s">
        <v>56</v>
      </c>
      <c r="C1688" s="8" t="s">
        <v>9</v>
      </c>
      <c r="D1688" s="14">
        <v>25978</v>
      </c>
      <c r="E1688" s="14">
        <v>233995</v>
      </c>
      <c r="F1688" s="15">
        <v>81197</v>
      </c>
    </row>
    <row r="1689" spans="1:6" x14ac:dyDescent="0.3">
      <c r="A1689" s="7">
        <v>2017</v>
      </c>
      <c r="B1689" s="8" t="s">
        <v>56</v>
      </c>
      <c r="C1689" s="8" t="s">
        <v>10</v>
      </c>
      <c r="D1689" s="14">
        <v>5522</v>
      </c>
      <c r="E1689" s="14">
        <v>31064</v>
      </c>
      <c r="F1689" s="15">
        <v>53820</v>
      </c>
    </row>
    <row r="1690" spans="1:6" x14ac:dyDescent="0.3">
      <c r="A1690" s="7">
        <v>2017</v>
      </c>
      <c r="B1690" s="8" t="s">
        <v>56</v>
      </c>
      <c r="C1690" s="8" t="s">
        <v>11</v>
      </c>
      <c r="D1690" s="14">
        <v>32114</v>
      </c>
      <c r="E1690" s="14">
        <v>370517</v>
      </c>
      <c r="F1690" s="15">
        <v>104689</v>
      </c>
    </row>
    <row r="1691" spans="1:6" x14ac:dyDescent="0.3">
      <c r="A1691" s="7">
        <v>2017</v>
      </c>
      <c r="B1691" s="8" t="s">
        <v>56</v>
      </c>
      <c r="C1691" s="8" t="s">
        <v>12</v>
      </c>
      <c r="D1691" s="14">
        <v>16124</v>
      </c>
      <c r="E1691" s="14">
        <v>131758</v>
      </c>
      <c r="F1691" s="15">
        <v>62518</v>
      </c>
    </row>
    <row r="1692" spans="1:6" x14ac:dyDescent="0.3">
      <c r="A1692" s="7">
        <v>2017</v>
      </c>
      <c r="B1692" s="8" t="s">
        <v>56</v>
      </c>
      <c r="C1692" s="8" t="s">
        <v>13</v>
      </c>
      <c r="D1692" s="14">
        <v>9983</v>
      </c>
      <c r="E1692" s="14">
        <v>108983</v>
      </c>
      <c r="F1692" s="15">
        <v>71597</v>
      </c>
    </row>
    <row r="1693" spans="1:6" x14ac:dyDescent="0.3">
      <c r="A1693" s="7">
        <v>2017</v>
      </c>
      <c r="B1693" s="8" t="s">
        <v>56</v>
      </c>
      <c r="C1693" s="8" t="s">
        <v>14</v>
      </c>
      <c r="D1693" s="14">
        <v>8858</v>
      </c>
      <c r="E1693" s="14">
        <v>74321</v>
      </c>
      <c r="F1693" s="15">
        <v>65845</v>
      </c>
    </row>
    <row r="1694" spans="1:6" x14ac:dyDescent="0.3">
      <c r="A1694" s="7">
        <v>2017</v>
      </c>
      <c r="B1694" s="8" t="s">
        <v>56</v>
      </c>
      <c r="C1694" s="8" t="s">
        <v>15</v>
      </c>
      <c r="D1694" s="14">
        <v>10845</v>
      </c>
      <c r="E1694" s="14">
        <v>93126</v>
      </c>
      <c r="F1694" s="15">
        <v>64967</v>
      </c>
    </row>
    <row r="1695" spans="1:6" x14ac:dyDescent="0.3">
      <c r="A1695" s="7">
        <v>2017</v>
      </c>
      <c r="B1695" s="8" t="s">
        <v>56</v>
      </c>
      <c r="C1695" s="8" t="s">
        <v>16</v>
      </c>
      <c r="D1695" s="14">
        <v>13618</v>
      </c>
      <c r="E1695" s="14">
        <v>85771</v>
      </c>
      <c r="F1695" s="15">
        <v>59758</v>
      </c>
    </row>
    <row r="1696" spans="1:6" x14ac:dyDescent="0.3">
      <c r="A1696" s="7">
        <v>2017</v>
      </c>
      <c r="B1696" s="8" t="s">
        <v>56</v>
      </c>
      <c r="C1696" s="8" t="s">
        <v>17</v>
      </c>
      <c r="D1696" s="14">
        <v>3827</v>
      </c>
      <c r="E1696" s="14">
        <v>29417</v>
      </c>
      <c r="F1696" s="15">
        <v>65934</v>
      </c>
    </row>
    <row r="1697" spans="1:6" x14ac:dyDescent="0.3">
      <c r="A1697" s="7">
        <v>2017</v>
      </c>
      <c r="B1697" s="8" t="s">
        <v>56</v>
      </c>
      <c r="C1697" s="8" t="s">
        <v>18</v>
      </c>
      <c r="D1697" s="14">
        <v>15099</v>
      </c>
      <c r="E1697" s="14">
        <v>140287</v>
      </c>
      <c r="F1697" s="15">
        <v>90791</v>
      </c>
    </row>
    <row r="1698" spans="1:6" x14ac:dyDescent="0.3">
      <c r="A1698" s="7">
        <v>2017</v>
      </c>
      <c r="B1698" s="8" t="s">
        <v>56</v>
      </c>
      <c r="C1698" s="8" t="s">
        <v>19</v>
      </c>
      <c r="D1698" s="14">
        <v>17270</v>
      </c>
      <c r="E1698" s="14">
        <v>216567</v>
      </c>
      <c r="F1698" s="15">
        <v>136040</v>
      </c>
    </row>
    <row r="1699" spans="1:6" x14ac:dyDescent="0.3">
      <c r="A1699" s="7">
        <v>2017</v>
      </c>
      <c r="B1699" s="8" t="s">
        <v>56</v>
      </c>
      <c r="C1699" s="8" t="s">
        <v>20</v>
      </c>
      <c r="D1699" s="14">
        <v>18942</v>
      </c>
      <c r="E1699" s="14">
        <v>202358</v>
      </c>
      <c r="F1699" s="15">
        <v>69275</v>
      </c>
    </row>
    <row r="1700" spans="1:6" x14ac:dyDescent="0.3">
      <c r="A1700" s="7">
        <v>2017</v>
      </c>
      <c r="B1700" s="8" t="s">
        <v>56</v>
      </c>
      <c r="C1700" s="8" t="s">
        <v>21</v>
      </c>
      <c r="D1700" s="14">
        <v>15467</v>
      </c>
      <c r="E1700" s="14">
        <v>175945</v>
      </c>
      <c r="F1700" s="15">
        <v>91036</v>
      </c>
    </row>
    <row r="1701" spans="1:6" x14ac:dyDescent="0.3">
      <c r="A1701" s="7">
        <v>2017</v>
      </c>
      <c r="B1701" s="8" t="s">
        <v>56</v>
      </c>
      <c r="C1701" s="8" t="s">
        <v>22</v>
      </c>
      <c r="D1701" s="14">
        <v>7854</v>
      </c>
      <c r="E1701" s="14">
        <v>42981</v>
      </c>
      <c r="F1701" s="15">
        <v>51222</v>
      </c>
    </row>
    <row r="1702" spans="1:6" x14ac:dyDescent="0.3">
      <c r="A1702" s="7">
        <v>2017</v>
      </c>
      <c r="B1702" s="8" t="s">
        <v>56</v>
      </c>
      <c r="C1702" s="8" t="s">
        <v>23</v>
      </c>
      <c r="D1702" s="14">
        <v>17661</v>
      </c>
      <c r="E1702" s="14">
        <v>163353</v>
      </c>
      <c r="F1702" s="15">
        <v>68974</v>
      </c>
    </row>
    <row r="1703" spans="1:6" x14ac:dyDescent="0.3">
      <c r="A1703" s="7">
        <v>2017</v>
      </c>
      <c r="B1703" s="8" t="s">
        <v>56</v>
      </c>
      <c r="C1703" s="8" t="s">
        <v>24</v>
      </c>
      <c r="D1703" s="14">
        <v>4178</v>
      </c>
      <c r="E1703" s="14">
        <v>20935</v>
      </c>
      <c r="F1703" s="15">
        <v>56708</v>
      </c>
    </row>
    <row r="1704" spans="1:6" x14ac:dyDescent="0.3">
      <c r="A1704" s="7">
        <v>2017</v>
      </c>
      <c r="B1704" s="8" t="s">
        <v>56</v>
      </c>
      <c r="C1704" s="8" t="s">
        <v>25</v>
      </c>
      <c r="D1704" s="14">
        <v>6481</v>
      </c>
      <c r="E1704" s="14">
        <v>66237</v>
      </c>
      <c r="F1704" s="15">
        <v>63484</v>
      </c>
    </row>
    <row r="1705" spans="1:6" x14ac:dyDescent="0.3">
      <c r="A1705" s="7">
        <v>2017</v>
      </c>
      <c r="B1705" s="8" t="s">
        <v>56</v>
      </c>
      <c r="C1705" s="8" t="s">
        <v>26</v>
      </c>
      <c r="D1705" s="14">
        <v>8856</v>
      </c>
      <c r="E1705" s="14">
        <v>61375</v>
      </c>
      <c r="F1705" s="15">
        <v>63979</v>
      </c>
    </row>
    <row r="1706" spans="1:6" x14ac:dyDescent="0.3">
      <c r="A1706" s="7">
        <v>2017</v>
      </c>
      <c r="B1706" s="8" t="s">
        <v>56</v>
      </c>
      <c r="C1706" s="8" t="s">
        <v>27</v>
      </c>
      <c r="D1706" s="14">
        <v>3835</v>
      </c>
      <c r="E1706" s="14">
        <v>33894</v>
      </c>
      <c r="F1706" s="15">
        <v>91139</v>
      </c>
    </row>
    <row r="1707" spans="1:6" x14ac:dyDescent="0.3">
      <c r="A1707" s="7">
        <v>2017</v>
      </c>
      <c r="B1707" s="8" t="s">
        <v>56</v>
      </c>
      <c r="C1707" s="8" t="s">
        <v>28</v>
      </c>
      <c r="D1707" s="14">
        <v>19625</v>
      </c>
      <c r="E1707" s="14">
        <v>241026</v>
      </c>
      <c r="F1707" s="15">
        <v>111862</v>
      </c>
    </row>
    <row r="1708" spans="1:6" x14ac:dyDescent="0.3">
      <c r="A1708" s="7">
        <v>2017</v>
      </c>
      <c r="B1708" s="8" t="s">
        <v>56</v>
      </c>
      <c r="C1708" s="8" t="s">
        <v>29</v>
      </c>
      <c r="D1708" s="14">
        <v>5092</v>
      </c>
      <c r="E1708" s="14">
        <v>32604</v>
      </c>
      <c r="F1708" s="15">
        <v>53932</v>
      </c>
    </row>
    <row r="1709" spans="1:6" x14ac:dyDescent="0.3">
      <c r="A1709" s="7">
        <v>2017</v>
      </c>
      <c r="B1709" s="8" t="s">
        <v>56</v>
      </c>
      <c r="C1709" s="8" t="s">
        <v>30</v>
      </c>
      <c r="D1709" s="14">
        <v>65326</v>
      </c>
      <c r="E1709" s="14">
        <v>708995</v>
      </c>
      <c r="F1709" s="15">
        <v>189559</v>
      </c>
    </row>
    <row r="1710" spans="1:6" x14ac:dyDescent="0.3">
      <c r="A1710" s="7">
        <v>2017</v>
      </c>
      <c r="B1710" s="8" t="s">
        <v>56</v>
      </c>
      <c r="C1710" s="8" t="s">
        <v>31</v>
      </c>
      <c r="D1710" s="14">
        <v>27332</v>
      </c>
      <c r="E1710" s="14">
        <v>226679</v>
      </c>
      <c r="F1710" s="15">
        <v>82975</v>
      </c>
    </row>
    <row r="1711" spans="1:6" x14ac:dyDescent="0.3">
      <c r="A1711" s="7">
        <v>2017</v>
      </c>
      <c r="B1711" s="8" t="s">
        <v>56</v>
      </c>
      <c r="C1711" s="8" t="s">
        <v>32</v>
      </c>
      <c r="D1711" s="14">
        <v>2979</v>
      </c>
      <c r="E1711" s="14">
        <v>23135</v>
      </c>
      <c r="F1711" s="15">
        <v>60044</v>
      </c>
    </row>
    <row r="1712" spans="1:6" x14ac:dyDescent="0.3">
      <c r="A1712" s="7">
        <v>2017</v>
      </c>
      <c r="B1712" s="8" t="s">
        <v>56</v>
      </c>
      <c r="C1712" s="8" t="s">
        <v>33</v>
      </c>
      <c r="D1712" s="14">
        <v>28537</v>
      </c>
      <c r="E1712" s="14">
        <v>288615</v>
      </c>
      <c r="F1712" s="15">
        <v>69967</v>
      </c>
    </row>
    <row r="1713" spans="1:6" x14ac:dyDescent="0.3">
      <c r="A1713" s="7">
        <v>2017</v>
      </c>
      <c r="B1713" s="8" t="s">
        <v>56</v>
      </c>
      <c r="C1713" s="8" t="s">
        <v>34</v>
      </c>
      <c r="D1713" s="14">
        <v>11379</v>
      </c>
      <c r="E1713" s="14">
        <v>76757</v>
      </c>
      <c r="F1713" s="15">
        <v>56323</v>
      </c>
    </row>
    <row r="1714" spans="1:6" x14ac:dyDescent="0.3">
      <c r="A1714" s="7">
        <v>2017</v>
      </c>
      <c r="B1714" s="8" t="s">
        <v>56</v>
      </c>
      <c r="C1714" s="8" t="s">
        <v>35</v>
      </c>
      <c r="D1714" s="14">
        <v>12686</v>
      </c>
      <c r="E1714" s="14">
        <v>83715</v>
      </c>
      <c r="F1714" s="15">
        <v>67638</v>
      </c>
    </row>
    <row r="1715" spans="1:6" x14ac:dyDescent="0.3">
      <c r="A1715" s="7">
        <v>2017</v>
      </c>
      <c r="B1715" s="8" t="s">
        <v>56</v>
      </c>
      <c r="C1715" s="8" t="s">
        <v>36</v>
      </c>
      <c r="D1715" s="14">
        <v>28479</v>
      </c>
      <c r="E1715" s="14">
        <v>321121</v>
      </c>
      <c r="F1715" s="15">
        <v>85405</v>
      </c>
    </row>
    <row r="1716" spans="1:6" x14ac:dyDescent="0.3">
      <c r="A1716" s="7">
        <v>2017</v>
      </c>
      <c r="B1716" s="8" t="s">
        <v>56</v>
      </c>
      <c r="C1716" s="8" t="s">
        <v>37</v>
      </c>
      <c r="D1716" s="14">
        <v>2802</v>
      </c>
      <c r="E1716" s="14">
        <v>32758</v>
      </c>
      <c r="F1716" s="15">
        <v>89570</v>
      </c>
    </row>
    <row r="1717" spans="1:6" x14ac:dyDescent="0.3">
      <c r="A1717" s="7">
        <v>2017</v>
      </c>
      <c r="B1717" s="8" t="s">
        <v>56</v>
      </c>
      <c r="C1717" s="8" t="s">
        <v>38</v>
      </c>
      <c r="D1717" s="14">
        <v>12653</v>
      </c>
      <c r="E1717" s="14">
        <v>98790</v>
      </c>
      <c r="F1717" s="15">
        <v>59859</v>
      </c>
    </row>
    <row r="1718" spans="1:6" x14ac:dyDescent="0.3">
      <c r="A1718" s="7">
        <v>2017</v>
      </c>
      <c r="B1718" s="8" t="s">
        <v>56</v>
      </c>
      <c r="C1718" s="8" t="s">
        <v>39</v>
      </c>
      <c r="D1718" s="14">
        <v>3221</v>
      </c>
      <c r="E1718" s="14">
        <v>28761</v>
      </c>
      <c r="F1718" s="15">
        <v>57506</v>
      </c>
    </row>
    <row r="1719" spans="1:6" x14ac:dyDescent="0.3">
      <c r="A1719" s="7">
        <v>2017</v>
      </c>
      <c r="B1719" s="8" t="s">
        <v>56</v>
      </c>
      <c r="C1719" s="8" t="s">
        <v>40</v>
      </c>
      <c r="D1719" s="14">
        <v>15531</v>
      </c>
      <c r="E1719" s="14">
        <v>148433</v>
      </c>
      <c r="F1719" s="15">
        <v>71601</v>
      </c>
    </row>
    <row r="1720" spans="1:6" x14ac:dyDescent="0.3">
      <c r="A1720" s="7">
        <v>2017</v>
      </c>
      <c r="B1720" s="8" t="s">
        <v>56</v>
      </c>
      <c r="C1720" s="8" t="s">
        <v>41</v>
      </c>
      <c r="D1720" s="14">
        <v>71279</v>
      </c>
      <c r="E1720" s="14">
        <v>740328</v>
      </c>
      <c r="F1720" s="15">
        <v>80242</v>
      </c>
    </row>
    <row r="1721" spans="1:6" x14ac:dyDescent="0.3">
      <c r="A1721" s="7">
        <v>2017</v>
      </c>
      <c r="B1721" s="8" t="s">
        <v>56</v>
      </c>
      <c r="C1721" s="8" t="s">
        <v>42</v>
      </c>
      <c r="D1721" s="14">
        <v>11066</v>
      </c>
      <c r="E1721" s="14">
        <v>84072</v>
      </c>
      <c r="F1721" s="15">
        <v>64760</v>
      </c>
    </row>
    <row r="1722" spans="1:6" x14ac:dyDescent="0.3">
      <c r="A1722" s="7">
        <v>2017</v>
      </c>
      <c r="B1722" s="8" t="s">
        <v>56</v>
      </c>
      <c r="C1722" s="8" t="s">
        <v>43</v>
      </c>
      <c r="D1722" s="14">
        <v>1700</v>
      </c>
      <c r="E1722" s="14">
        <v>11731</v>
      </c>
      <c r="F1722" s="15">
        <v>70768</v>
      </c>
    </row>
    <row r="1723" spans="1:6" x14ac:dyDescent="0.3">
      <c r="A1723" s="7">
        <v>2017</v>
      </c>
      <c r="B1723" s="8" t="s">
        <v>56</v>
      </c>
      <c r="C1723" s="8" t="s">
        <v>44</v>
      </c>
      <c r="D1723" s="14">
        <v>21609</v>
      </c>
      <c r="E1723" s="14">
        <v>192079</v>
      </c>
      <c r="F1723" s="15">
        <v>82201</v>
      </c>
    </row>
    <row r="1724" spans="1:6" x14ac:dyDescent="0.3">
      <c r="A1724" s="7">
        <v>2017</v>
      </c>
      <c r="B1724" s="8" t="s">
        <v>56</v>
      </c>
      <c r="C1724" s="8" t="s">
        <v>45</v>
      </c>
      <c r="D1724" s="14">
        <v>17184</v>
      </c>
      <c r="E1724" s="14">
        <v>144458</v>
      </c>
      <c r="F1724" s="15">
        <v>76957</v>
      </c>
    </row>
    <row r="1725" spans="1:6" x14ac:dyDescent="0.3">
      <c r="A1725" s="7">
        <v>2017</v>
      </c>
      <c r="B1725" s="8" t="s">
        <v>56</v>
      </c>
      <c r="C1725" s="8" t="s">
        <v>46</v>
      </c>
      <c r="D1725" s="14">
        <v>3992</v>
      </c>
      <c r="E1725" s="14">
        <v>24123</v>
      </c>
      <c r="F1725" s="15">
        <v>50354</v>
      </c>
    </row>
    <row r="1726" spans="1:6" x14ac:dyDescent="0.3">
      <c r="A1726" s="7">
        <v>2017</v>
      </c>
      <c r="B1726" s="8" t="s">
        <v>56</v>
      </c>
      <c r="C1726" s="8" t="s">
        <v>47</v>
      </c>
      <c r="D1726" s="14">
        <v>13244</v>
      </c>
      <c r="E1726" s="14">
        <v>148873</v>
      </c>
      <c r="F1726" s="15">
        <v>68759</v>
      </c>
    </row>
    <row r="1727" spans="1:6" x14ac:dyDescent="0.3">
      <c r="A1727" s="7">
        <v>2017</v>
      </c>
      <c r="B1727" s="8" t="s">
        <v>56</v>
      </c>
      <c r="C1727" s="8" t="s">
        <v>48</v>
      </c>
      <c r="D1727" s="14">
        <v>2248</v>
      </c>
      <c r="E1727" s="14">
        <v>10938</v>
      </c>
      <c r="F1727" s="15">
        <v>54692</v>
      </c>
    </row>
    <row r="1728" spans="1:6" x14ac:dyDescent="0.3">
      <c r="A1728" s="7">
        <v>2017</v>
      </c>
      <c r="B1728" s="8" t="s">
        <v>57</v>
      </c>
      <c r="C1728" s="8" t="s">
        <v>1</v>
      </c>
      <c r="D1728" s="14">
        <v>21426</v>
      </c>
      <c r="E1728" s="14">
        <v>239356</v>
      </c>
      <c r="F1728" s="15">
        <v>53774</v>
      </c>
    </row>
    <row r="1729" spans="1:6" x14ac:dyDescent="0.3">
      <c r="A1729" s="7">
        <v>2017</v>
      </c>
      <c r="B1729" s="8" t="s">
        <v>57</v>
      </c>
      <c r="C1729" s="8" t="s">
        <v>2</v>
      </c>
      <c r="D1729" s="14">
        <v>31059</v>
      </c>
      <c r="E1729" s="14">
        <v>417456</v>
      </c>
      <c r="F1729" s="15">
        <v>55334</v>
      </c>
    </row>
    <row r="1730" spans="1:6" x14ac:dyDescent="0.3">
      <c r="A1730" s="7">
        <v>2017</v>
      </c>
      <c r="B1730" s="8" t="s">
        <v>57</v>
      </c>
      <c r="C1730" s="8" t="s">
        <v>3</v>
      </c>
      <c r="D1730" s="14">
        <v>13845</v>
      </c>
      <c r="E1730" s="14">
        <v>144215</v>
      </c>
      <c r="F1730" s="15">
        <v>59263</v>
      </c>
    </row>
    <row r="1731" spans="1:6" x14ac:dyDescent="0.3">
      <c r="A1731" s="7">
        <v>2017</v>
      </c>
      <c r="B1731" s="8" t="s">
        <v>57</v>
      </c>
      <c r="C1731" s="8" t="s">
        <v>4</v>
      </c>
      <c r="D1731" s="14">
        <v>188712</v>
      </c>
      <c r="E1731" s="14">
        <v>2551444</v>
      </c>
      <c r="F1731" s="15">
        <v>86955</v>
      </c>
    </row>
    <row r="1732" spans="1:6" x14ac:dyDescent="0.3">
      <c r="A1732" s="7">
        <v>2017</v>
      </c>
      <c r="B1732" s="8" t="s">
        <v>57</v>
      </c>
      <c r="C1732" s="8" t="s">
        <v>5</v>
      </c>
      <c r="D1732" s="14">
        <v>50576</v>
      </c>
      <c r="E1732" s="14">
        <v>412889</v>
      </c>
      <c r="F1732" s="15">
        <v>78698</v>
      </c>
    </row>
    <row r="1733" spans="1:6" x14ac:dyDescent="0.3">
      <c r="A1733" s="7">
        <v>2017</v>
      </c>
      <c r="B1733" s="8" t="s">
        <v>57</v>
      </c>
      <c r="C1733" s="8" t="s">
        <v>6</v>
      </c>
      <c r="D1733" s="14">
        <v>22807</v>
      </c>
      <c r="E1733" s="14">
        <v>218450</v>
      </c>
      <c r="F1733" s="15">
        <v>87307</v>
      </c>
    </row>
    <row r="1734" spans="1:6" x14ac:dyDescent="0.3">
      <c r="A1734" s="7">
        <v>2017</v>
      </c>
      <c r="B1734" s="8" t="s">
        <v>57</v>
      </c>
      <c r="C1734" s="8" t="s">
        <v>7</v>
      </c>
      <c r="D1734" s="14">
        <v>8644</v>
      </c>
      <c r="E1734" s="14">
        <v>61956</v>
      </c>
      <c r="F1734" s="15">
        <v>80600</v>
      </c>
    </row>
    <row r="1735" spans="1:6" x14ac:dyDescent="0.3">
      <c r="A1735" s="7">
        <v>2017</v>
      </c>
      <c r="B1735" s="8" t="s">
        <v>57</v>
      </c>
      <c r="C1735" s="8" t="s">
        <v>8</v>
      </c>
      <c r="D1735" s="14">
        <v>156978</v>
      </c>
      <c r="E1735" s="14">
        <v>1322562</v>
      </c>
      <c r="F1735" s="15">
        <v>58653</v>
      </c>
    </row>
    <row r="1736" spans="1:6" x14ac:dyDescent="0.3">
      <c r="A1736" s="7">
        <v>2017</v>
      </c>
      <c r="B1736" s="8" t="s">
        <v>57</v>
      </c>
      <c r="C1736" s="8" t="s">
        <v>9</v>
      </c>
      <c r="D1736" s="14">
        <v>54102</v>
      </c>
      <c r="E1736" s="14">
        <v>668820</v>
      </c>
      <c r="F1736" s="15">
        <v>64724</v>
      </c>
    </row>
    <row r="1737" spans="1:6" x14ac:dyDescent="0.3">
      <c r="A1737" s="7">
        <v>2017</v>
      </c>
      <c r="B1737" s="8" t="s">
        <v>57</v>
      </c>
      <c r="C1737" s="8" t="s">
        <v>10</v>
      </c>
      <c r="D1737" s="14">
        <v>11075</v>
      </c>
      <c r="E1737" s="14">
        <v>88110</v>
      </c>
      <c r="F1737" s="15">
        <v>48653</v>
      </c>
    </row>
    <row r="1738" spans="1:6" x14ac:dyDescent="0.3">
      <c r="A1738" s="7">
        <v>2017</v>
      </c>
      <c r="B1738" s="8" t="s">
        <v>57</v>
      </c>
      <c r="C1738" s="8" t="s">
        <v>11</v>
      </c>
      <c r="D1738" s="14">
        <v>73447</v>
      </c>
      <c r="E1738" s="14">
        <v>942202</v>
      </c>
      <c r="F1738" s="15">
        <v>73829</v>
      </c>
    </row>
    <row r="1739" spans="1:6" x14ac:dyDescent="0.3">
      <c r="A1739" s="7">
        <v>2017</v>
      </c>
      <c r="B1739" s="8" t="s">
        <v>57</v>
      </c>
      <c r="C1739" s="8" t="s">
        <v>12</v>
      </c>
      <c r="D1739" s="14">
        <v>29045</v>
      </c>
      <c r="E1739" s="14">
        <v>336985</v>
      </c>
      <c r="F1739" s="15">
        <v>50796</v>
      </c>
    </row>
    <row r="1740" spans="1:6" x14ac:dyDescent="0.3">
      <c r="A1740" s="7">
        <v>2017</v>
      </c>
      <c r="B1740" s="8" t="s">
        <v>57</v>
      </c>
      <c r="C1740" s="8" t="s">
        <v>13</v>
      </c>
      <c r="D1740" s="14">
        <v>15401</v>
      </c>
      <c r="E1740" s="14">
        <v>139096</v>
      </c>
      <c r="F1740" s="15">
        <v>52293</v>
      </c>
    </row>
    <row r="1741" spans="1:6" x14ac:dyDescent="0.3">
      <c r="A1741" s="7">
        <v>2017</v>
      </c>
      <c r="B1741" s="8" t="s">
        <v>57</v>
      </c>
      <c r="C1741" s="8" t="s">
        <v>14</v>
      </c>
      <c r="D1741" s="14">
        <v>16569</v>
      </c>
      <c r="E1741" s="14">
        <v>177353</v>
      </c>
      <c r="F1741" s="15">
        <v>59048</v>
      </c>
    </row>
    <row r="1742" spans="1:6" x14ac:dyDescent="0.3">
      <c r="A1742" s="7">
        <v>2017</v>
      </c>
      <c r="B1742" s="8" t="s">
        <v>57</v>
      </c>
      <c r="C1742" s="8" t="s">
        <v>15</v>
      </c>
      <c r="D1742" s="14">
        <v>20206</v>
      </c>
      <c r="E1742" s="14">
        <v>214141</v>
      </c>
      <c r="F1742" s="15">
        <v>48829</v>
      </c>
    </row>
    <row r="1743" spans="1:6" x14ac:dyDescent="0.3">
      <c r="A1743" s="7">
        <v>2017</v>
      </c>
      <c r="B1743" s="8" t="s">
        <v>57</v>
      </c>
      <c r="C1743" s="8" t="s">
        <v>16</v>
      </c>
      <c r="D1743" s="14">
        <v>24001</v>
      </c>
      <c r="E1743" s="14">
        <v>209874</v>
      </c>
      <c r="F1743" s="15">
        <v>55218</v>
      </c>
    </row>
    <row r="1744" spans="1:6" x14ac:dyDescent="0.3">
      <c r="A1744" s="7">
        <v>2017</v>
      </c>
      <c r="B1744" s="8" t="s">
        <v>57</v>
      </c>
      <c r="C1744" s="8" t="s">
        <v>17</v>
      </c>
      <c r="D1744" s="14">
        <v>9912</v>
      </c>
      <c r="E1744" s="14">
        <v>66736</v>
      </c>
      <c r="F1744" s="15">
        <v>55405</v>
      </c>
    </row>
    <row r="1745" spans="1:6" x14ac:dyDescent="0.3">
      <c r="A1745" s="7">
        <v>2017</v>
      </c>
      <c r="B1745" s="8" t="s">
        <v>57</v>
      </c>
      <c r="C1745" s="8" t="s">
        <v>18</v>
      </c>
      <c r="D1745" s="14">
        <v>42175</v>
      </c>
      <c r="E1745" s="14">
        <v>443764</v>
      </c>
      <c r="F1745" s="15">
        <v>77259</v>
      </c>
    </row>
    <row r="1746" spans="1:6" x14ac:dyDescent="0.3">
      <c r="A1746" s="7">
        <v>2017</v>
      </c>
      <c r="B1746" s="8" t="s">
        <v>57</v>
      </c>
      <c r="C1746" s="8" t="s">
        <v>19</v>
      </c>
      <c r="D1746" s="14">
        <v>47186</v>
      </c>
      <c r="E1746" s="14">
        <v>566190</v>
      </c>
      <c r="F1746" s="15">
        <v>102580</v>
      </c>
    </row>
    <row r="1747" spans="1:6" x14ac:dyDescent="0.3">
      <c r="A1747" s="7">
        <v>2017</v>
      </c>
      <c r="B1747" s="8" t="s">
        <v>57</v>
      </c>
      <c r="C1747" s="8" t="s">
        <v>20</v>
      </c>
      <c r="D1747" s="14">
        <v>42271</v>
      </c>
      <c r="E1747" s="14">
        <v>645279</v>
      </c>
      <c r="F1747" s="15">
        <v>68677</v>
      </c>
    </row>
    <row r="1748" spans="1:6" x14ac:dyDescent="0.3">
      <c r="A1748" s="7">
        <v>2017</v>
      </c>
      <c r="B1748" s="8" t="s">
        <v>57</v>
      </c>
      <c r="C1748" s="8" t="s">
        <v>21</v>
      </c>
      <c r="D1748" s="14">
        <v>29916</v>
      </c>
      <c r="E1748" s="14">
        <v>373603</v>
      </c>
      <c r="F1748" s="15">
        <v>80794</v>
      </c>
    </row>
    <row r="1749" spans="1:6" x14ac:dyDescent="0.3">
      <c r="A1749" s="7">
        <v>2017</v>
      </c>
      <c r="B1749" s="8" t="s">
        <v>57</v>
      </c>
      <c r="C1749" s="8" t="s">
        <v>22</v>
      </c>
      <c r="D1749" s="14">
        <v>11953</v>
      </c>
      <c r="E1749" s="14">
        <v>107737</v>
      </c>
      <c r="F1749" s="15">
        <v>41461</v>
      </c>
    </row>
    <row r="1750" spans="1:6" x14ac:dyDescent="0.3">
      <c r="A1750" s="7">
        <v>2017</v>
      </c>
      <c r="B1750" s="8" t="s">
        <v>57</v>
      </c>
      <c r="C1750" s="8" t="s">
        <v>23</v>
      </c>
      <c r="D1750" s="14">
        <v>33699</v>
      </c>
      <c r="E1750" s="14">
        <v>381525</v>
      </c>
      <c r="F1750" s="15">
        <v>63932</v>
      </c>
    </row>
    <row r="1751" spans="1:6" x14ac:dyDescent="0.3">
      <c r="A1751" s="7">
        <v>2017</v>
      </c>
      <c r="B1751" s="8" t="s">
        <v>57</v>
      </c>
      <c r="C1751" s="8" t="s">
        <v>24</v>
      </c>
      <c r="D1751" s="14">
        <v>8994</v>
      </c>
      <c r="E1751" s="14">
        <v>41010</v>
      </c>
      <c r="F1751" s="15">
        <v>50921</v>
      </c>
    </row>
    <row r="1752" spans="1:6" x14ac:dyDescent="0.3">
      <c r="A1752" s="7">
        <v>2017</v>
      </c>
      <c r="B1752" s="8" t="s">
        <v>57</v>
      </c>
      <c r="C1752" s="8" t="s">
        <v>25</v>
      </c>
      <c r="D1752" s="14">
        <v>11395</v>
      </c>
      <c r="E1752" s="14">
        <v>117542</v>
      </c>
      <c r="F1752" s="15">
        <v>59204</v>
      </c>
    </row>
    <row r="1753" spans="1:6" x14ac:dyDescent="0.3">
      <c r="A1753" s="7">
        <v>2017</v>
      </c>
      <c r="B1753" s="8" t="s">
        <v>57</v>
      </c>
      <c r="C1753" s="8" t="s">
        <v>26</v>
      </c>
      <c r="D1753" s="14">
        <v>19521</v>
      </c>
      <c r="E1753" s="14">
        <v>181485</v>
      </c>
      <c r="F1753" s="15">
        <v>58283</v>
      </c>
    </row>
    <row r="1754" spans="1:6" x14ac:dyDescent="0.3">
      <c r="A1754" s="7">
        <v>2017</v>
      </c>
      <c r="B1754" s="8" t="s">
        <v>57</v>
      </c>
      <c r="C1754" s="8" t="s">
        <v>27</v>
      </c>
      <c r="D1754" s="14">
        <v>11938</v>
      </c>
      <c r="E1754" s="14">
        <v>81761</v>
      </c>
      <c r="F1754" s="15">
        <v>75584</v>
      </c>
    </row>
    <row r="1755" spans="1:6" x14ac:dyDescent="0.3">
      <c r="A1755" s="7">
        <v>2017</v>
      </c>
      <c r="B1755" s="8" t="s">
        <v>57</v>
      </c>
      <c r="C1755" s="8" t="s">
        <v>28</v>
      </c>
      <c r="D1755" s="14">
        <v>50907</v>
      </c>
      <c r="E1755" s="14">
        <v>663584</v>
      </c>
      <c r="F1755" s="15">
        <v>88404</v>
      </c>
    </row>
    <row r="1756" spans="1:6" x14ac:dyDescent="0.3">
      <c r="A1756" s="7">
        <v>2017</v>
      </c>
      <c r="B1756" s="8" t="s">
        <v>57</v>
      </c>
      <c r="C1756" s="8" t="s">
        <v>29</v>
      </c>
      <c r="D1756" s="14">
        <v>10062</v>
      </c>
      <c r="E1756" s="14">
        <v>104434</v>
      </c>
      <c r="F1756" s="15">
        <v>60086</v>
      </c>
    </row>
    <row r="1757" spans="1:6" x14ac:dyDescent="0.3">
      <c r="A1757" s="7">
        <v>2017</v>
      </c>
      <c r="B1757" s="8" t="s">
        <v>57</v>
      </c>
      <c r="C1757" s="8" t="s">
        <v>30</v>
      </c>
      <c r="D1757" s="14">
        <v>111646</v>
      </c>
      <c r="E1757" s="14">
        <v>1314408</v>
      </c>
      <c r="F1757" s="15">
        <v>92549</v>
      </c>
    </row>
    <row r="1758" spans="1:6" x14ac:dyDescent="0.3">
      <c r="A1758" s="7">
        <v>2017</v>
      </c>
      <c r="B1758" s="8" t="s">
        <v>57</v>
      </c>
      <c r="C1758" s="8" t="s">
        <v>31</v>
      </c>
      <c r="D1758" s="14">
        <v>57179</v>
      </c>
      <c r="E1758" s="14">
        <v>616193</v>
      </c>
      <c r="F1758" s="15">
        <v>62617</v>
      </c>
    </row>
    <row r="1759" spans="1:6" x14ac:dyDescent="0.3">
      <c r="A1759" s="7">
        <v>2017</v>
      </c>
      <c r="B1759" s="8" t="s">
        <v>57</v>
      </c>
      <c r="C1759" s="8" t="s">
        <v>32</v>
      </c>
      <c r="D1759" s="14">
        <v>4917</v>
      </c>
      <c r="E1759" s="14">
        <v>34300</v>
      </c>
      <c r="F1759" s="15">
        <v>59438</v>
      </c>
    </row>
    <row r="1760" spans="1:6" x14ac:dyDescent="0.3">
      <c r="A1760" s="7">
        <v>2017</v>
      </c>
      <c r="B1760" s="8" t="s">
        <v>57</v>
      </c>
      <c r="C1760" s="8" t="s">
        <v>33</v>
      </c>
      <c r="D1760" s="14">
        <v>52650</v>
      </c>
      <c r="E1760" s="14">
        <v>724748</v>
      </c>
      <c r="F1760" s="15">
        <v>62445</v>
      </c>
    </row>
    <row r="1761" spans="1:6" x14ac:dyDescent="0.3">
      <c r="A1761" s="7">
        <v>2017</v>
      </c>
      <c r="B1761" s="8" t="s">
        <v>57</v>
      </c>
      <c r="C1761" s="8" t="s">
        <v>34</v>
      </c>
      <c r="D1761" s="14">
        <v>20434</v>
      </c>
      <c r="E1761" s="14">
        <v>185534</v>
      </c>
      <c r="F1761" s="15">
        <v>50640</v>
      </c>
    </row>
    <row r="1762" spans="1:6" x14ac:dyDescent="0.3">
      <c r="A1762" s="7">
        <v>2017</v>
      </c>
      <c r="B1762" s="8" t="s">
        <v>57</v>
      </c>
      <c r="C1762" s="8" t="s">
        <v>35</v>
      </c>
      <c r="D1762" s="14">
        <v>24942</v>
      </c>
      <c r="E1762" s="14">
        <v>242708</v>
      </c>
      <c r="F1762" s="15">
        <v>67873</v>
      </c>
    </row>
    <row r="1763" spans="1:6" x14ac:dyDescent="0.3">
      <c r="A1763" s="7">
        <v>2017</v>
      </c>
      <c r="B1763" s="8" t="s">
        <v>57</v>
      </c>
      <c r="C1763" s="8" t="s">
        <v>36</v>
      </c>
      <c r="D1763" s="14">
        <v>61779</v>
      </c>
      <c r="E1763" s="14">
        <v>799939</v>
      </c>
      <c r="F1763" s="15">
        <v>76029</v>
      </c>
    </row>
    <row r="1764" spans="1:6" x14ac:dyDescent="0.3">
      <c r="A1764" s="7">
        <v>2017</v>
      </c>
      <c r="B1764" s="8" t="s">
        <v>57</v>
      </c>
      <c r="C1764" s="8" t="s">
        <v>37</v>
      </c>
      <c r="D1764" s="14">
        <v>8350</v>
      </c>
      <c r="E1764" s="14">
        <v>67366</v>
      </c>
      <c r="F1764" s="15">
        <v>67763</v>
      </c>
    </row>
    <row r="1765" spans="1:6" x14ac:dyDescent="0.3">
      <c r="A1765" s="7">
        <v>2017</v>
      </c>
      <c r="B1765" s="8" t="s">
        <v>57</v>
      </c>
      <c r="C1765" s="8" t="s">
        <v>38</v>
      </c>
      <c r="D1765" s="14">
        <v>25902</v>
      </c>
      <c r="E1765" s="14">
        <v>280711</v>
      </c>
      <c r="F1765" s="15">
        <v>49505</v>
      </c>
    </row>
    <row r="1766" spans="1:6" x14ac:dyDescent="0.3">
      <c r="A1766" s="7">
        <v>2017</v>
      </c>
      <c r="B1766" s="8" t="s">
        <v>57</v>
      </c>
      <c r="C1766" s="8" t="s">
        <v>39</v>
      </c>
      <c r="D1766" s="14">
        <v>5030</v>
      </c>
      <c r="E1766" s="14">
        <v>31264</v>
      </c>
      <c r="F1766" s="15">
        <v>55293</v>
      </c>
    </row>
    <row r="1767" spans="1:6" x14ac:dyDescent="0.3">
      <c r="A1767" s="7">
        <v>2017</v>
      </c>
      <c r="B1767" s="8" t="s">
        <v>57</v>
      </c>
      <c r="C1767" s="8" t="s">
        <v>40</v>
      </c>
      <c r="D1767" s="14">
        <v>28315</v>
      </c>
      <c r="E1767" s="14">
        <v>407133</v>
      </c>
      <c r="F1767" s="15">
        <v>56172</v>
      </c>
    </row>
    <row r="1768" spans="1:6" x14ac:dyDescent="0.3">
      <c r="A1768" s="7">
        <v>2017</v>
      </c>
      <c r="B1768" s="8" t="s">
        <v>57</v>
      </c>
      <c r="C1768" s="8" t="s">
        <v>41</v>
      </c>
      <c r="D1768" s="14">
        <v>129242</v>
      </c>
      <c r="E1768" s="14">
        <v>1666865</v>
      </c>
      <c r="F1768" s="15">
        <v>71507</v>
      </c>
    </row>
    <row r="1769" spans="1:6" x14ac:dyDescent="0.3">
      <c r="A1769" s="7">
        <v>2017</v>
      </c>
      <c r="B1769" s="8" t="s">
        <v>57</v>
      </c>
      <c r="C1769" s="8" t="s">
        <v>42</v>
      </c>
      <c r="D1769" s="14">
        <v>21911</v>
      </c>
      <c r="E1769" s="14">
        <v>205052</v>
      </c>
      <c r="F1769" s="15">
        <v>56815</v>
      </c>
    </row>
    <row r="1770" spans="1:6" x14ac:dyDescent="0.3">
      <c r="A1770" s="7">
        <v>2017</v>
      </c>
      <c r="B1770" s="8" t="s">
        <v>57</v>
      </c>
      <c r="C1770" s="8" t="s">
        <v>43</v>
      </c>
      <c r="D1770" s="14">
        <v>5488</v>
      </c>
      <c r="E1770" s="14">
        <v>28484</v>
      </c>
      <c r="F1770" s="15">
        <v>63457</v>
      </c>
    </row>
    <row r="1771" spans="1:6" x14ac:dyDescent="0.3">
      <c r="A1771" s="7">
        <v>2017</v>
      </c>
      <c r="B1771" s="8" t="s">
        <v>57</v>
      </c>
      <c r="C1771" s="8" t="s">
        <v>44</v>
      </c>
      <c r="D1771" s="14">
        <v>57146</v>
      </c>
      <c r="E1771" s="14">
        <v>725936</v>
      </c>
      <c r="F1771" s="15">
        <v>84971</v>
      </c>
    </row>
    <row r="1772" spans="1:6" x14ac:dyDescent="0.3">
      <c r="A1772" s="7">
        <v>2017</v>
      </c>
      <c r="B1772" s="8" t="s">
        <v>57</v>
      </c>
      <c r="C1772" s="8" t="s">
        <v>45</v>
      </c>
      <c r="D1772" s="14">
        <v>39177</v>
      </c>
      <c r="E1772" s="14">
        <v>404782</v>
      </c>
      <c r="F1772" s="15">
        <v>76348</v>
      </c>
    </row>
    <row r="1773" spans="1:6" x14ac:dyDescent="0.3">
      <c r="A1773" s="7">
        <v>2017</v>
      </c>
      <c r="B1773" s="8" t="s">
        <v>57</v>
      </c>
      <c r="C1773" s="8" t="s">
        <v>46</v>
      </c>
      <c r="D1773" s="14">
        <v>8077</v>
      </c>
      <c r="E1773" s="14">
        <v>66420</v>
      </c>
      <c r="F1773" s="15">
        <v>48213</v>
      </c>
    </row>
    <row r="1774" spans="1:6" x14ac:dyDescent="0.3">
      <c r="A1774" s="7">
        <v>2017</v>
      </c>
      <c r="B1774" s="8" t="s">
        <v>57</v>
      </c>
      <c r="C1774" s="8" t="s">
        <v>47</v>
      </c>
      <c r="D1774" s="14">
        <v>23769</v>
      </c>
      <c r="E1774" s="14">
        <v>324012</v>
      </c>
      <c r="F1774" s="15">
        <v>57868</v>
      </c>
    </row>
    <row r="1775" spans="1:6" x14ac:dyDescent="0.3">
      <c r="A1775" s="7">
        <v>2017</v>
      </c>
      <c r="B1775" s="8" t="s">
        <v>57</v>
      </c>
      <c r="C1775" s="8" t="s">
        <v>48</v>
      </c>
      <c r="D1775" s="14">
        <v>4417</v>
      </c>
      <c r="E1775" s="14">
        <v>18050</v>
      </c>
      <c r="F1775" s="15">
        <v>50226</v>
      </c>
    </row>
    <row r="1776" spans="1:6" x14ac:dyDescent="0.3">
      <c r="A1776" s="7">
        <v>2017</v>
      </c>
      <c r="B1776" s="8" t="s">
        <v>58</v>
      </c>
      <c r="C1776" s="8" t="s">
        <v>1</v>
      </c>
      <c r="D1776" s="14">
        <v>12429</v>
      </c>
      <c r="E1776" s="14">
        <v>229821</v>
      </c>
      <c r="F1776" s="15">
        <v>45641</v>
      </c>
    </row>
    <row r="1777" spans="1:6" x14ac:dyDescent="0.3">
      <c r="A1777" s="7">
        <v>2017</v>
      </c>
      <c r="B1777" s="8" t="s">
        <v>58</v>
      </c>
      <c r="C1777" s="8" t="s">
        <v>2</v>
      </c>
      <c r="D1777" s="14">
        <v>16509</v>
      </c>
      <c r="E1777" s="14">
        <v>420129</v>
      </c>
      <c r="F1777" s="15">
        <v>50240</v>
      </c>
    </row>
    <row r="1778" spans="1:6" x14ac:dyDescent="0.3">
      <c r="A1778" s="7">
        <v>2017</v>
      </c>
      <c r="B1778" s="8" t="s">
        <v>58</v>
      </c>
      <c r="C1778" s="8" t="s">
        <v>3</v>
      </c>
      <c r="D1778" s="14">
        <v>15762</v>
      </c>
      <c r="E1778" s="14">
        <v>183433</v>
      </c>
      <c r="F1778" s="15">
        <v>41521</v>
      </c>
    </row>
    <row r="1779" spans="1:6" x14ac:dyDescent="0.3">
      <c r="A1779" s="7">
        <v>2017</v>
      </c>
      <c r="B1779" s="8" t="s">
        <v>58</v>
      </c>
      <c r="C1779" s="8" t="s">
        <v>4</v>
      </c>
      <c r="D1779" s="14">
        <v>593987</v>
      </c>
      <c r="E1779" s="14">
        <v>2560907</v>
      </c>
      <c r="F1779" s="15">
        <v>50766</v>
      </c>
    </row>
    <row r="1780" spans="1:6" x14ac:dyDescent="0.3">
      <c r="A1780" s="7">
        <v>2017</v>
      </c>
      <c r="B1780" s="8" t="s">
        <v>58</v>
      </c>
      <c r="C1780" s="8" t="s">
        <v>5</v>
      </c>
      <c r="D1780" s="14">
        <v>21356</v>
      </c>
      <c r="E1780" s="14">
        <v>328843</v>
      </c>
      <c r="F1780" s="15">
        <v>48754</v>
      </c>
    </row>
    <row r="1781" spans="1:6" x14ac:dyDescent="0.3">
      <c r="A1781" s="7">
        <v>2017</v>
      </c>
      <c r="B1781" s="8" t="s">
        <v>58</v>
      </c>
      <c r="C1781" s="8" t="s">
        <v>6</v>
      </c>
      <c r="D1781" s="14">
        <v>12701</v>
      </c>
      <c r="E1781" s="14">
        <v>325348</v>
      </c>
      <c r="F1781" s="15">
        <v>53993</v>
      </c>
    </row>
    <row r="1782" spans="1:6" x14ac:dyDescent="0.3">
      <c r="A1782" s="7">
        <v>2017</v>
      </c>
      <c r="B1782" s="8" t="s">
        <v>58</v>
      </c>
      <c r="C1782" s="8" t="s">
        <v>7</v>
      </c>
      <c r="D1782" s="14">
        <v>4626</v>
      </c>
      <c r="E1782" s="14">
        <v>73879</v>
      </c>
      <c r="F1782" s="15">
        <v>53083</v>
      </c>
    </row>
    <row r="1783" spans="1:6" x14ac:dyDescent="0.3">
      <c r="A1783" s="7">
        <v>2017</v>
      </c>
      <c r="B1783" s="8" t="s">
        <v>58</v>
      </c>
      <c r="C1783" s="8" t="s">
        <v>8</v>
      </c>
      <c r="D1783" s="14">
        <v>71929</v>
      </c>
      <c r="E1783" s="14">
        <v>1258710</v>
      </c>
      <c r="F1783" s="15">
        <v>49450</v>
      </c>
    </row>
    <row r="1784" spans="1:6" x14ac:dyDescent="0.3">
      <c r="A1784" s="7">
        <v>2017</v>
      </c>
      <c r="B1784" s="8" t="s">
        <v>58</v>
      </c>
      <c r="C1784" s="8" t="s">
        <v>9</v>
      </c>
      <c r="D1784" s="14">
        <v>28426</v>
      </c>
      <c r="E1784" s="14">
        <v>546707</v>
      </c>
      <c r="F1784" s="15">
        <v>50819</v>
      </c>
    </row>
    <row r="1785" spans="1:6" x14ac:dyDescent="0.3">
      <c r="A1785" s="7">
        <v>2017</v>
      </c>
      <c r="B1785" s="8" t="s">
        <v>58</v>
      </c>
      <c r="C1785" s="8" t="s">
        <v>10</v>
      </c>
      <c r="D1785" s="14">
        <v>7292</v>
      </c>
      <c r="E1785" s="14">
        <v>96246</v>
      </c>
      <c r="F1785" s="15">
        <v>40927</v>
      </c>
    </row>
    <row r="1786" spans="1:6" x14ac:dyDescent="0.3">
      <c r="A1786" s="7">
        <v>2017</v>
      </c>
      <c r="B1786" s="8" t="s">
        <v>58</v>
      </c>
      <c r="C1786" s="8" t="s">
        <v>11</v>
      </c>
      <c r="D1786" s="14">
        <v>34414</v>
      </c>
      <c r="E1786" s="14">
        <v>910288</v>
      </c>
      <c r="F1786" s="15">
        <v>49347</v>
      </c>
    </row>
    <row r="1787" spans="1:6" x14ac:dyDescent="0.3">
      <c r="A1787" s="7">
        <v>2017</v>
      </c>
      <c r="B1787" s="8" t="s">
        <v>58</v>
      </c>
      <c r="C1787" s="8" t="s">
        <v>12</v>
      </c>
      <c r="D1787" s="14">
        <v>15254</v>
      </c>
      <c r="E1787" s="14">
        <v>452646</v>
      </c>
      <c r="F1787" s="15">
        <v>46791</v>
      </c>
    </row>
    <row r="1788" spans="1:6" x14ac:dyDescent="0.3">
      <c r="A1788" s="7">
        <v>2017</v>
      </c>
      <c r="B1788" s="8" t="s">
        <v>58</v>
      </c>
      <c r="C1788" s="8" t="s">
        <v>13</v>
      </c>
      <c r="D1788" s="14">
        <v>11324</v>
      </c>
      <c r="E1788" s="14">
        <v>219362</v>
      </c>
      <c r="F1788" s="15">
        <v>42092</v>
      </c>
    </row>
    <row r="1789" spans="1:6" x14ac:dyDescent="0.3">
      <c r="A1789" s="7">
        <v>2017</v>
      </c>
      <c r="B1789" s="8" t="s">
        <v>58</v>
      </c>
      <c r="C1789" s="8" t="s">
        <v>14</v>
      </c>
      <c r="D1789" s="14">
        <v>10129</v>
      </c>
      <c r="E1789" s="14">
        <v>192638</v>
      </c>
      <c r="F1789" s="15">
        <v>41465</v>
      </c>
    </row>
    <row r="1790" spans="1:6" x14ac:dyDescent="0.3">
      <c r="A1790" s="7">
        <v>2017</v>
      </c>
      <c r="B1790" s="8" t="s">
        <v>58</v>
      </c>
      <c r="C1790" s="8" t="s">
        <v>15</v>
      </c>
      <c r="D1790" s="14">
        <v>17849</v>
      </c>
      <c r="E1790" s="14">
        <v>262151</v>
      </c>
      <c r="F1790" s="15">
        <v>47340</v>
      </c>
    </row>
    <row r="1791" spans="1:6" x14ac:dyDescent="0.3">
      <c r="A1791" s="7">
        <v>2017</v>
      </c>
      <c r="B1791" s="8" t="s">
        <v>58</v>
      </c>
      <c r="C1791" s="8" t="s">
        <v>16</v>
      </c>
      <c r="D1791" s="14">
        <v>15003</v>
      </c>
      <c r="E1791" s="14">
        <v>297694</v>
      </c>
      <c r="F1791" s="15">
        <v>42305</v>
      </c>
    </row>
    <row r="1792" spans="1:6" x14ac:dyDescent="0.3">
      <c r="A1792" s="7">
        <v>2017</v>
      </c>
      <c r="B1792" s="8" t="s">
        <v>58</v>
      </c>
      <c r="C1792" s="8" t="s">
        <v>17</v>
      </c>
      <c r="D1792" s="14">
        <v>6292</v>
      </c>
      <c r="E1792" s="14">
        <v>118412</v>
      </c>
      <c r="F1792" s="15">
        <v>45937</v>
      </c>
    </row>
    <row r="1793" spans="1:6" x14ac:dyDescent="0.3">
      <c r="A1793" s="7">
        <v>2017</v>
      </c>
      <c r="B1793" s="8" t="s">
        <v>58</v>
      </c>
      <c r="C1793" s="8" t="s">
        <v>18</v>
      </c>
      <c r="D1793" s="14">
        <v>20270</v>
      </c>
      <c r="E1793" s="14">
        <v>436185</v>
      </c>
      <c r="F1793" s="15">
        <v>53201</v>
      </c>
    </row>
    <row r="1794" spans="1:6" x14ac:dyDescent="0.3">
      <c r="A1794" s="7">
        <v>2017</v>
      </c>
      <c r="B1794" s="8" t="s">
        <v>58</v>
      </c>
      <c r="C1794" s="8" t="s">
        <v>19</v>
      </c>
      <c r="D1794" s="14">
        <v>61589</v>
      </c>
      <c r="E1794" s="14">
        <v>769824</v>
      </c>
      <c r="F1794" s="15">
        <v>57794</v>
      </c>
    </row>
    <row r="1795" spans="1:6" x14ac:dyDescent="0.3">
      <c r="A1795" s="7">
        <v>2017</v>
      </c>
      <c r="B1795" s="8" t="s">
        <v>58</v>
      </c>
      <c r="C1795" s="8" t="s">
        <v>20</v>
      </c>
      <c r="D1795" s="14">
        <v>24957</v>
      </c>
      <c r="E1795" s="14">
        <v>656020</v>
      </c>
      <c r="F1795" s="15">
        <v>48406</v>
      </c>
    </row>
    <row r="1796" spans="1:6" x14ac:dyDescent="0.3">
      <c r="A1796" s="7">
        <v>2017</v>
      </c>
      <c r="B1796" s="8" t="s">
        <v>58</v>
      </c>
      <c r="C1796" s="8" t="s">
        <v>21</v>
      </c>
      <c r="D1796" s="14">
        <v>17543</v>
      </c>
      <c r="E1796" s="14">
        <v>514711</v>
      </c>
      <c r="F1796" s="15">
        <v>49720</v>
      </c>
    </row>
    <row r="1797" spans="1:6" x14ac:dyDescent="0.3">
      <c r="A1797" s="7">
        <v>2017</v>
      </c>
      <c r="B1797" s="8" t="s">
        <v>58</v>
      </c>
      <c r="C1797" s="8" t="s">
        <v>22</v>
      </c>
      <c r="D1797" s="14">
        <v>7420</v>
      </c>
      <c r="E1797" s="14">
        <v>142412</v>
      </c>
      <c r="F1797" s="15">
        <v>40426</v>
      </c>
    </row>
    <row r="1798" spans="1:6" x14ac:dyDescent="0.3">
      <c r="A1798" s="7">
        <v>2017</v>
      </c>
      <c r="B1798" s="8" t="s">
        <v>58</v>
      </c>
      <c r="C1798" s="8" t="s">
        <v>23</v>
      </c>
      <c r="D1798" s="14">
        <v>48626</v>
      </c>
      <c r="E1798" s="14">
        <v>450671</v>
      </c>
      <c r="F1798" s="15">
        <v>44800</v>
      </c>
    </row>
    <row r="1799" spans="1:6" x14ac:dyDescent="0.3">
      <c r="A1799" s="7">
        <v>2017</v>
      </c>
      <c r="B1799" s="8" t="s">
        <v>58</v>
      </c>
      <c r="C1799" s="8" t="s">
        <v>24</v>
      </c>
      <c r="D1799" s="14">
        <v>4448</v>
      </c>
      <c r="E1799" s="14">
        <v>73262</v>
      </c>
      <c r="F1799" s="15">
        <v>46171</v>
      </c>
    </row>
    <row r="1800" spans="1:6" x14ac:dyDescent="0.3">
      <c r="A1800" s="7">
        <v>2017</v>
      </c>
      <c r="B1800" s="8" t="s">
        <v>58</v>
      </c>
      <c r="C1800" s="8" t="s">
        <v>25</v>
      </c>
      <c r="D1800" s="14">
        <v>13241</v>
      </c>
      <c r="E1800" s="14">
        <v>136970</v>
      </c>
      <c r="F1800" s="15">
        <v>44565</v>
      </c>
    </row>
    <row r="1801" spans="1:6" x14ac:dyDescent="0.3">
      <c r="A1801" s="7">
        <v>2017</v>
      </c>
      <c r="B1801" s="8" t="s">
        <v>58</v>
      </c>
      <c r="C1801" s="8" t="s">
        <v>26</v>
      </c>
      <c r="D1801" s="14">
        <v>8681</v>
      </c>
      <c r="E1801" s="14">
        <v>131756</v>
      </c>
      <c r="F1801" s="15">
        <v>53119</v>
      </c>
    </row>
    <row r="1802" spans="1:6" x14ac:dyDescent="0.3">
      <c r="A1802" s="7">
        <v>2017</v>
      </c>
      <c r="B1802" s="8" t="s">
        <v>58</v>
      </c>
      <c r="C1802" s="8" t="s">
        <v>27</v>
      </c>
      <c r="D1802" s="14">
        <v>4635</v>
      </c>
      <c r="E1802" s="14">
        <v>111212</v>
      </c>
      <c r="F1802" s="15">
        <v>54599</v>
      </c>
    </row>
    <row r="1803" spans="1:6" x14ac:dyDescent="0.3">
      <c r="A1803" s="7">
        <v>2017</v>
      </c>
      <c r="B1803" s="8" t="s">
        <v>58</v>
      </c>
      <c r="C1803" s="8" t="s">
        <v>28</v>
      </c>
      <c r="D1803" s="14">
        <v>33411</v>
      </c>
      <c r="E1803" s="14">
        <v>644049</v>
      </c>
      <c r="F1803" s="15">
        <v>52138</v>
      </c>
    </row>
    <row r="1804" spans="1:6" x14ac:dyDescent="0.3">
      <c r="A1804" s="7">
        <v>2017</v>
      </c>
      <c r="B1804" s="8" t="s">
        <v>58</v>
      </c>
      <c r="C1804" s="8" t="s">
        <v>29</v>
      </c>
      <c r="D1804" s="14">
        <v>9629</v>
      </c>
      <c r="E1804" s="14">
        <v>127804</v>
      </c>
      <c r="F1804" s="15">
        <v>40621</v>
      </c>
    </row>
    <row r="1805" spans="1:6" x14ac:dyDescent="0.3">
      <c r="A1805" s="7">
        <v>2017</v>
      </c>
      <c r="B1805" s="8" t="s">
        <v>58</v>
      </c>
      <c r="C1805" s="8" t="s">
        <v>30</v>
      </c>
      <c r="D1805" s="14">
        <v>67533</v>
      </c>
      <c r="E1805" s="14">
        <v>1847585</v>
      </c>
      <c r="F1805" s="15">
        <v>51932</v>
      </c>
    </row>
    <row r="1806" spans="1:6" x14ac:dyDescent="0.3">
      <c r="A1806" s="7">
        <v>2017</v>
      </c>
      <c r="B1806" s="8" t="s">
        <v>58</v>
      </c>
      <c r="C1806" s="8" t="s">
        <v>31</v>
      </c>
      <c r="D1806" s="14">
        <v>26885</v>
      </c>
      <c r="E1806" s="14">
        <v>578637</v>
      </c>
      <c r="F1806" s="15">
        <v>47135</v>
      </c>
    </row>
    <row r="1807" spans="1:6" x14ac:dyDescent="0.3">
      <c r="A1807" s="7">
        <v>2017</v>
      </c>
      <c r="B1807" s="8" t="s">
        <v>58</v>
      </c>
      <c r="C1807" s="8" t="s">
        <v>32</v>
      </c>
      <c r="D1807" s="14">
        <v>2484</v>
      </c>
      <c r="E1807" s="14">
        <v>61847</v>
      </c>
      <c r="F1807" s="15">
        <v>49915</v>
      </c>
    </row>
    <row r="1808" spans="1:6" x14ac:dyDescent="0.3">
      <c r="A1808" s="7">
        <v>2017</v>
      </c>
      <c r="B1808" s="8" t="s">
        <v>58</v>
      </c>
      <c r="C1808" s="8" t="s">
        <v>33</v>
      </c>
      <c r="D1808" s="14">
        <v>34090</v>
      </c>
      <c r="E1808" s="14">
        <v>897244</v>
      </c>
      <c r="F1808" s="15">
        <v>45314</v>
      </c>
    </row>
    <row r="1809" spans="1:6" x14ac:dyDescent="0.3">
      <c r="A1809" s="7">
        <v>2017</v>
      </c>
      <c r="B1809" s="8" t="s">
        <v>58</v>
      </c>
      <c r="C1809" s="8" t="s">
        <v>34</v>
      </c>
      <c r="D1809" s="14">
        <v>13367</v>
      </c>
      <c r="E1809" s="14">
        <v>208934</v>
      </c>
      <c r="F1809" s="15">
        <v>44167</v>
      </c>
    </row>
    <row r="1810" spans="1:6" x14ac:dyDescent="0.3">
      <c r="A1810" s="7">
        <v>2017</v>
      </c>
      <c r="B1810" s="8" t="s">
        <v>58</v>
      </c>
      <c r="C1810" s="8" t="s">
        <v>35</v>
      </c>
      <c r="D1810" s="14">
        <v>15363</v>
      </c>
      <c r="E1810" s="14">
        <v>266489</v>
      </c>
      <c r="F1810" s="15">
        <v>50908</v>
      </c>
    </row>
    <row r="1811" spans="1:6" x14ac:dyDescent="0.3">
      <c r="A1811" s="7">
        <v>2017</v>
      </c>
      <c r="B1811" s="8" t="s">
        <v>58</v>
      </c>
      <c r="C1811" s="8" t="s">
        <v>36</v>
      </c>
      <c r="D1811" s="14">
        <v>58709</v>
      </c>
      <c r="E1811" s="14">
        <v>1179271</v>
      </c>
      <c r="F1811" s="15">
        <v>50500</v>
      </c>
    </row>
    <row r="1812" spans="1:6" x14ac:dyDescent="0.3">
      <c r="A1812" s="7">
        <v>2017</v>
      </c>
      <c r="B1812" s="8" t="s">
        <v>58</v>
      </c>
      <c r="C1812" s="8" t="s">
        <v>37</v>
      </c>
      <c r="D1812" s="14">
        <v>4485</v>
      </c>
      <c r="E1812" s="14">
        <v>99581</v>
      </c>
      <c r="F1812" s="15">
        <v>47941</v>
      </c>
    </row>
    <row r="1813" spans="1:6" x14ac:dyDescent="0.3">
      <c r="A1813" s="7">
        <v>2017</v>
      </c>
      <c r="B1813" s="8" t="s">
        <v>58</v>
      </c>
      <c r="C1813" s="8" t="s">
        <v>38</v>
      </c>
      <c r="D1813" s="14">
        <v>11574</v>
      </c>
      <c r="E1813" s="14">
        <v>226255</v>
      </c>
      <c r="F1813" s="15">
        <v>45624</v>
      </c>
    </row>
    <row r="1814" spans="1:6" x14ac:dyDescent="0.3">
      <c r="A1814" s="7">
        <v>2017</v>
      </c>
      <c r="B1814" s="8" t="s">
        <v>58</v>
      </c>
      <c r="C1814" s="8" t="s">
        <v>39</v>
      </c>
      <c r="D1814" s="14">
        <v>2732</v>
      </c>
      <c r="E1814" s="14">
        <v>66629</v>
      </c>
      <c r="F1814" s="15">
        <v>49512</v>
      </c>
    </row>
    <row r="1815" spans="1:6" x14ac:dyDescent="0.3">
      <c r="A1815" s="7">
        <v>2017</v>
      </c>
      <c r="B1815" s="8" t="s">
        <v>58</v>
      </c>
      <c r="C1815" s="8" t="s">
        <v>40</v>
      </c>
      <c r="D1815" s="14">
        <v>15761</v>
      </c>
      <c r="E1815" s="14">
        <v>416511</v>
      </c>
      <c r="F1815" s="15">
        <v>50938</v>
      </c>
    </row>
    <row r="1816" spans="1:6" x14ac:dyDescent="0.3">
      <c r="A1816" s="7">
        <v>2017</v>
      </c>
      <c r="B1816" s="8" t="s">
        <v>58</v>
      </c>
      <c r="C1816" s="8" t="s">
        <v>41</v>
      </c>
      <c r="D1816" s="14">
        <v>87635</v>
      </c>
      <c r="E1816" s="14">
        <v>1607487</v>
      </c>
      <c r="F1816" s="15">
        <v>47096</v>
      </c>
    </row>
    <row r="1817" spans="1:6" x14ac:dyDescent="0.3">
      <c r="A1817" s="7">
        <v>2017</v>
      </c>
      <c r="B1817" s="8" t="s">
        <v>58</v>
      </c>
      <c r="C1817" s="8" t="s">
        <v>42</v>
      </c>
      <c r="D1817" s="14">
        <v>11679</v>
      </c>
      <c r="E1817" s="14">
        <v>181402</v>
      </c>
      <c r="F1817" s="15">
        <v>42492</v>
      </c>
    </row>
    <row r="1818" spans="1:6" x14ac:dyDescent="0.3">
      <c r="A1818" s="7">
        <v>2017</v>
      </c>
      <c r="B1818" s="8" t="s">
        <v>58</v>
      </c>
      <c r="C1818" s="8" t="s">
        <v>43</v>
      </c>
      <c r="D1818" s="14">
        <v>2460</v>
      </c>
      <c r="E1818" s="14">
        <v>62109</v>
      </c>
      <c r="F1818" s="15">
        <v>45259</v>
      </c>
    </row>
    <row r="1819" spans="1:6" x14ac:dyDescent="0.3">
      <c r="A1819" s="7">
        <v>2017</v>
      </c>
      <c r="B1819" s="8" t="s">
        <v>58</v>
      </c>
      <c r="C1819" s="8" t="s">
        <v>44</v>
      </c>
      <c r="D1819" s="14">
        <v>42910</v>
      </c>
      <c r="E1819" s="14">
        <v>496944</v>
      </c>
      <c r="F1819" s="15">
        <v>48573</v>
      </c>
    </row>
    <row r="1820" spans="1:6" x14ac:dyDescent="0.3">
      <c r="A1820" s="7">
        <v>2017</v>
      </c>
      <c r="B1820" s="8" t="s">
        <v>58</v>
      </c>
      <c r="C1820" s="8" t="s">
        <v>45</v>
      </c>
      <c r="D1820" s="14">
        <v>56689</v>
      </c>
      <c r="E1820" s="14">
        <v>451563</v>
      </c>
      <c r="F1820" s="15">
        <v>49782</v>
      </c>
    </row>
    <row r="1821" spans="1:6" x14ac:dyDescent="0.3">
      <c r="A1821" s="7">
        <v>2017</v>
      </c>
      <c r="B1821" s="8" t="s">
        <v>58</v>
      </c>
      <c r="C1821" s="8" t="s">
        <v>46</v>
      </c>
      <c r="D1821" s="14">
        <v>5679</v>
      </c>
      <c r="E1821" s="14">
        <v>123772</v>
      </c>
      <c r="F1821" s="15">
        <v>44732</v>
      </c>
    </row>
    <row r="1822" spans="1:6" x14ac:dyDescent="0.3">
      <c r="A1822" s="7">
        <v>2017</v>
      </c>
      <c r="B1822" s="8" t="s">
        <v>58</v>
      </c>
      <c r="C1822" s="8" t="s">
        <v>47</v>
      </c>
      <c r="D1822" s="14">
        <v>25989</v>
      </c>
      <c r="E1822" s="14">
        <v>428367</v>
      </c>
      <c r="F1822" s="15">
        <v>47663</v>
      </c>
    </row>
    <row r="1823" spans="1:6" x14ac:dyDescent="0.3">
      <c r="A1823" s="7">
        <v>2017</v>
      </c>
      <c r="B1823" s="8" t="s">
        <v>58</v>
      </c>
      <c r="C1823" s="8" t="s">
        <v>48</v>
      </c>
      <c r="D1823" s="14">
        <v>3268</v>
      </c>
      <c r="E1823" s="14">
        <v>26479</v>
      </c>
      <c r="F1823" s="15">
        <v>41913</v>
      </c>
    </row>
    <row r="1824" spans="1:6" x14ac:dyDescent="0.3">
      <c r="A1824" s="7">
        <v>2017</v>
      </c>
      <c r="B1824" s="8" t="s">
        <v>59</v>
      </c>
      <c r="C1824" s="8" t="s">
        <v>1</v>
      </c>
      <c r="D1824" s="14">
        <v>10741</v>
      </c>
      <c r="E1824" s="14">
        <v>202336</v>
      </c>
      <c r="F1824" s="15">
        <v>16222</v>
      </c>
    </row>
    <row r="1825" spans="1:6" x14ac:dyDescent="0.3">
      <c r="A1825" s="7">
        <v>2017</v>
      </c>
      <c r="B1825" s="8" t="s">
        <v>59</v>
      </c>
      <c r="C1825" s="8" t="s">
        <v>2</v>
      </c>
      <c r="D1825" s="14">
        <v>12771</v>
      </c>
      <c r="E1825" s="14">
        <v>317076</v>
      </c>
      <c r="F1825" s="15">
        <v>23505</v>
      </c>
    </row>
    <row r="1826" spans="1:6" x14ac:dyDescent="0.3">
      <c r="A1826" s="7">
        <v>2017</v>
      </c>
      <c r="B1826" s="8" t="s">
        <v>59</v>
      </c>
      <c r="C1826" s="8" t="s">
        <v>3</v>
      </c>
      <c r="D1826" s="14">
        <v>7024</v>
      </c>
      <c r="E1826" s="14">
        <v>116690</v>
      </c>
      <c r="F1826" s="15">
        <v>16181</v>
      </c>
    </row>
    <row r="1827" spans="1:6" x14ac:dyDescent="0.3">
      <c r="A1827" s="7">
        <v>2017</v>
      </c>
      <c r="B1827" s="8" t="s">
        <v>59</v>
      </c>
      <c r="C1827" s="8" t="s">
        <v>4</v>
      </c>
      <c r="D1827" s="14">
        <v>103495</v>
      </c>
      <c r="E1827" s="14">
        <v>1935980</v>
      </c>
      <c r="F1827" s="15">
        <v>29214</v>
      </c>
    </row>
    <row r="1828" spans="1:6" x14ac:dyDescent="0.3">
      <c r="A1828" s="7">
        <v>2017</v>
      </c>
      <c r="B1828" s="8" t="s">
        <v>59</v>
      </c>
      <c r="C1828" s="8" t="s">
        <v>5</v>
      </c>
      <c r="D1828" s="14">
        <v>16627</v>
      </c>
      <c r="E1828" s="14">
        <v>333190</v>
      </c>
      <c r="F1828" s="15">
        <v>24462</v>
      </c>
    </row>
    <row r="1829" spans="1:6" x14ac:dyDescent="0.3">
      <c r="A1829" s="7">
        <v>2017</v>
      </c>
      <c r="B1829" s="8" t="s">
        <v>59</v>
      </c>
      <c r="C1829" s="8" t="s">
        <v>6</v>
      </c>
      <c r="D1829" s="14">
        <v>10338</v>
      </c>
      <c r="E1829" s="14">
        <v>156514</v>
      </c>
      <c r="F1829" s="15">
        <v>23066</v>
      </c>
    </row>
    <row r="1830" spans="1:6" x14ac:dyDescent="0.3">
      <c r="A1830" s="7">
        <v>2017</v>
      </c>
      <c r="B1830" s="8" t="s">
        <v>59</v>
      </c>
      <c r="C1830" s="8" t="s">
        <v>7</v>
      </c>
      <c r="D1830" s="14">
        <v>2565</v>
      </c>
      <c r="E1830" s="14">
        <v>50272</v>
      </c>
      <c r="F1830" s="15">
        <v>19997</v>
      </c>
    </row>
    <row r="1831" spans="1:6" x14ac:dyDescent="0.3">
      <c r="A1831" s="7">
        <v>2017</v>
      </c>
      <c r="B1831" s="8" t="s">
        <v>59</v>
      </c>
      <c r="C1831" s="8" t="s">
        <v>8</v>
      </c>
      <c r="D1831" s="14">
        <v>55396</v>
      </c>
      <c r="E1831" s="14">
        <v>1198478</v>
      </c>
      <c r="F1831" s="15">
        <v>24953</v>
      </c>
    </row>
    <row r="1832" spans="1:6" x14ac:dyDescent="0.3">
      <c r="A1832" s="7">
        <v>2017</v>
      </c>
      <c r="B1832" s="8" t="s">
        <v>59</v>
      </c>
      <c r="C1832" s="8" t="s">
        <v>9</v>
      </c>
      <c r="D1832" s="14">
        <v>23538</v>
      </c>
      <c r="E1832" s="14">
        <v>476035</v>
      </c>
      <c r="F1832" s="15">
        <v>20142</v>
      </c>
    </row>
    <row r="1833" spans="1:6" x14ac:dyDescent="0.3">
      <c r="A1833" s="7">
        <v>2017</v>
      </c>
      <c r="B1833" s="8" t="s">
        <v>59</v>
      </c>
      <c r="C1833" s="8" t="s">
        <v>10</v>
      </c>
      <c r="D1833" s="14">
        <v>4906</v>
      </c>
      <c r="E1833" s="14">
        <v>74928</v>
      </c>
      <c r="F1833" s="15">
        <v>16382</v>
      </c>
    </row>
    <row r="1834" spans="1:6" x14ac:dyDescent="0.3">
      <c r="A1834" s="7">
        <v>2017</v>
      </c>
      <c r="B1834" s="8" t="s">
        <v>59</v>
      </c>
      <c r="C1834" s="8" t="s">
        <v>11</v>
      </c>
      <c r="D1834" s="14">
        <v>32076</v>
      </c>
      <c r="E1834" s="14">
        <v>610100</v>
      </c>
      <c r="F1834" s="15">
        <v>22930</v>
      </c>
    </row>
    <row r="1835" spans="1:6" x14ac:dyDescent="0.3">
      <c r="A1835" s="7">
        <v>2017</v>
      </c>
      <c r="B1835" s="8" t="s">
        <v>59</v>
      </c>
      <c r="C1835" s="8" t="s">
        <v>12</v>
      </c>
      <c r="D1835" s="14">
        <v>15273</v>
      </c>
      <c r="E1835" s="14">
        <v>308506</v>
      </c>
      <c r="F1835" s="15">
        <v>18223</v>
      </c>
    </row>
    <row r="1836" spans="1:6" x14ac:dyDescent="0.3">
      <c r="A1836" s="7">
        <v>2017</v>
      </c>
      <c r="B1836" s="8" t="s">
        <v>59</v>
      </c>
      <c r="C1836" s="8" t="s">
        <v>13</v>
      </c>
      <c r="D1836" s="14">
        <v>8532</v>
      </c>
      <c r="E1836" s="14">
        <v>143101</v>
      </c>
      <c r="F1836" s="15">
        <v>16280</v>
      </c>
    </row>
    <row r="1837" spans="1:6" x14ac:dyDescent="0.3">
      <c r="A1837" s="7">
        <v>2017</v>
      </c>
      <c r="B1837" s="8" t="s">
        <v>59</v>
      </c>
      <c r="C1837" s="8" t="s">
        <v>14</v>
      </c>
      <c r="D1837" s="14">
        <v>6839</v>
      </c>
      <c r="E1837" s="14">
        <v>128449</v>
      </c>
      <c r="F1837" s="15">
        <v>16257</v>
      </c>
    </row>
    <row r="1838" spans="1:6" x14ac:dyDescent="0.3">
      <c r="A1838" s="7">
        <v>2017</v>
      </c>
      <c r="B1838" s="8" t="s">
        <v>59</v>
      </c>
      <c r="C1838" s="8" t="s">
        <v>15</v>
      </c>
      <c r="D1838" s="14">
        <v>10063</v>
      </c>
      <c r="E1838" s="14">
        <v>196846</v>
      </c>
      <c r="F1838" s="15">
        <v>17160</v>
      </c>
    </row>
    <row r="1839" spans="1:6" x14ac:dyDescent="0.3">
      <c r="A1839" s="7">
        <v>2017</v>
      </c>
      <c r="B1839" s="8" t="s">
        <v>59</v>
      </c>
      <c r="C1839" s="8" t="s">
        <v>16</v>
      </c>
      <c r="D1839" s="14">
        <v>12015</v>
      </c>
      <c r="E1839" s="14">
        <v>233109</v>
      </c>
      <c r="F1839" s="15">
        <v>20623</v>
      </c>
    </row>
    <row r="1840" spans="1:6" x14ac:dyDescent="0.3">
      <c r="A1840" s="7">
        <v>2017</v>
      </c>
      <c r="B1840" s="8" t="s">
        <v>59</v>
      </c>
      <c r="C1840" s="8" t="s">
        <v>17</v>
      </c>
      <c r="D1840" s="14">
        <v>5119</v>
      </c>
      <c r="E1840" s="14">
        <v>67354</v>
      </c>
      <c r="F1840" s="15">
        <v>21119</v>
      </c>
    </row>
    <row r="1841" spans="1:6" x14ac:dyDescent="0.3">
      <c r="A1841" s="7">
        <v>2017</v>
      </c>
      <c r="B1841" s="8" t="s">
        <v>59</v>
      </c>
      <c r="C1841" s="8" t="s">
        <v>18</v>
      </c>
      <c r="D1841" s="14">
        <v>14733</v>
      </c>
      <c r="E1841" s="14">
        <v>280195</v>
      </c>
      <c r="F1841" s="15">
        <v>23436</v>
      </c>
    </row>
    <row r="1842" spans="1:6" x14ac:dyDescent="0.3">
      <c r="A1842" s="7">
        <v>2017</v>
      </c>
      <c r="B1842" s="8" t="s">
        <v>59</v>
      </c>
      <c r="C1842" s="8" t="s">
        <v>19</v>
      </c>
      <c r="D1842" s="14">
        <v>20695</v>
      </c>
      <c r="E1842" s="14">
        <v>369350</v>
      </c>
      <c r="F1842" s="15">
        <v>26779</v>
      </c>
    </row>
    <row r="1843" spans="1:6" x14ac:dyDescent="0.3">
      <c r="A1843" s="7">
        <v>2017</v>
      </c>
      <c r="B1843" s="8" t="s">
        <v>59</v>
      </c>
      <c r="C1843" s="8" t="s">
        <v>20</v>
      </c>
      <c r="D1843" s="14">
        <v>21783</v>
      </c>
      <c r="E1843" s="14">
        <v>431316</v>
      </c>
      <c r="F1843" s="15">
        <v>19834</v>
      </c>
    </row>
    <row r="1844" spans="1:6" x14ac:dyDescent="0.3">
      <c r="A1844" s="7">
        <v>2017</v>
      </c>
      <c r="B1844" s="8" t="s">
        <v>59</v>
      </c>
      <c r="C1844" s="8" t="s">
        <v>21</v>
      </c>
      <c r="D1844" s="14">
        <v>14729</v>
      </c>
      <c r="E1844" s="14">
        <v>270490</v>
      </c>
      <c r="F1844" s="15">
        <v>21386</v>
      </c>
    </row>
    <row r="1845" spans="1:6" x14ac:dyDescent="0.3">
      <c r="A1845" s="7">
        <v>2017</v>
      </c>
      <c r="B1845" s="8" t="s">
        <v>59</v>
      </c>
      <c r="C1845" s="8" t="s">
        <v>22</v>
      </c>
      <c r="D1845" s="14">
        <v>6381</v>
      </c>
      <c r="E1845" s="14">
        <v>134613</v>
      </c>
      <c r="F1845" s="15">
        <v>17011</v>
      </c>
    </row>
    <row r="1846" spans="1:6" x14ac:dyDescent="0.3">
      <c r="A1846" s="7">
        <v>2017</v>
      </c>
      <c r="B1846" s="8" t="s">
        <v>59</v>
      </c>
      <c r="C1846" s="8" t="s">
        <v>23</v>
      </c>
      <c r="D1846" s="14">
        <v>14797</v>
      </c>
      <c r="E1846" s="14">
        <v>303022</v>
      </c>
      <c r="F1846" s="15">
        <v>20276</v>
      </c>
    </row>
    <row r="1847" spans="1:6" x14ac:dyDescent="0.3">
      <c r="A1847" s="7">
        <v>2017</v>
      </c>
      <c r="B1847" s="8" t="s">
        <v>59</v>
      </c>
      <c r="C1847" s="8" t="s">
        <v>24</v>
      </c>
      <c r="D1847" s="14">
        <v>4978</v>
      </c>
      <c r="E1847" s="14">
        <v>64958</v>
      </c>
      <c r="F1847" s="15">
        <v>18625</v>
      </c>
    </row>
    <row r="1848" spans="1:6" x14ac:dyDescent="0.3">
      <c r="A1848" s="7">
        <v>2017</v>
      </c>
      <c r="B1848" s="8" t="s">
        <v>59</v>
      </c>
      <c r="C1848" s="8" t="s">
        <v>25</v>
      </c>
      <c r="D1848" s="14">
        <v>5508</v>
      </c>
      <c r="E1848" s="14">
        <v>91776</v>
      </c>
      <c r="F1848" s="15">
        <v>16253</v>
      </c>
    </row>
    <row r="1849" spans="1:6" x14ac:dyDescent="0.3">
      <c r="A1849" s="7">
        <v>2017</v>
      </c>
      <c r="B1849" s="8" t="s">
        <v>59</v>
      </c>
      <c r="C1849" s="8" t="s">
        <v>26</v>
      </c>
      <c r="D1849" s="14">
        <v>8246</v>
      </c>
      <c r="E1849" s="14">
        <v>348888</v>
      </c>
      <c r="F1849" s="15">
        <v>33048</v>
      </c>
    </row>
    <row r="1850" spans="1:6" x14ac:dyDescent="0.3">
      <c r="A1850" s="7">
        <v>2017</v>
      </c>
      <c r="B1850" s="8" t="s">
        <v>59</v>
      </c>
      <c r="C1850" s="8" t="s">
        <v>27</v>
      </c>
      <c r="D1850" s="14">
        <v>4512</v>
      </c>
      <c r="E1850" s="14">
        <v>70729</v>
      </c>
      <c r="F1850" s="15">
        <v>21058</v>
      </c>
    </row>
    <row r="1851" spans="1:6" x14ac:dyDescent="0.3">
      <c r="A1851" s="7">
        <v>2017</v>
      </c>
      <c r="B1851" s="8" t="s">
        <v>59</v>
      </c>
      <c r="C1851" s="8" t="s">
        <v>28</v>
      </c>
      <c r="D1851" s="14">
        <v>23501</v>
      </c>
      <c r="E1851" s="14">
        <v>372798</v>
      </c>
      <c r="F1851" s="15">
        <v>24851</v>
      </c>
    </row>
    <row r="1852" spans="1:6" x14ac:dyDescent="0.3">
      <c r="A1852" s="7">
        <v>2017</v>
      </c>
      <c r="B1852" s="8" t="s">
        <v>59</v>
      </c>
      <c r="C1852" s="8" t="s">
        <v>29</v>
      </c>
      <c r="D1852" s="14">
        <v>4929</v>
      </c>
      <c r="E1852" s="14">
        <v>96321</v>
      </c>
      <c r="F1852" s="15">
        <v>17901</v>
      </c>
    </row>
    <row r="1853" spans="1:6" x14ac:dyDescent="0.3">
      <c r="A1853" s="7">
        <v>2017</v>
      </c>
      <c r="B1853" s="8" t="s">
        <v>59</v>
      </c>
      <c r="C1853" s="8" t="s">
        <v>30</v>
      </c>
      <c r="D1853" s="14">
        <v>66166</v>
      </c>
      <c r="E1853" s="14">
        <v>944545</v>
      </c>
      <c r="F1853" s="15">
        <v>32365</v>
      </c>
    </row>
    <row r="1854" spans="1:6" x14ac:dyDescent="0.3">
      <c r="A1854" s="7">
        <v>2017</v>
      </c>
      <c r="B1854" s="8" t="s">
        <v>59</v>
      </c>
      <c r="C1854" s="8" t="s">
        <v>31</v>
      </c>
      <c r="D1854" s="14">
        <v>25235</v>
      </c>
      <c r="E1854" s="14">
        <v>493758</v>
      </c>
      <c r="F1854" s="15">
        <v>19111</v>
      </c>
    </row>
    <row r="1855" spans="1:6" x14ac:dyDescent="0.3">
      <c r="A1855" s="7">
        <v>2017</v>
      </c>
      <c r="B1855" s="8" t="s">
        <v>59</v>
      </c>
      <c r="C1855" s="8" t="s">
        <v>32</v>
      </c>
      <c r="D1855" s="14">
        <v>2600</v>
      </c>
      <c r="E1855" s="14">
        <v>39316</v>
      </c>
      <c r="F1855" s="15">
        <v>17400</v>
      </c>
    </row>
    <row r="1856" spans="1:6" x14ac:dyDescent="0.3">
      <c r="A1856" s="7">
        <v>2017</v>
      </c>
      <c r="B1856" s="8" t="s">
        <v>59</v>
      </c>
      <c r="C1856" s="8" t="s">
        <v>33</v>
      </c>
      <c r="D1856" s="14">
        <v>28218</v>
      </c>
      <c r="E1856" s="14">
        <v>560257</v>
      </c>
      <c r="F1856" s="15">
        <v>18856</v>
      </c>
    </row>
    <row r="1857" spans="1:6" x14ac:dyDescent="0.3">
      <c r="A1857" s="7">
        <v>2017</v>
      </c>
      <c r="B1857" s="8" t="s">
        <v>59</v>
      </c>
      <c r="C1857" s="8" t="s">
        <v>34</v>
      </c>
      <c r="D1857" s="14">
        <v>8969</v>
      </c>
      <c r="E1857" s="14">
        <v>167540</v>
      </c>
      <c r="F1857" s="15">
        <v>17729</v>
      </c>
    </row>
    <row r="1858" spans="1:6" x14ac:dyDescent="0.3">
      <c r="A1858" s="7">
        <v>2017</v>
      </c>
      <c r="B1858" s="8" t="s">
        <v>59</v>
      </c>
      <c r="C1858" s="8" t="s">
        <v>35</v>
      </c>
      <c r="D1858" s="14">
        <v>13588</v>
      </c>
      <c r="E1858" s="14">
        <v>205823</v>
      </c>
      <c r="F1858" s="15">
        <v>21379</v>
      </c>
    </row>
    <row r="1859" spans="1:6" x14ac:dyDescent="0.3">
      <c r="A1859" s="7">
        <v>2017</v>
      </c>
      <c r="B1859" s="8" t="s">
        <v>59</v>
      </c>
      <c r="C1859" s="8" t="s">
        <v>36</v>
      </c>
      <c r="D1859" s="14">
        <v>33146</v>
      </c>
      <c r="E1859" s="14">
        <v>566779</v>
      </c>
      <c r="F1859" s="15">
        <v>20389</v>
      </c>
    </row>
    <row r="1860" spans="1:6" x14ac:dyDescent="0.3">
      <c r="A1860" s="7">
        <v>2017</v>
      </c>
      <c r="B1860" s="8" t="s">
        <v>59</v>
      </c>
      <c r="C1860" s="8" t="s">
        <v>37</v>
      </c>
      <c r="D1860" s="14">
        <v>3683</v>
      </c>
      <c r="E1860" s="14">
        <v>58183</v>
      </c>
      <c r="F1860" s="15">
        <v>22353</v>
      </c>
    </row>
    <row r="1861" spans="1:6" x14ac:dyDescent="0.3">
      <c r="A1861" s="7">
        <v>2017</v>
      </c>
      <c r="B1861" s="8" t="s">
        <v>59</v>
      </c>
      <c r="C1861" s="8" t="s">
        <v>38</v>
      </c>
      <c r="D1861" s="14">
        <v>12337</v>
      </c>
      <c r="E1861" s="14">
        <v>254069</v>
      </c>
      <c r="F1861" s="15">
        <v>17885</v>
      </c>
    </row>
    <row r="1862" spans="1:6" x14ac:dyDescent="0.3">
      <c r="A1862" s="7">
        <v>2017</v>
      </c>
      <c r="B1862" s="8" t="s">
        <v>59</v>
      </c>
      <c r="C1862" s="8" t="s">
        <v>39</v>
      </c>
      <c r="D1862" s="14">
        <v>3109</v>
      </c>
      <c r="E1862" s="14">
        <v>46967</v>
      </c>
      <c r="F1862" s="15">
        <v>16460</v>
      </c>
    </row>
    <row r="1863" spans="1:6" x14ac:dyDescent="0.3">
      <c r="A1863" s="7">
        <v>2017</v>
      </c>
      <c r="B1863" s="8" t="s">
        <v>59</v>
      </c>
      <c r="C1863" s="8" t="s">
        <v>40</v>
      </c>
      <c r="D1863" s="14">
        <v>15932</v>
      </c>
      <c r="E1863" s="14">
        <v>328856</v>
      </c>
      <c r="F1863" s="15">
        <v>22398</v>
      </c>
    </row>
    <row r="1864" spans="1:6" x14ac:dyDescent="0.3">
      <c r="A1864" s="7">
        <v>2017</v>
      </c>
      <c r="B1864" s="8" t="s">
        <v>59</v>
      </c>
      <c r="C1864" s="8" t="s">
        <v>41</v>
      </c>
      <c r="D1864" s="14">
        <v>60744</v>
      </c>
      <c r="E1864" s="14">
        <v>1317762</v>
      </c>
      <c r="F1864" s="15">
        <v>21234</v>
      </c>
    </row>
    <row r="1865" spans="1:6" x14ac:dyDescent="0.3">
      <c r="A1865" s="7">
        <v>2017</v>
      </c>
      <c r="B1865" s="8" t="s">
        <v>59</v>
      </c>
      <c r="C1865" s="8" t="s">
        <v>42</v>
      </c>
      <c r="D1865" s="14">
        <v>7068</v>
      </c>
      <c r="E1865" s="14">
        <v>142985</v>
      </c>
      <c r="F1865" s="15">
        <v>19510</v>
      </c>
    </row>
    <row r="1866" spans="1:6" x14ac:dyDescent="0.3">
      <c r="A1866" s="7">
        <v>2017</v>
      </c>
      <c r="B1866" s="8" t="s">
        <v>59</v>
      </c>
      <c r="C1866" s="8" t="s">
        <v>43</v>
      </c>
      <c r="D1866" s="14">
        <v>2266</v>
      </c>
      <c r="E1866" s="14">
        <v>37337</v>
      </c>
      <c r="F1866" s="15">
        <v>22375</v>
      </c>
    </row>
    <row r="1867" spans="1:6" x14ac:dyDescent="0.3">
      <c r="A1867" s="7">
        <v>2017</v>
      </c>
      <c r="B1867" s="8" t="s">
        <v>59</v>
      </c>
      <c r="C1867" s="8" t="s">
        <v>44</v>
      </c>
      <c r="D1867" s="14">
        <v>20269</v>
      </c>
      <c r="E1867" s="14">
        <v>402475</v>
      </c>
      <c r="F1867" s="15">
        <v>20078</v>
      </c>
    </row>
    <row r="1868" spans="1:6" x14ac:dyDescent="0.3">
      <c r="A1868" s="7">
        <v>2017</v>
      </c>
      <c r="B1868" s="8" t="s">
        <v>59</v>
      </c>
      <c r="C1868" s="8" t="s">
        <v>45</v>
      </c>
      <c r="D1868" s="14">
        <v>20065</v>
      </c>
      <c r="E1868" s="14">
        <v>325141</v>
      </c>
      <c r="F1868" s="15">
        <v>24250</v>
      </c>
    </row>
    <row r="1869" spans="1:6" x14ac:dyDescent="0.3">
      <c r="A1869" s="7">
        <v>2017</v>
      </c>
      <c r="B1869" s="8" t="s">
        <v>59</v>
      </c>
      <c r="C1869" s="8" t="s">
        <v>46</v>
      </c>
      <c r="D1869" s="14">
        <v>4646</v>
      </c>
      <c r="E1869" s="14">
        <v>74275</v>
      </c>
      <c r="F1869" s="15">
        <v>17335</v>
      </c>
    </row>
    <row r="1870" spans="1:6" x14ac:dyDescent="0.3">
      <c r="A1870" s="7">
        <v>2017</v>
      </c>
      <c r="B1870" s="8" t="s">
        <v>59</v>
      </c>
      <c r="C1870" s="8" t="s">
        <v>47</v>
      </c>
      <c r="D1870" s="14">
        <v>16599</v>
      </c>
      <c r="E1870" s="14">
        <v>279749</v>
      </c>
      <c r="F1870" s="15">
        <v>17248</v>
      </c>
    </row>
    <row r="1871" spans="1:6" x14ac:dyDescent="0.3">
      <c r="A1871" s="7">
        <v>2017</v>
      </c>
      <c r="B1871" s="8" t="s">
        <v>59</v>
      </c>
      <c r="C1871" s="8" t="s">
        <v>48</v>
      </c>
      <c r="D1871" s="14">
        <v>2355</v>
      </c>
      <c r="E1871" s="14">
        <v>36297</v>
      </c>
      <c r="F1871" s="15">
        <v>19867</v>
      </c>
    </row>
    <row r="1872" spans="1:6" x14ac:dyDescent="0.3">
      <c r="A1872" s="7">
        <v>2017</v>
      </c>
      <c r="B1872" s="8" t="s">
        <v>60</v>
      </c>
      <c r="C1872" s="8" t="s">
        <v>1</v>
      </c>
      <c r="D1872" s="14">
        <v>9603</v>
      </c>
      <c r="E1872" s="14">
        <v>45296</v>
      </c>
      <c r="F1872" s="15">
        <v>36539</v>
      </c>
    </row>
    <row r="1873" spans="1:6" x14ac:dyDescent="0.3">
      <c r="A1873" s="7">
        <v>2017</v>
      </c>
      <c r="B1873" s="8" t="s">
        <v>60</v>
      </c>
      <c r="C1873" s="8" t="s">
        <v>2</v>
      </c>
      <c r="D1873" s="14">
        <v>10297</v>
      </c>
      <c r="E1873" s="14">
        <v>71320</v>
      </c>
      <c r="F1873" s="15">
        <v>37061</v>
      </c>
    </row>
    <row r="1874" spans="1:6" x14ac:dyDescent="0.3">
      <c r="A1874" s="7">
        <v>2017</v>
      </c>
      <c r="B1874" s="8" t="s">
        <v>60</v>
      </c>
      <c r="C1874" s="8" t="s">
        <v>3</v>
      </c>
      <c r="D1874" s="14">
        <v>5315</v>
      </c>
      <c r="E1874" s="14">
        <v>24804</v>
      </c>
      <c r="F1874" s="15">
        <v>33179</v>
      </c>
    </row>
    <row r="1875" spans="1:6" x14ac:dyDescent="0.3">
      <c r="A1875" s="7">
        <v>2017</v>
      </c>
      <c r="B1875" s="8" t="s">
        <v>60</v>
      </c>
      <c r="C1875" s="8" t="s">
        <v>4</v>
      </c>
      <c r="D1875" s="14">
        <v>88470</v>
      </c>
      <c r="E1875" s="14">
        <v>527915</v>
      </c>
      <c r="F1875" s="15">
        <v>40412</v>
      </c>
    </row>
    <row r="1876" spans="1:6" x14ac:dyDescent="0.3">
      <c r="A1876" s="7">
        <v>2017</v>
      </c>
      <c r="B1876" s="8" t="s">
        <v>60</v>
      </c>
      <c r="C1876" s="8" t="s">
        <v>5</v>
      </c>
      <c r="D1876" s="14">
        <v>15777</v>
      </c>
      <c r="E1876" s="14">
        <v>80034</v>
      </c>
      <c r="F1876" s="15">
        <v>39558</v>
      </c>
    </row>
    <row r="1877" spans="1:6" x14ac:dyDescent="0.3">
      <c r="A1877" s="7">
        <v>2017</v>
      </c>
      <c r="B1877" s="8" t="s">
        <v>60</v>
      </c>
      <c r="C1877" s="8" t="s">
        <v>6</v>
      </c>
      <c r="D1877" s="14">
        <v>16529</v>
      </c>
      <c r="E1877" s="14">
        <v>64279</v>
      </c>
      <c r="F1877" s="15">
        <v>33397</v>
      </c>
    </row>
    <row r="1878" spans="1:6" x14ac:dyDescent="0.3">
      <c r="A1878" s="7">
        <v>2017</v>
      </c>
      <c r="B1878" s="8" t="s">
        <v>60</v>
      </c>
      <c r="C1878" s="8" t="s">
        <v>7</v>
      </c>
      <c r="D1878" s="14">
        <v>2003</v>
      </c>
      <c r="E1878" s="14">
        <v>11881</v>
      </c>
      <c r="F1878" s="15">
        <v>33610</v>
      </c>
    </row>
    <row r="1879" spans="1:6" x14ac:dyDescent="0.3">
      <c r="A1879" s="7">
        <v>2017</v>
      </c>
      <c r="B1879" s="8" t="s">
        <v>60</v>
      </c>
      <c r="C1879" s="8" t="s">
        <v>8</v>
      </c>
      <c r="D1879" s="14">
        <v>54928</v>
      </c>
      <c r="E1879" s="14">
        <v>273903</v>
      </c>
      <c r="F1879" s="15">
        <v>35319</v>
      </c>
    </row>
    <row r="1880" spans="1:6" x14ac:dyDescent="0.3">
      <c r="A1880" s="7">
        <v>2017</v>
      </c>
      <c r="B1880" s="8" t="s">
        <v>60</v>
      </c>
      <c r="C1880" s="8" t="s">
        <v>9</v>
      </c>
      <c r="D1880" s="14">
        <v>18097</v>
      </c>
      <c r="E1880" s="14">
        <v>106445</v>
      </c>
      <c r="F1880" s="15">
        <v>35520</v>
      </c>
    </row>
    <row r="1881" spans="1:6" x14ac:dyDescent="0.3">
      <c r="A1881" s="7">
        <v>2017</v>
      </c>
      <c r="B1881" s="8" t="s">
        <v>60</v>
      </c>
      <c r="C1881" s="8" t="s">
        <v>10</v>
      </c>
      <c r="D1881" s="14">
        <v>3888</v>
      </c>
      <c r="E1881" s="14">
        <v>17915</v>
      </c>
      <c r="F1881" s="15">
        <v>30056</v>
      </c>
    </row>
    <row r="1882" spans="1:6" x14ac:dyDescent="0.3">
      <c r="A1882" s="7">
        <v>2017</v>
      </c>
      <c r="B1882" s="8" t="s">
        <v>60</v>
      </c>
      <c r="C1882" s="8" t="s">
        <v>11</v>
      </c>
      <c r="D1882" s="14">
        <v>39500</v>
      </c>
      <c r="E1882" s="14">
        <v>206494</v>
      </c>
      <c r="F1882" s="15">
        <v>41240</v>
      </c>
    </row>
    <row r="1883" spans="1:6" x14ac:dyDescent="0.3">
      <c r="A1883" s="7">
        <v>2017</v>
      </c>
      <c r="B1883" s="8" t="s">
        <v>60</v>
      </c>
      <c r="C1883" s="8" t="s">
        <v>12</v>
      </c>
      <c r="D1883" s="14">
        <v>13113</v>
      </c>
      <c r="E1883" s="14">
        <v>86944</v>
      </c>
      <c r="F1883" s="15">
        <v>31882</v>
      </c>
    </row>
    <row r="1884" spans="1:6" x14ac:dyDescent="0.3">
      <c r="A1884" s="7">
        <v>2017</v>
      </c>
      <c r="B1884" s="8" t="s">
        <v>60</v>
      </c>
      <c r="C1884" s="8" t="s">
        <v>13</v>
      </c>
      <c r="D1884" s="14">
        <v>8710</v>
      </c>
      <c r="E1884" s="14">
        <v>42498</v>
      </c>
      <c r="F1884" s="15">
        <v>33069</v>
      </c>
    </row>
    <row r="1885" spans="1:6" x14ac:dyDescent="0.3">
      <c r="A1885" s="7">
        <v>2017</v>
      </c>
      <c r="B1885" s="8" t="s">
        <v>60</v>
      </c>
      <c r="C1885" s="8" t="s">
        <v>14</v>
      </c>
      <c r="D1885" s="14">
        <v>6031</v>
      </c>
      <c r="E1885" s="14">
        <v>33578</v>
      </c>
      <c r="F1885" s="15">
        <v>33575</v>
      </c>
    </row>
    <row r="1886" spans="1:6" x14ac:dyDescent="0.3">
      <c r="A1886" s="7">
        <v>2017</v>
      </c>
      <c r="B1886" s="8" t="s">
        <v>60</v>
      </c>
      <c r="C1886" s="8" t="s">
        <v>15</v>
      </c>
      <c r="D1886" s="14">
        <v>10912</v>
      </c>
      <c r="E1886" s="14">
        <v>46382</v>
      </c>
      <c r="F1886" s="15">
        <v>32330</v>
      </c>
    </row>
    <row r="1887" spans="1:6" x14ac:dyDescent="0.3">
      <c r="A1887" s="7">
        <v>2017</v>
      </c>
      <c r="B1887" s="8" t="s">
        <v>60</v>
      </c>
      <c r="C1887" s="8" t="s">
        <v>16</v>
      </c>
      <c r="D1887" s="14">
        <v>9250</v>
      </c>
      <c r="E1887" s="14">
        <v>45963</v>
      </c>
      <c r="F1887" s="15">
        <v>36468</v>
      </c>
    </row>
    <row r="1888" spans="1:6" x14ac:dyDescent="0.3">
      <c r="A1888" s="7">
        <v>2017</v>
      </c>
      <c r="B1888" s="8" t="s">
        <v>60</v>
      </c>
      <c r="C1888" s="8" t="s">
        <v>17</v>
      </c>
      <c r="D1888" s="14">
        <v>4028</v>
      </c>
      <c r="E1888" s="14">
        <v>17774</v>
      </c>
      <c r="F1888" s="15">
        <v>32993</v>
      </c>
    </row>
    <row r="1889" spans="1:6" x14ac:dyDescent="0.3">
      <c r="A1889" s="7">
        <v>2017</v>
      </c>
      <c r="B1889" s="8" t="s">
        <v>60</v>
      </c>
      <c r="C1889" s="8" t="s">
        <v>18</v>
      </c>
      <c r="D1889" s="14">
        <v>19506</v>
      </c>
      <c r="E1889" s="14">
        <v>91492</v>
      </c>
      <c r="F1889" s="15">
        <v>41793</v>
      </c>
    </row>
    <row r="1890" spans="1:6" x14ac:dyDescent="0.3">
      <c r="A1890" s="7">
        <v>2017</v>
      </c>
      <c r="B1890" s="8" t="s">
        <v>60</v>
      </c>
      <c r="C1890" s="8" t="s">
        <v>19</v>
      </c>
      <c r="D1890" s="14">
        <v>21677</v>
      </c>
      <c r="E1890" s="14">
        <v>118160</v>
      </c>
      <c r="F1890" s="15">
        <v>37032</v>
      </c>
    </row>
    <row r="1891" spans="1:6" x14ac:dyDescent="0.3">
      <c r="A1891" s="7">
        <v>2017</v>
      </c>
      <c r="B1891" s="8" t="s">
        <v>60</v>
      </c>
      <c r="C1891" s="8" t="s">
        <v>20</v>
      </c>
      <c r="D1891" s="14">
        <v>29930</v>
      </c>
      <c r="E1891" s="14">
        <v>137568</v>
      </c>
      <c r="F1891" s="15">
        <v>32157</v>
      </c>
    </row>
    <row r="1892" spans="1:6" x14ac:dyDescent="0.3">
      <c r="A1892" s="7">
        <v>2017</v>
      </c>
      <c r="B1892" s="8" t="s">
        <v>60</v>
      </c>
      <c r="C1892" s="8" t="s">
        <v>21</v>
      </c>
      <c r="D1892" s="14">
        <v>16226</v>
      </c>
      <c r="E1892" s="14">
        <v>90138</v>
      </c>
      <c r="F1892" s="15">
        <v>33237</v>
      </c>
    </row>
    <row r="1893" spans="1:6" x14ac:dyDescent="0.3">
      <c r="A1893" s="7">
        <v>2017</v>
      </c>
      <c r="B1893" s="8" t="s">
        <v>60</v>
      </c>
      <c r="C1893" s="8" t="s">
        <v>22</v>
      </c>
      <c r="D1893" s="14">
        <v>4726</v>
      </c>
      <c r="E1893" s="14">
        <v>21154</v>
      </c>
      <c r="F1893" s="15">
        <v>33958</v>
      </c>
    </row>
    <row r="1894" spans="1:6" x14ac:dyDescent="0.3">
      <c r="A1894" s="7">
        <v>2017</v>
      </c>
      <c r="B1894" s="8" t="s">
        <v>60</v>
      </c>
      <c r="C1894" s="8" t="s">
        <v>23</v>
      </c>
      <c r="D1894" s="14">
        <v>13734</v>
      </c>
      <c r="E1894" s="14">
        <v>76037</v>
      </c>
      <c r="F1894" s="15">
        <v>32705</v>
      </c>
    </row>
    <row r="1895" spans="1:6" x14ac:dyDescent="0.3">
      <c r="A1895" s="7">
        <v>2017</v>
      </c>
      <c r="B1895" s="8" t="s">
        <v>60</v>
      </c>
      <c r="C1895" s="8" t="s">
        <v>24</v>
      </c>
      <c r="D1895" s="14">
        <v>4094</v>
      </c>
      <c r="E1895" s="14">
        <v>17909</v>
      </c>
      <c r="F1895" s="15">
        <v>29177</v>
      </c>
    </row>
    <row r="1896" spans="1:6" x14ac:dyDescent="0.3">
      <c r="A1896" s="7">
        <v>2017</v>
      </c>
      <c r="B1896" s="8" t="s">
        <v>60</v>
      </c>
      <c r="C1896" s="8" t="s">
        <v>25</v>
      </c>
      <c r="D1896" s="14">
        <v>4671</v>
      </c>
      <c r="E1896" s="14">
        <v>25082</v>
      </c>
      <c r="F1896" s="15">
        <v>31310</v>
      </c>
    </row>
    <row r="1897" spans="1:6" x14ac:dyDescent="0.3">
      <c r="A1897" s="7">
        <v>2017</v>
      </c>
      <c r="B1897" s="8" t="s">
        <v>60</v>
      </c>
      <c r="C1897" s="8" t="s">
        <v>26</v>
      </c>
      <c r="D1897" s="14">
        <v>4959</v>
      </c>
      <c r="E1897" s="14">
        <v>33667</v>
      </c>
      <c r="F1897" s="15">
        <v>36336</v>
      </c>
    </row>
    <row r="1898" spans="1:6" x14ac:dyDescent="0.3">
      <c r="A1898" s="7">
        <v>2017</v>
      </c>
      <c r="B1898" s="8" t="s">
        <v>60</v>
      </c>
      <c r="C1898" s="8" t="s">
        <v>27</v>
      </c>
      <c r="D1898" s="14">
        <v>3871</v>
      </c>
      <c r="E1898" s="14">
        <v>20493</v>
      </c>
      <c r="F1898" s="15">
        <v>36646</v>
      </c>
    </row>
    <row r="1899" spans="1:6" x14ac:dyDescent="0.3">
      <c r="A1899" s="7">
        <v>2017</v>
      </c>
      <c r="B1899" s="8" t="s">
        <v>60</v>
      </c>
      <c r="C1899" s="8" t="s">
        <v>28</v>
      </c>
      <c r="D1899" s="14">
        <v>25881</v>
      </c>
      <c r="E1899" s="14">
        <v>136480</v>
      </c>
      <c r="F1899" s="15">
        <v>35059</v>
      </c>
    </row>
    <row r="1900" spans="1:6" x14ac:dyDescent="0.3">
      <c r="A1900" s="7">
        <v>2017</v>
      </c>
      <c r="B1900" s="8" t="s">
        <v>60</v>
      </c>
      <c r="C1900" s="8" t="s">
        <v>29</v>
      </c>
      <c r="D1900" s="14">
        <v>3961</v>
      </c>
      <c r="E1900" s="14">
        <v>20593</v>
      </c>
      <c r="F1900" s="15">
        <v>32578</v>
      </c>
    </row>
    <row r="1901" spans="1:6" x14ac:dyDescent="0.3">
      <c r="A1901" s="7">
        <v>2017</v>
      </c>
      <c r="B1901" s="8" t="s">
        <v>60</v>
      </c>
      <c r="C1901" s="8" t="s">
        <v>30</v>
      </c>
      <c r="D1901" s="14">
        <v>74536</v>
      </c>
      <c r="E1901" s="14">
        <v>369805</v>
      </c>
      <c r="F1901" s="15">
        <v>40436</v>
      </c>
    </row>
    <row r="1902" spans="1:6" x14ac:dyDescent="0.3">
      <c r="A1902" s="7">
        <v>2017</v>
      </c>
      <c r="B1902" s="8" t="s">
        <v>60</v>
      </c>
      <c r="C1902" s="8" t="s">
        <v>31</v>
      </c>
      <c r="D1902" s="14">
        <v>23024</v>
      </c>
      <c r="E1902" s="14">
        <v>107404</v>
      </c>
      <c r="F1902" s="15">
        <v>33978</v>
      </c>
    </row>
    <row r="1903" spans="1:6" x14ac:dyDescent="0.3">
      <c r="A1903" s="7">
        <v>2017</v>
      </c>
      <c r="B1903" s="8" t="s">
        <v>60</v>
      </c>
      <c r="C1903" s="8" t="s">
        <v>32</v>
      </c>
      <c r="D1903" s="14">
        <v>2040</v>
      </c>
      <c r="E1903" s="14">
        <v>12231</v>
      </c>
      <c r="F1903" s="15">
        <v>34167</v>
      </c>
    </row>
    <row r="1904" spans="1:6" x14ac:dyDescent="0.3">
      <c r="A1904" s="7">
        <v>2017</v>
      </c>
      <c r="B1904" s="8" t="s">
        <v>60</v>
      </c>
      <c r="C1904" s="8" t="s">
        <v>33</v>
      </c>
      <c r="D1904" s="14">
        <v>23601</v>
      </c>
      <c r="E1904" s="14">
        <v>155257</v>
      </c>
      <c r="F1904" s="15">
        <v>33039</v>
      </c>
    </row>
    <row r="1905" spans="1:6" x14ac:dyDescent="0.3">
      <c r="A1905" s="7">
        <v>2017</v>
      </c>
      <c r="B1905" s="8" t="s">
        <v>60</v>
      </c>
      <c r="C1905" s="8" t="s">
        <v>34</v>
      </c>
      <c r="D1905" s="14">
        <v>6751</v>
      </c>
      <c r="E1905" s="14">
        <v>35772</v>
      </c>
      <c r="F1905" s="15">
        <v>34306</v>
      </c>
    </row>
    <row r="1906" spans="1:6" x14ac:dyDescent="0.3">
      <c r="A1906" s="7">
        <v>2017</v>
      </c>
      <c r="B1906" s="8" t="s">
        <v>60</v>
      </c>
      <c r="C1906" s="8" t="s">
        <v>35</v>
      </c>
      <c r="D1906" s="14">
        <v>22753</v>
      </c>
      <c r="E1906" s="14">
        <v>77028</v>
      </c>
      <c r="F1906" s="15">
        <v>31901</v>
      </c>
    </row>
    <row r="1907" spans="1:6" x14ac:dyDescent="0.3">
      <c r="A1907" s="7">
        <v>2017</v>
      </c>
      <c r="B1907" s="8" t="s">
        <v>60</v>
      </c>
      <c r="C1907" s="8" t="s">
        <v>36</v>
      </c>
      <c r="D1907" s="14">
        <v>32259</v>
      </c>
      <c r="E1907" s="14">
        <v>197527</v>
      </c>
      <c r="F1907" s="15">
        <v>32593</v>
      </c>
    </row>
    <row r="1908" spans="1:6" x14ac:dyDescent="0.3">
      <c r="A1908" s="7">
        <v>2017</v>
      </c>
      <c r="B1908" s="8" t="s">
        <v>60</v>
      </c>
      <c r="C1908" s="8" t="s">
        <v>37</v>
      </c>
      <c r="D1908" s="14">
        <v>3395</v>
      </c>
      <c r="E1908" s="14">
        <v>17959</v>
      </c>
      <c r="F1908" s="15">
        <v>32566</v>
      </c>
    </row>
    <row r="1909" spans="1:6" x14ac:dyDescent="0.3">
      <c r="A1909" s="7">
        <v>2017</v>
      </c>
      <c r="B1909" s="8" t="s">
        <v>60</v>
      </c>
      <c r="C1909" s="8" t="s">
        <v>38</v>
      </c>
      <c r="D1909" s="14">
        <v>11490</v>
      </c>
      <c r="E1909" s="14">
        <v>51779</v>
      </c>
      <c r="F1909" s="15">
        <v>32842</v>
      </c>
    </row>
    <row r="1910" spans="1:6" x14ac:dyDescent="0.3">
      <c r="A1910" s="7">
        <v>2017</v>
      </c>
      <c r="B1910" s="8" t="s">
        <v>60</v>
      </c>
      <c r="C1910" s="8" t="s">
        <v>39</v>
      </c>
      <c r="D1910" s="14">
        <v>2171</v>
      </c>
      <c r="E1910" s="14">
        <v>11078</v>
      </c>
      <c r="F1910" s="15">
        <v>31403</v>
      </c>
    </row>
    <row r="1911" spans="1:6" x14ac:dyDescent="0.3">
      <c r="A1911" s="7">
        <v>2017</v>
      </c>
      <c r="B1911" s="8" t="s">
        <v>60</v>
      </c>
      <c r="C1911" s="8" t="s">
        <v>40</v>
      </c>
      <c r="D1911" s="14">
        <v>14618</v>
      </c>
      <c r="E1911" s="14">
        <v>76045</v>
      </c>
      <c r="F1911" s="15">
        <v>34443</v>
      </c>
    </row>
    <row r="1912" spans="1:6" x14ac:dyDescent="0.3">
      <c r="A1912" s="7">
        <v>2017</v>
      </c>
      <c r="B1912" s="8" t="s">
        <v>60</v>
      </c>
      <c r="C1912" s="8" t="s">
        <v>41</v>
      </c>
      <c r="D1912" s="14">
        <v>56060</v>
      </c>
      <c r="E1912" s="14">
        <v>328026</v>
      </c>
      <c r="F1912" s="15">
        <v>37841</v>
      </c>
    </row>
    <row r="1913" spans="1:6" x14ac:dyDescent="0.3">
      <c r="A1913" s="7">
        <v>2017</v>
      </c>
      <c r="B1913" s="8" t="s">
        <v>60</v>
      </c>
      <c r="C1913" s="8" t="s">
        <v>42</v>
      </c>
      <c r="D1913" s="14">
        <v>6084</v>
      </c>
      <c r="E1913" s="14">
        <v>35143</v>
      </c>
      <c r="F1913" s="15">
        <v>34421</v>
      </c>
    </row>
    <row r="1914" spans="1:6" x14ac:dyDescent="0.3">
      <c r="A1914" s="7">
        <v>2017</v>
      </c>
      <c r="B1914" s="8" t="s">
        <v>60</v>
      </c>
      <c r="C1914" s="8" t="s">
        <v>43</v>
      </c>
      <c r="D1914" s="14">
        <v>1958</v>
      </c>
      <c r="E1914" s="14">
        <v>8658</v>
      </c>
      <c r="F1914" s="15">
        <v>34757</v>
      </c>
    </row>
    <row r="1915" spans="1:6" x14ac:dyDescent="0.3">
      <c r="A1915" s="7">
        <v>2017</v>
      </c>
      <c r="B1915" s="8" t="s">
        <v>60</v>
      </c>
      <c r="C1915" s="8" t="s">
        <v>44</v>
      </c>
      <c r="D1915" s="14">
        <v>32154</v>
      </c>
      <c r="E1915" s="14">
        <v>141985</v>
      </c>
      <c r="F1915" s="15">
        <v>42290</v>
      </c>
    </row>
    <row r="1916" spans="1:6" x14ac:dyDescent="0.3">
      <c r="A1916" s="7">
        <v>2017</v>
      </c>
      <c r="B1916" s="8" t="s">
        <v>60</v>
      </c>
      <c r="C1916" s="8" t="s">
        <v>45</v>
      </c>
      <c r="D1916" s="14">
        <v>19701</v>
      </c>
      <c r="E1916" s="14">
        <v>97492</v>
      </c>
      <c r="F1916" s="15">
        <v>38822</v>
      </c>
    </row>
    <row r="1917" spans="1:6" x14ac:dyDescent="0.3">
      <c r="A1917" s="7">
        <v>2017</v>
      </c>
      <c r="B1917" s="8" t="s">
        <v>60</v>
      </c>
      <c r="C1917" s="8" t="s">
        <v>46</v>
      </c>
      <c r="D1917" s="14">
        <v>5237</v>
      </c>
      <c r="E1917" s="14">
        <v>19979</v>
      </c>
      <c r="F1917" s="15">
        <v>29927</v>
      </c>
    </row>
    <row r="1918" spans="1:6" x14ac:dyDescent="0.3">
      <c r="A1918" s="7">
        <v>2017</v>
      </c>
      <c r="B1918" s="8" t="s">
        <v>60</v>
      </c>
      <c r="C1918" s="8" t="s">
        <v>47</v>
      </c>
      <c r="D1918" s="14">
        <v>14001</v>
      </c>
      <c r="E1918" s="14">
        <v>84153</v>
      </c>
      <c r="F1918" s="15">
        <v>29242</v>
      </c>
    </row>
    <row r="1919" spans="1:6" x14ac:dyDescent="0.3">
      <c r="A1919" s="9">
        <v>2017</v>
      </c>
      <c r="B1919" s="10" t="s">
        <v>60</v>
      </c>
      <c r="C1919" s="10" t="s">
        <v>48</v>
      </c>
      <c r="D1919" s="16">
        <v>1656</v>
      </c>
      <c r="E1919" s="16">
        <v>7231</v>
      </c>
      <c r="F1919" s="17">
        <v>35035</v>
      </c>
    </row>
  </sheetData>
  <sheetProtection algorithmName="SHA-512" hashValue="MOLS7HT6GgWT013Cez21cwtJmj3z100cTuiq90vEhRrjOE94SUevYK8ceOn94hOPnNts/mBYFkV5uCBI9tg0sQ==" saltValue="9kT+A8T8TE9Ge83hrwMsWQ==" spinCount="100000" sheet="1" objects="1" scenarios="1"/>
  <customSheetViews>
    <customSheetView guid="{948164EF-B902-4A6C-8E3C-A935061C5153}" state="hidden">
      <selection activeCell="F150" sqref="F150"/>
      <pageMargins left="0.7" right="0.7" top="0.75" bottom="0.75" header="0.3" footer="0.3"/>
      <pageSetup orientation="portrait" r:id="rId1"/>
    </customSheetView>
    <customSheetView guid="{A1F01C08-243B-48FC-94A8-F102AEB1706D}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AB44-CCDD-497E-8259-3EC8098A604D}">
  <sheetPr codeName="Sheet2"/>
  <dimension ref="A1:B49"/>
  <sheetViews>
    <sheetView workbookViewId="0">
      <selection activeCell="B30" sqref="B30"/>
    </sheetView>
  </sheetViews>
  <sheetFormatPr defaultRowHeight="14.4" x14ac:dyDescent="0.3"/>
  <cols>
    <col min="1" max="1" width="14" bestFit="1" customWidth="1"/>
    <col min="2" max="2" width="10" bestFit="1" customWidth="1"/>
  </cols>
  <sheetData>
    <row r="1" spans="1:2" x14ac:dyDescent="0.3">
      <c r="A1" s="19" t="s">
        <v>0</v>
      </c>
      <c r="B1" s="20" t="s">
        <v>75</v>
      </c>
    </row>
    <row r="2" spans="1:2" x14ac:dyDescent="0.3">
      <c r="A2" t="s">
        <v>1</v>
      </c>
      <c r="B2">
        <v>4887871</v>
      </c>
    </row>
    <row r="3" spans="1:2" x14ac:dyDescent="0.3">
      <c r="A3" t="s">
        <v>2</v>
      </c>
      <c r="B3">
        <v>7171646</v>
      </c>
    </row>
    <row r="4" spans="1:2" x14ac:dyDescent="0.3">
      <c r="A4" t="s">
        <v>3</v>
      </c>
      <c r="B4">
        <v>3013825</v>
      </c>
    </row>
    <row r="5" spans="1:2" x14ac:dyDescent="0.3">
      <c r="A5" t="s">
        <v>4</v>
      </c>
      <c r="B5">
        <v>39557045</v>
      </c>
    </row>
    <row r="6" spans="1:2" x14ac:dyDescent="0.3">
      <c r="A6" t="s">
        <v>5</v>
      </c>
      <c r="B6">
        <v>5695564</v>
      </c>
    </row>
    <row r="7" spans="1:2" x14ac:dyDescent="0.3">
      <c r="A7" t="s">
        <v>6</v>
      </c>
      <c r="B7">
        <v>3572665</v>
      </c>
    </row>
    <row r="8" spans="1:2" x14ac:dyDescent="0.3">
      <c r="A8" t="s">
        <v>7</v>
      </c>
      <c r="B8">
        <v>967171</v>
      </c>
    </row>
    <row r="9" spans="1:2" x14ac:dyDescent="0.3">
      <c r="A9" t="s">
        <v>8</v>
      </c>
      <c r="B9">
        <v>21670000</v>
      </c>
    </row>
    <row r="10" spans="1:2" x14ac:dyDescent="0.3">
      <c r="A10" t="s">
        <v>9</v>
      </c>
      <c r="B10">
        <v>10519475</v>
      </c>
    </row>
    <row r="11" spans="1:2" x14ac:dyDescent="0.3">
      <c r="A11" t="s">
        <v>10</v>
      </c>
      <c r="B11">
        <v>1754208</v>
      </c>
    </row>
    <row r="12" spans="1:2" x14ac:dyDescent="0.3">
      <c r="A12" t="s">
        <v>11</v>
      </c>
      <c r="B12">
        <v>12741080</v>
      </c>
    </row>
    <row r="13" spans="1:2" x14ac:dyDescent="0.3">
      <c r="A13" t="s">
        <v>12</v>
      </c>
      <c r="B13">
        <v>6691878</v>
      </c>
    </row>
    <row r="14" spans="1:2" x14ac:dyDescent="0.3">
      <c r="A14" t="s">
        <v>13</v>
      </c>
      <c r="B14">
        <v>3156145</v>
      </c>
    </row>
    <row r="15" spans="1:2" x14ac:dyDescent="0.3">
      <c r="A15" t="s">
        <v>14</v>
      </c>
      <c r="B15">
        <v>2911505</v>
      </c>
    </row>
    <row r="16" spans="1:2" x14ac:dyDescent="0.3">
      <c r="A16" t="s">
        <v>15</v>
      </c>
      <c r="B16">
        <v>4468402</v>
      </c>
    </row>
    <row r="17" spans="1:2" x14ac:dyDescent="0.3">
      <c r="A17" t="s">
        <v>16</v>
      </c>
      <c r="B17">
        <v>4659978</v>
      </c>
    </row>
    <row r="18" spans="1:2" x14ac:dyDescent="0.3">
      <c r="A18" t="s">
        <v>17</v>
      </c>
      <c r="B18">
        <v>1338404</v>
      </c>
    </row>
    <row r="19" spans="1:2" x14ac:dyDescent="0.3">
      <c r="A19" t="s">
        <v>18</v>
      </c>
      <c r="B19">
        <v>6042718</v>
      </c>
    </row>
    <row r="20" spans="1:2" x14ac:dyDescent="0.3">
      <c r="A20" t="s">
        <v>19</v>
      </c>
      <c r="B20">
        <v>6902149</v>
      </c>
    </row>
    <row r="21" spans="1:2" x14ac:dyDescent="0.3">
      <c r="A21" t="s">
        <v>20</v>
      </c>
      <c r="B21">
        <v>9995915</v>
      </c>
    </row>
    <row r="22" spans="1:2" x14ac:dyDescent="0.3">
      <c r="A22" t="s">
        <v>21</v>
      </c>
      <c r="B22">
        <v>5611179</v>
      </c>
    </row>
    <row r="23" spans="1:2" x14ac:dyDescent="0.3">
      <c r="A23" t="s">
        <v>22</v>
      </c>
      <c r="B23">
        <v>2963914</v>
      </c>
    </row>
    <row r="24" spans="1:2" x14ac:dyDescent="0.3">
      <c r="A24" t="s">
        <v>23</v>
      </c>
      <c r="B24">
        <v>6126452</v>
      </c>
    </row>
    <row r="25" spans="1:2" x14ac:dyDescent="0.3">
      <c r="A25" t="s">
        <v>24</v>
      </c>
      <c r="B25">
        <v>1062305</v>
      </c>
    </row>
    <row r="26" spans="1:2" x14ac:dyDescent="0.3">
      <c r="A26" t="s">
        <v>25</v>
      </c>
      <c r="B26">
        <v>1929268</v>
      </c>
    </row>
    <row r="27" spans="1:2" x14ac:dyDescent="0.3">
      <c r="A27" t="s">
        <v>26</v>
      </c>
      <c r="B27">
        <v>3034392</v>
      </c>
    </row>
    <row r="28" spans="1:2" x14ac:dyDescent="0.3">
      <c r="A28" t="s">
        <v>27</v>
      </c>
      <c r="B28">
        <v>1356458</v>
      </c>
    </row>
    <row r="29" spans="1:2" x14ac:dyDescent="0.3">
      <c r="A29" t="s">
        <v>28</v>
      </c>
      <c r="B29">
        <v>8908520</v>
      </c>
    </row>
    <row r="30" spans="1:2" x14ac:dyDescent="0.3">
      <c r="A30" t="s">
        <v>29</v>
      </c>
      <c r="B30">
        <v>2095428</v>
      </c>
    </row>
    <row r="31" spans="1:2" x14ac:dyDescent="0.3">
      <c r="A31" t="s">
        <v>30</v>
      </c>
      <c r="B31">
        <v>19542209</v>
      </c>
    </row>
    <row r="32" spans="1:2" x14ac:dyDescent="0.3">
      <c r="A32" t="s">
        <v>31</v>
      </c>
      <c r="B32">
        <v>10383620</v>
      </c>
    </row>
    <row r="33" spans="1:2" x14ac:dyDescent="0.3">
      <c r="A33" t="s">
        <v>32</v>
      </c>
      <c r="B33">
        <v>760077</v>
      </c>
    </row>
    <row r="34" spans="1:2" x14ac:dyDescent="0.3">
      <c r="A34" t="s">
        <v>33</v>
      </c>
      <c r="B34">
        <v>11689442</v>
      </c>
    </row>
    <row r="35" spans="1:2" x14ac:dyDescent="0.3">
      <c r="A35" t="s">
        <v>34</v>
      </c>
      <c r="B35">
        <v>3943079</v>
      </c>
    </row>
    <row r="36" spans="1:2" x14ac:dyDescent="0.3">
      <c r="A36" t="s">
        <v>35</v>
      </c>
      <c r="B36">
        <v>4190713</v>
      </c>
    </row>
    <row r="37" spans="1:2" x14ac:dyDescent="0.3">
      <c r="A37" t="s">
        <v>36</v>
      </c>
      <c r="B37">
        <v>12807060</v>
      </c>
    </row>
    <row r="38" spans="1:2" x14ac:dyDescent="0.3">
      <c r="A38" t="s">
        <v>37</v>
      </c>
      <c r="B38">
        <v>1057315</v>
      </c>
    </row>
    <row r="39" spans="1:2" x14ac:dyDescent="0.3">
      <c r="A39" t="s">
        <v>38</v>
      </c>
      <c r="B39">
        <v>5084127</v>
      </c>
    </row>
    <row r="40" spans="1:2" x14ac:dyDescent="0.3">
      <c r="A40" t="s">
        <v>39</v>
      </c>
      <c r="B40">
        <v>882235</v>
      </c>
    </row>
    <row r="41" spans="1:2" x14ac:dyDescent="0.3">
      <c r="A41" t="s">
        <v>40</v>
      </c>
      <c r="B41">
        <v>6770010</v>
      </c>
    </row>
    <row r="42" spans="1:2" x14ac:dyDescent="0.3">
      <c r="A42" t="s">
        <v>41</v>
      </c>
      <c r="B42">
        <v>28701845</v>
      </c>
    </row>
    <row r="43" spans="1:2" x14ac:dyDescent="0.3">
      <c r="A43" t="s">
        <v>42</v>
      </c>
      <c r="B43">
        <v>3161105</v>
      </c>
    </row>
    <row r="44" spans="1:2" x14ac:dyDescent="0.3">
      <c r="A44" t="s">
        <v>43</v>
      </c>
      <c r="B44">
        <v>626299</v>
      </c>
    </row>
    <row r="45" spans="1:2" x14ac:dyDescent="0.3">
      <c r="A45" t="s">
        <v>44</v>
      </c>
      <c r="B45">
        <v>8517685</v>
      </c>
    </row>
    <row r="46" spans="1:2" x14ac:dyDescent="0.3">
      <c r="A46" t="s">
        <v>45</v>
      </c>
      <c r="B46">
        <v>7614893</v>
      </c>
    </row>
    <row r="47" spans="1:2" x14ac:dyDescent="0.3">
      <c r="A47" t="s">
        <v>46</v>
      </c>
      <c r="B47">
        <v>1805832</v>
      </c>
    </row>
    <row r="48" spans="1:2" x14ac:dyDescent="0.3">
      <c r="A48" t="s">
        <v>47</v>
      </c>
      <c r="B48">
        <v>5813568</v>
      </c>
    </row>
    <row r="49" spans="1:2" x14ac:dyDescent="0.3">
      <c r="A49" t="s">
        <v>48</v>
      </c>
      <c r="B49">
        <v>577737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FD3C-AA88-4F46-8355-33F93A809F2F}">
  <sheetPr codeName="Sheet3"/>
  <dimension ref="A1:W50"/>
  <sheetViews>
    <sheetView zoomScale="87" zoomScaleNormal="87" workbookViewId="0">
      <selection activeCell="N3" sqref="N3"/>
    </sheetView>
  </sheetViews>
  <sheetFormatPr defaultRowHeight="14.4" x14ac:dyDescent="0.3"/>
  <cols>
    <col min="1" max="1" width="20.5546875" bestFit="1" customWidth="1"/>
    <col min="2" max="2" width="23.44140625" bestFit="1" customWidth="1"/>
    <col min="4" max="4" width="20.5546875" bestFit="1" customWidth="1"/>
    <col min="5" max="6" width="16.109375" customWidth="1"/>
    <col min="8" max="8" width="20.5546875" bestFit="1" customWidth="1"/>
    <col min="9" max="9" width="16.109375" customWidth="1"/>
    <col min="10" max="10" width="8.88671875" customWidth="1"/>
    <col min="12" max="12" width="8.77734375" customWidth="1"/>
    <col min="13" max="13" width="10.5546875" customWidth="1"/>
    <col min="14" max="14" width="10.77734375" customWidth="1"/>
    <col min="19" max="19" width="14.21875" bestFit="1" customWidth="1"/>
    <col min="20" max="20" width="9.21875" bestFit="1" customWidth="1"/>
    <col min="21" max="21" width="22.77734375" bestFit="1" customWidth="1"/>
    <col min="22" max="22" width="10.5546875" bestFit="1" customWidth="1"/>
    <col min="23" max="23" width="23.77734375" bestFit="1" customWidth="1"/>
  </cols>
  <sheetData>
    <row r="1" spans="1:23" x14ac:dyDescent="0.3">
      <c r="A1" s="29" t="s">
        <v>64</v>
      </c>
      <c r="B1" s="4"/>
      <c r="D1" s="30" t="s">
        <v>67</v>
      </c>
      <c r="E1" s="5"/>
      <c r="F1" s="5"/>
      <c r="H1" s="30" t="s">
        <v>67</v>
      </c>
      <c r="I1" s="5"/>
      <c r="L1" s="30" t="s">
        <v>73</v>
      </c>
      <c r="M1" s="5"/>
      <c r="N1" s="5"/>
      <c r="S1" s="30" t="s">
        <v>74</v>
      </c>
      <c r="T1" s="5"/>
      <c r="U1" s="5"/>
      <c r="V1" s="5"/>
      <c r="W1" s="5"/>
    </row>
    <row r="2" spans="1:23" x14ac:dyDescent="0.3">
      <c r="A2" s="3" t="s">
        <v>49</v>
      </c>
      <c r="B2" s="3" t="s">
        <v>65</v>
      </c>
      <c r="D2" s="6" t="s">
        <v>49</v>
      </c>
      <c r="E2" s="6" t="s">
        <v>68</v>
      </c>
      <c r="F2" s="6" t="s">
        <v>65</v>
      </c>
      <c r="H2" s="6" t="s">
        <v>49</v>
      </c>
      <c r="I2" s="6" t="s">
        <v>68</v>
      </c>
      <c r="L2" s="6" t="s">
        <v>50</v>
      </c>
      <c r="M2" s="6" t="s">
        <v>71</v>
      </c>
      <c r="N2" s="6" t="s">
        <v>72</v>
      </c>
      <c r="S2" s="6" t="s">
        <v>0</v>
      </c>
      <c r="T2" s="6" t="s">
        <v>72</v>
      </c>
      <c r="U2" s="6" t="s">
        <v>76</v>
      </c>
      <c r="V2" s="6" t="s">
        <v>77</v>
      </c>
      <c r="W2" s="6" t="str">
        <f>B19</f>
        <v>Avg. Wages</v>
      </c>
    </row>
    <row r="3" spans="1:23" x14ac:dyDescent="0.3">
      <c r="A3" t="s">
        <v>57</v>
      </c>
      <c r="B3" s="22" t="str">
        <f>Dashboard!B5</f>
        <v>Business Services</v>
      </c>
      <c r="D3" t="s">
        <v>53</v>
      </c>
      <c r="E3" s="2">
        <f>AVERAGEIFS(Data!F:F,Data!B:B,D3,Data!A:A,'Data Prep'!$B$16)</f>
        <v>93586.333333333328</v>
      </c>
      <c r="F3" s="2">
        <f>IF(D3=$B$3,E3,0)</f>
        <v>0</v>
      </c>
      <c r="H3" t="s">
        <v>54</v>
      </c>
      <c r="I3" s="1">
        <f>SUMIFS(Data!E:E,Data!B:B,H3,Data!A:A,'Data Prep'!$B$16)</f>
        <v>26277342</v>
      </c>
      <c r="L3">
        <v>2017</v>
      </c>
      <c r="M3" s="2">
        <f>AVERAGEIFS(Data!F:F,Data!B:B,$B$3,Data!A:A,'Data Prep'!L3)</f>
        <v>64714.4375</v>
      </c>
      <c r="N3" s="1">
        <f>SUMIFS(Data!E:E,Data!B:B,$B$3,Data!A:A,'Data Prep'!L3)</f>
        <v>20063464</v>
      </c>
      <c r="S3" s="8" t="s">
        <v>1</v>
      </c>
      <c r="T3" s="1">
        <f>SUMIFS(Data!E:E,Data!B:B,$B$3,Data!A:A,$B$16,Data!C:C,'Data Prep'!S3)</f>
        <v>242419</v>
      </c>
      <c r="U3" s="18">
        <f>T3/Populations!$B2 * 1000</f>
        <v>49.596030664475393</v>
      </c>
      <c r="V3" s="2">
        <f>AVERAGEIFS(Data!F:F,Data!B:B,'Data Prep'!$B$3,Data!A:A,'Data Prep'!$B$16,Data!C:C,'Data Prep'!S3)</f>
        <v>62111</v>
      </c>
      <c r="W3" s="21">
        <f>IF($W$2=$V$2,-V3,U3)</f>
        <v>-62111</v>
      </c>
    </row>
    <row r="4" spans="1:23" x14ac:dyDescent="0.3">
      <c r="A4" t="s">
        <v>51</v>
      </c>
      <c r="D4" t="s">
        <v>56</v>
      </c>
      <c r="E4" s="2">
        <f>AVERAGEIFS(Data!F:F,Data!B:B,D4,Data!A:A,'Data Prep'!$B$16)</f>
        <v>90040.666666666672</v>
      </c>
      <c r="F4" s="2">
        <f t="shared" ref="F4:F12" si="0">IF(D4=$B$3,E4,0)</f>
        <v>0</v>
      </c>
      <c r="H4" t="s">
        <v>58</v>
      </c>
      <c r="I4" s="1">
        <f>SUMIFS(Data!E:E,Data!B:B,H4,Data!A:A,'Data Prep'!$B$16)</f>
        <v>22035033</v>
      </c>
      <c r="L4">
        <v>2018</v>
      </c>
      <c r="M4" s="2">
        <f>AVERAGEIFS(Data!F:F,Data!B:B,$B$3,Data!A:A,'Data Prep'!L4)</f>
        <v>66836.25</v>
      </c>
      <c r="N4" s="1">
        <f>SUMIFS(Data!E:E,Data!B:B,$B$3,Data!A:A,'Data Prep'!L4)</f>
        <v>20594171</v>
      </c>
      <c r="S4" s="8" t="s">
        <v>2</v>
      </c>
      <c r="T4" s="1">
        <f>SUMIFS(Data!E:E,Data!B:B,$B$3,Data!A:A,$B$16,Data!C:C,'Data Prep'!S4)</f>
        <v>431379</v>
      </c>
      <c r="U4" s="18">
        <f>T4/Populations!$B3 * 1000</f>
        <v>60.150626508893495</v>
      </c>
      <c r="V4" s="2">
        <f>AVERAGEIFS(Data!F:F,Data!B:B,'Data Prep'!$B$3,Data!A:A,'Data Prep'!$B$16,Data!C:C,'Data Prep'!S4)</f>
        <v>63180</v>
      </c>
      <c r="W4" s="21">
        <f t="shared" ref="W4:W50" si="1">IF($W$2=$V$2,-V4,U4)</f>
        <v>-63180</v>
      </c>
    </row>
    <row r="5" spans="1:23" x14ac:dyDescent="0.3">
      <c r="A5" t="s">
        <v>58</v>
      </c>
      <c r="D5" t="s">
        <v>57</v>
      </c>
      <c r="E5" s="2">
        <f>AVERAGEIFS(Data!F:F,Data!B:B,D5,Data!A:A,'Data Prep'!$B$16)</f>
        <v>74713.0625</v>
      </c>
      <c r="F5" s="2">
        <f t="shared" si="0"/>
        <v>74713.0625</v>
      </c>
      <c r="H5" t="s">
        <v>57</v>
      </c>
      <c r="I5" s="1">
        <f>SUMIFS(Data!E:E,Data!B:B,H5,Data!A:A,'Data Prep'!$B$16)</f>
        <v>20065896</v>
      </c>
      <c r="L5">
        <v>2019</v>
      </c>
      <c r="M5" s="2">
        <f>AVERAGEIFS(Data!F:F,Data!B:B,$B$3,Data!A:A,'Data Prep'!L5)</f>
        <v>69592.166666666672</v>
      </c>
      <c r="N5" s="1">
        <f>SUMIFS(Data!E:E,Data!B:B,$B$3,Data!A:A,'Data Prep'!L5)</f>
        <v>20961286</v>
      </c>
      <c r="S5" s="8" t="s">
        <v>3</v>
      </c>
      <c r="T5" s="1">
        <f>SUMIFS(Data!E:E,Data!B:B,$B$3,Data!A:A,$B$16,Data!C:C,'Data Prep'!S5)</f>
        <v>139300</v>
      </c>
      <c r="U5" s="18">
        <f>T5/Populations!$B4 * 1000</f>
        <v>46.220334624604945</v>
      </c>
      <c r="V5" s="2">
        <f>AVERAGEIFS(Data!F:F,Data!B:B,'Data Prep'!$B$3,Data!A:A,'Data Prep'!$B$16,Data!C:C,'Data Prep'!S5)</f>
        <v>68067</v>
      </c>
      <c r="W5" s="21">
        <f t="shared" si="1"/>
        <v>-68067</v>
      </c>
    </row>
    <row r="6" spans="1:23" x14ac:dyDescent="0.3">
      <c r="A6" t="s">
        <v>56</v>
      </c>
      <c r="D6" t="s">
        <v>52</v>
      </c>
      <c r="E6" s="2">
        <f>AVERAGEIFS(Data!F:F,Data!B:B,D6,Data!A:A,'Data Prep'!$B$16)</f>
        <v>68427.875</v>
      </c>
      <c r="F6" s="2">
        <f t="shared" si="0"/>
        <v>0</v>
      </c>
      <c r="H6" t="s">
        <v>59</v>
      </c>
      <c r="I6" s="1">
        <f>SUMIFS(Data!E:E,Data!B:B,H6,Data!A:A,'Data Prep'!$B$16)</f>
        <v>12649500</v>
      </c>
      <c r="L6">
        <v>2020</v>
      </c>
      <c r="M6" s="2">
        <f>AVERAGEIFS(Data!F:F,Data!B:B,$B$3,Data!A:A,'Data Prep'!L6)</f>
        <v>74713.0625</v>
      </c>
      <c r="N6" s="1">
        <f>SUMIFS(Data!E:E,Data!B:B,$B$3,Data!A:A,'Data Prep'!L6)</f>
        <v>20065896</v>
      </c>
      <c r="S6" s="8" t="s">
        <v>4</v>
      </c>
      <c r="T6" s="1">
        <f>SUMIFS(Data!E:E,Data!B:B,$B$3,Data!A:A,$B$16,Data!C:C,'Data Prep'!S6)</f>
        <v>2600604</v>
      </c>
      <c r="U6" s="18">
        <f>T6/Populations!$B5 * 1000</f>
        <v>65.74313121720796</v>
      </c>
      <c r="V6" s="2">
        <f>AVERAGEIFS(Data!F:F,Data!B:B,'Data Prep'!$B$3,Data!A:A,'Data Prep'!$B$16,Data!C:C,'Data Prep'!S6)</f>
        <v>106486</v>
      </c>
      <c r="W6" s="21">
        <f t="shared" si="1"/>
        <v>-106486</v>
      </c>
    </row>
    <row r="7" spans="1:23" x14ac:dyDescent="0.3">
      <c r="A7" t="s">
        <v>53</v>
      </c>
      <c r="D7" t="s">
        <v>51</v>
      </c>
      <c r="E7" s="2">
        <f>AVERAGEIFS(Data!F:F,Data!B:B,D7,Data!A:A,'Data Prep'!$B$16)</f>
        <v>63896.895833333336</v>
      </c>
      <c r="F7" s="2">
        <f t="shared" si="0"/>
        <v>0</v>
      </c>
      <c r="H7" t="s">
        <v>52</v>
      </c>
      <c r="I7" s="1">
        <f>SUMIFS(Data!E:E,Data!B:B,H7,Data!A:A,'Data Prep'!$B$16)</f>
        <v>12058694</v>
      </c>
      <c r="S7" s="8" t="s">
        <v>5</v>
      </c>
      <c r="T7" s="1">
        <f>SUMIFS(Data!E:E,Data!B:B,$B$3,Data!A:A,$B$16,Data!C:C,'Data Prep'!S7)</f>
        <v>430367</v>
      </c>
      <c r="U7" s="18">
        <f>T7/Populations!$B6 * 1000</f>
        <v>75.561788086307175</v>
      </c>
      <c r="V7" s="2">
        <f>AVERAGEIFS(Data!F:F,Data!B:B,'Data Prep'!$B$3,Data!A:A,'Data Prep'!$B$16,Data!C:C,'Data Prep'!S7)</f>
        <v>90744</v>
      </c>
      <c r="W7" s="21">
        <f t="shared" si="1"/>
        <v>-90744</v>
      </c>
    </row>
    <row r="8" spans="1:23" x14ac:dyDescent="0.3">
      <c r="A8" t="s">
        <v>59</v>
      </c>
      <c r="D8" t="s">
        <v>55</v>
      </c>
      <c r="E8" s="2">
        <f>AVERAGEIFS(Data!F:F,Data!B:B,D8,Data!A:A,'Data Prep'!$B$16)</f>
        <v>55605.9375</v>
      </c>
      <c r="F8" s="2">
        <f t="shared" si="0"/>
        <v>0</v>
      </c>
      <c r="H8" t="s">
        <v>56</v>
      </c>
      <c r="I8" s="1">
        <f>SUMIFS(Data!E:E,Data!B:B,H8,Data!A:A,'Data Prep'!$B$16)</f>
        <v>8142043</v>
      </c>
      <c r="S8" s="8" t="s">
        <v>6</v>
      </c>
      <c r="T8" s="1">
        <f>SUMIFS(Data!E:E,Data!B:B,$B$3,Data!A:A,$B$16,Data!C:C,'Data Prep'!S8)</f>
        <v>206629</v>
      </c>
      <c r="U8" s="18">
        <f>T8/Populations!$B7 * 1000</f>
        <v>57.836097143169034</v>
      </c>
      <c r="V8" s="2">
        <f>AVERAGEIFS(Data!F:F,Data!B:B,'Data Prep'!$B$3,Data!A:A,'Data Prep'!$B$16,Data!C:C,'Data Prep'!S8)</f>
        <v>95714</v>
      </c>
      <c r="W8" s="21">
        <f t="shared" si="1"/>
        <v>-95714</v>
      </c>
    </row>
    <row r="9" spans="1:23" x14ac:dyDescent="0.3">
      <c r="A9" t="s">
        <v>52</v>
      </c>
      <c r="D9" t="s">
        <v>58</v>
      </c>
      <c r="E9" s="2">
        <f>AVERAGEIFS(Data!F:F,Data!B:B,D9,Data!A:A,'Data Prep'!$B$16)</f>
        <v>53607.208333333336</v>
      </c>
      <c r="F9" s="2">
        <f t="shared" si="0"/>
        <v>0</v>
      </c>
      <c r="H9" t="s">
        <v>51</v>
      </c>
      <c r="I9" s="1">
        <f>SUMIFS(Data!E:E,Data!B:B,H9,Data!A:A,'Data Prep'!$B$16)</f>
        <v>7136444</v>
      </c>
      <c r="S9" s="8" t="s">
        <v>7</v>
      </c>
      <c r="T9" s="1">
        <f>SUMIFS(Data!E:E,Data!B:B,$B$3,Data!A:A,$B$16,Data!C:C,'Data Prep'!S9)</f>
        <v>61669</v>
      </c>
      <c r="U9" s="18">
        <f>T9/Populations!$B8 * 1000</f>
        <v>63.762250935977193</v>
      </c>
      <c r="V9" s="2">
        <f>AVERAGEIFS(Data!F:F,Data!B:B,'Data Prep'!$B$3,Data!A:A,'Data Prep'!$B$16,Data!C:C,'Data Prep'!S9)</f>
        <v>85651</v>
      </c>
      <c r="W9" s="21">
        <f t="shared" si="1"/>
        <v>-85651</v>
      </c>
    </row>
    <row r="10" spans="1:23" x14ac:dyDescent="0.3">
      <c r="A10" t="s">
        <v>55</v>
      </c>
      <c r="D10" t="s">
        <v>54</v>
      </c>
      <c r="E10" s="2">
        <f>AVERAGEIFS(Data!F:F,Data!B:B,D10,Data!A:A,'Data Prep'!$B$16)</f>
        <v>49366.8125</v>
      </c>
      <c r="F10" s="2">
        <f t="shared" si="0"/>
        <v>0</v>
      </c>
      <c r="H10" t="s">
        <v>60</v>
      </c>
      <c r="I10" s="1">
        <f>SUMIFS(Data!E:E,Data!B:B,H10,Data!A:A,'Data Prep'!$B$16)</f>
        <v>3843699</v>
      </c>
      <c r="S10" s="8" t="s">
        <v>8</v>
      </c>
      <c r="T10" s="1">
        <f>SUMIFS(Data!E:E,Data!B:B,$B$3,Data!A:A,$B$16,Data!C:C,'Data Prep'!S10)</f>
        <v>1358317</v>
      </c>
      <c r="U10" s="18">
        <f>T10/Populations!$B9 * 1000</f>
        <v>62.68191047531149</v>
      </c>
      <c r="V10" s="2">
        <f>AVERAGEIFS(Data!F:F,Data!B:B,'Data Prep'!$B$3,Data!A:A,'Data Prep'!$B$16,Data!C:C,'Data Prep'!S10)</f>
        <v>68223</v>
      </c>
      <c r="W10" s="21">
        <f t="shared" si="1"/>
        <v>-68223</v>
      </c>
    </row>
    <row r="11" spans="1:23" x14ac:dyDescent="0.3">
      <c r="A11" t="s">
        <v>60</v>
      </c>
      <c r="D11" t="s">
        <v>60</v>
      </c>
      <c r="E11" s="2">
        <f>AVERAGEIFS(Data!F:F,Data!B:B,D11,Data!A:A,'Data Prep'!$B$16)</f>
        <v>40790.1875</v>
      </c>
      <c r="F11" s="2">
        <f t="shared" si="0"/>
        <v>0</v>
      </c>
      <c r="H11" t="s">
        <v>53</v>
      </c>
      <c r="I11" s="1">
        <f>SUMIFS(Data!E:E,Data!B:B,H11,Data!A:A,'Data Prep'!$B$16)</f>
        <v>2677815</v>
      </c>
      <c r="S11" s="8" t="s">
        <v>9</v>
      </c>
      <c r="T11" s="1">
        <f>SUMIFS(Data!E:E,Data!B:B,$B$3,Data!A:A,$B$16,Data!C:C,'Data Prep'!S11)</f>
        <v>692452</v>
      </c>
      <c r="U11" s="18">
        <f>T11/Populations!$B10 * 1000</f>
        <v>65.825718488802906</v>
      </c>
      <c r="V11" s="2">
        <f>AVERAGEIFS(Data!F:F,Data!B:B,'Data Prep'!$B$3,Data!A:A,'Data Prep'!$B$16,Data!C:C,'Data Prep'!S11)</f>
        <v>76331</v>
      </c>
      <c r="W11" s="21">
        <f t="shared" si="1"/>
        <v>-76331</v>
      </c>
    </row>
    <row r="12" spans="1:23" x14ac:dyDescent="0.3">
      <c r="A12" t="s">
        <v>54</v>
      </c>
      <c r="D12" t="s">
        <v>59</v>
      </c>
      <c r="E12" s="2">
        <f>AVERAGEIFS(Data!F:F,Data!B:B,D12,Data!A:A,'Data Prep'!$B$16)</f>
        <v>23286.416666666668</v>
      </c>
      <c r="F12" s="2">
        <f t="shared" si="0"/>
        <v>0</v>
      </c>
      <c r="H12" t="s">
        <v>55</v>
      </c>
      <c r="I12" s="1">
        <f>SUMIFS(Data!E:E,Data!B:B,H12,Data!A:A,'Data Prep'!$B$16)</f>
        <v>1762873</v>
      </c>
      <c r="S12" s="8" t="s">
        <v>10</v>
      </c>
      <c r="T12" s="1">
        <f>SUMIFS(Data!E:E,Data!B:B,$B$3,Data!A:A,$B$16,Data!C:C,'Data Prep'!S12)</f>
        <v>97097</v>
      </c>
      <c r="U12" s="18">
        <f>T12/Populations!$B11 * 1000</f>
        <v>55.350904795782483</v>
      </c>
      <c r="V12" s="2">
        <f>AVERAGEIFS(Data!F:F,Data!B:B,'Data Prep'!$B$3,Data!A:A,'Data Prep'!$B$16,Data!C:C,'Data Prep'!S12)</f>
        <v>59743</v>
      </c>
      <c r="W12" s="21">
        <f t="shared" si="1"/>
        <v>-59743</v>
      </c>
    </row>
    <row r="13" spans="1:23" x14ac:dyDescent="0.3">
      <c r="S13" s="8" t="s">
        <v>11</v>
      </c>
      <c r="T13" s="1">
        <f>SUMIFS(Data!E:E,Data!B:B,$B$3,Data!A:A,$B$16,Data!C:C,'Data Prep'!S13)</f>
        <v>892150</v>
      </c>
      <c r="U13" s="18">
        <f>T13/Populations!$B12 * 1000</f>
        <v>70.021536635826791</v>
      </c>
      <c r="V13" s="2">
        <f>AVERAGEIFS(Data!F:F,Data!B:B,'Data Prep'!$B$3,Data!A:A,'Data Prep'!$B$16,Data!C:C,'Data Prep'!S13)</f>
        <v>83889</v>
      </c>
      <c r="W13" s="21">
        <f t="shared" si="1"/>
        <v>-83889</v>
      </c>
    </row>
    <row r="14" spans="1:23" x14ac:dyDescent="0.3">
      <c r="S14" s="8" t="s">
        <v>12</v>
      </c>
      <c r="T14" s="1">
        <f>SUMIFS(Data!E:E,Data!B:B,$B$3,Data!A:A,$B$16,Data!C:C,'Data Prep'!S14)</f>
        <v>326745</v>
      </c>
      <c r="U14" s="18">
        <f>T14/Populations!$B13 * 1000</f>
        <v>48.827100553835557</v>
      </c>
      <c r="V14" s="2">
        <f>AVERAGEIFS(Data!F:F,Data!B:B,'Data Prep'!$B$3,Data!A:A,'Data Prep'!$B$16,Data!C:C,'Data Prep'!S14)</f>
        <v>58578</v>
      </c>
      <c r="W14" s="21">
        <f t="shared" si="1"/>
        <v>-58578</v>
      </c>
    </row>
    <row r="15" spans="1:23" x14ac:dyDescent="0.3">
      <c r="A15" s="29" t="s">
        <v>66</v>
      </c>
      <c r="B15" s="4"/>
      <c r="H15" s="30" t="s">
        <v>69</v>
      </c>
      <c r="I15" s="5"/>
      <c r="S15" s="8" t="s">
        <v>13</v>
      </c>
      <c r="T15" s="1">
        <f>SUMIFS(Data!E:E,Data!B:B,$B$3,Data!A:A,$B$16,Data!C:C,'Data Prep'!S15)</f>
        <v>134822</v>
      </c>
      <c r="U15" s="18">
        <f>T15/Populations!$B14 * 1000</f>
        <v>42.717302278570855</v>
      </c>
      <c r="V15" s="2">
        <f>AVERAGEIFS(Data!F:F,Data!B:B,'Data Prep'!$B$3,Data!A:A,'Data Prep'!$B$16,Data!C:C,'Data Prep'!S15)</f>
        <v>61793</v>
      </c>
      <c r="W15" s="21">
        <f t="shared" si="1"/>
        <v>-61793</v>
      </c>
    </row>
    <row r="16" spans="1:23" x14ac:dyDescent="0.3">
      <c r="A16" s="25" t="s">
        <v>78</v>
      </c>
      <c r="B16" s="26">
        <v>2020</v>
      </c>
      <c r="H16" s="6" t="s">
        <v>49</v>
      </c>
      <c r="I16" s="6" t="s">
        <v>62</v>
      </c>
      <c r="S16" s="8" t="s">
        <v>14</v>
      </c>
      <c r="T16" s="1">
        <f>SUMIFS(Data!E:E,Data!B:B,$B$3,Data!A:A,$B$16,Data!C:C,'Data Prep'!S16)</f>
        <v>168813</v>
      </c>
      <c r="U16" s="18">
        <f>T16/Populations!$B15 * 1000</f>
        <v>57.981353286358775</v>
      </c>
      <c r="V16" s="2">
        <f>AVERAGEIFS(Data!F:F,Data!B:B,'Data Prep'!$B$3,Data!A:A,'Data Prep'!$B$16,Data!C:C,'Data Prep'!S16)</f>
        <v>69538</v>
      </c>
      <c r="W16" s="21">
        <f t="shared" si="1"/>
        <v>-69538</v>
      </c>
    </row>
    <row r="17" spans="1:23" x14ac:dyDescent="0.3">
      <c r="H17" t="str">
        <f>B3</f>
        <v>Business Services</v>
      </c>
      <c r="I17" s="1">
        <f>VLOOKUP(B3,H2:I12,2,0)</f>
        <v>20065896</v>
      </c>
      <c r="S17" s="8" t="s">
        <v>15</v>
      </c>
      <c r="T17" s="1">
        <f>SUMIFS(Data!E:E,Data!B:B,$B$3,Data!A:A,$B$16,Data!C:C,'Data Prep'!S17)</f>
        <v>207575</v>
      </c>
      <c r="U17" s="18">
        <f>T17/Populations!$B16 * 1000</f>
        <v>46.4539672124397</v>
      </c>
      <c r="V17" s="2">
        <f>AVERAGEIFS(Data!F:F,Data!B:B,'Data Prep'!$B$3,Data!A:A,'Data Prep'!$B$16,Data!C:C,'Data Prep'!S17)</f>
        <v>55987</v>
      </c>
      <c r="W17" s="21">
        <f t="shared" si="1"/>
        <v>-55987</v>
      </c>
    </row>
    <row r="18" spans="1:23" x14ac:dyDescent="0.3">
      <c r="A18" s="29" t="s">
        <v>79</v>
      </c>
      <c r="B18" s="4"/>
      <c r="H18" t="s">
        <v>70</v>
      </c>
      <c r="I18" s="1">
        <f>SUM(I3:I12)-I17</f>
        <v>96583443</v>
      </c>
      <c r="S18" s="8" t="s">
        <v>16</v>
      </c>
      <c r="T18" s="1">
        <f>SUMIFS(Data!E:E,Data!B:B,$B$3,Data!A:A,$B$16,Data!C:C,'Data Prep'!S18)</f>
        <v>204729</v>
      </c>
      <c r="U18" s="18">
        <f>T18/Populations!$B17 * 1000</f>
        <v>43.933469213803157</v>
      </c>
      <c r="V18" s="2">
        <f>AVERAGEIFS(Data!F:F,Data!B:B,'Data Prep'!$B$3,Data!A:A,'Data Prep'!$B$16,Data!C:C,'Data Prep'!S18)</f>
        <v>60136</v>
      </c>
      <c r="W18" s="21">
        <f t="shared" si="1"/>
        <v>-60136</v>
      </c>
    </row>
    <row r="19" spans="1:23" x14ac:dyDescent="0.3">
      <c r="A19" s="25" t="s">
        <v>80</v>
      </c>
      <c r="B19" s="22" t="str">
        <f>IF(Dashboard!A2=1,'Data Prep'!V2,'Data Prep'!U2)</f>
        <v>Avg. Wages</v>
      </c>
      <c r="S19" s="8" t="s">
        <v>17</v>
      </c>
      <c r="T19" s="1">
        <f>SUMIFS(Data!E:E,Data!B:B,$B$3,Data!A:A,$B$16,Data!C:C,'Data Prep'!S19)</f>
        <v>68952</v>
      </c>
      <c r="U19" s="18">
        <f>T19/Populations!$B18 * 1000</f>
        <v>51.518076754104143</v>
      </c>
      <c r="V19" s="2">
        <f>AVERAGEIFS(Data!F:F,Data!B:B,'Data Prep'!$B$3,Data!A:A,'Data Prep'!$B$16,Data!C:C,'Data Prep'!S19)</f>
        <v>66178</v>
      </c>
      <c r="W19" s="21">
        <f t="shared" si="1"/>
        <v>-66178</v>
      </c>
    </row>
    <row r="20" spans="1:23" x14ac:dyDescent="0.3">
      <c r="H20" s="22" t="s">
        <v>81</v>
      </c>
      <c r="I20" s="27">
        <f>I17/SUM(I17:I18)</f>
        <v>0.17201894303061588</v>
      </c>
      <c r="S20" s="8" t="s">
        <v>18</v>
      </c>
      <c r="T20" s="1">
        <f>SUMIFS(Data!E:E,Data!B:B,$B$3,Data!A:A,$B$16,Data!C:C,'Data Prep'!S20)</f>
        <v>441860</v>
      </c>
      <c r="U20" s="18">
        <f>T20/Populations!$B19 * 1000</f>
        <v>73.122723913311859</v>
      </c>
      <c r="V20" s="2">
        <f>AVERAGEIFS(Data!F:F,Data!B:B,'Data Prep'!$B$3,Data!A:A,'Data Prep'!$B$16,Data!C:C,'Data Prep'!S20)</f>
        <v>88391</v>
      </c>
      <c r="W20" s="21">
        <f t="shared" si="1"/>
        <v>-88391</v>
      </c>
    </row>
    <row r="21" spans="1:23" x14ac:dyDescent="0.3">
      <c r="S21" s="8" t="s">
        <v>19</v>
      </c>
      <c r="T21" s="1">
        <f>SUMIFS(Data!E:E,Data!B:B,$B$3,Data!A:A,$B$16,Data!C:C,'Data Prep'!S21)</f>
        <v>583792</v>
      </c>
      <c r="U21" s="18">
        <f>T21/Populations!$B20 * 1000</f>
        <v>84.581193480465288</v>
      </c>
      <c r="V21" s="2">
        <f>AVERAGEIFS(Data!F:F,Data!B:B,'Data Prep'!$B$3,Data!A:A,'Data Prep'!$B$16,Data!C:C,'Data Prep'!S21)</f>
        <v>124638</v>
      </c>
      <c r="W21" s="21">
        <f t="shared" si="1"/>
        <v>-124638</v>
      </c>
    </row>
    <row r="22" spans="1:23" x14ac:dyDescent="0.3">
      <c r="S22" s="8" t="s">
        <v>20</v>
      </c>
      <c r="T22" s="1">
        <f>SUMIFS(Data!E:E,Data!B:B,$B$3,Data!A:A,$B$16,Data!C:C,'Data Prep'!S22)</f>
        <v>599657</v>
      </c>
      <c r="U22" s="18">
        <f>T22/Populations!$B21 * 1000</f>
        <v>59.990205999150653</v>
      </c>
      <c r="V22" s="2">
        <f>AVERAGEIFS(Data!F:F,Data!B:B,'Data Prep'!$B$3,Data!A:A,'Data Prep'!$B$16,Data!C:C,'Data Prep'!S22)</f>
        <v>76432</v>
      </c>
      <c r="W22" s="21">
        <f t="shared" si="1"/>
        <v>-76432</v>
      </c>
    </row>
    <row r="23" spans="1:23" x14ac:dyDescent="0.3">
      <c r="S23" s="8" t="s">
        <v>21</v>
      </c>
      <c r="T23" s="1">
        <f>SUMIFS(Data!E:E,Data!B:B,$B$3,Data!A:A,$B$16,Data!C:C,'Data Prep'!S23)</f>
        <v>361183</v>
      </c>
      <c r="U23" s="18">
        <f>T23/Populations!$B22 * 1000</f>
        <v>64.368468730011998</v>
      </c>
      <c r="V23" s="2">
        <f>AVERAGEIFS(Data!F:F,Data!B:B,'Data Prep'!$B$3,Data!A:A,'Data Prep'!$B$16,Data!C:C,'Data Prep'!S23)</f>
        <v>91033</v>
      </c>
      <c r="W23" s="21">
        <f t="shared" si="1"/>
        <v>-91033</v>
      </c>
    </row>
    <row r="24" spans="1:23" x14ac:dyDescent="0.3">
      <c r="S24" s="8" t="s">
        <v>22</v>
      </c>
      <c r="T24" s="1">
        <f>SUMIFS(Data!E:E,Data!B:B,$B$3,Data!A:A,$B$16,Data!C:C,'Data Prep'!S24)</f>
        <v>107758</v>
      </c>
      <c r="U24" s="18">
        <f>T24/Populations!$B23 * 1000</f>
        <v>36.356655422525755</v>
      </c>
      <c r="V24" s="2">
        <f>AVERAGEIFS(Data!F:F,Data!B:B,'Data Prep'!$B$3,Data!A:A,'Data Prep'!$B$16,Data!C:C,'Data Prep'!S24)</f>
        <v>45573</v>
      </c>
      <c r="W24" s="21">
        <f t="shared" si="1"/>
        <v>-45573</v>
      </c>
    </row>
    <row r="25" spans="1:23" x14ac:dyDescent="0.3">
      <c r="S25" s="8" t="s">
        <v>23</v>
      </c>
      <c r="T25" s="1">
        <f>SUMIFS(Data!E:E,Data!B:B,$B$3,Data!A:A,$B$16,Data!C:C,'Data Prep'!S25)</f>
        <v>365657</v>
      </c>
      <c r="U25" s="18">
        <f>T25/Populations!$B24 * 1000</f>
        <v>59.684953052762026</v>
      </c>
      <c r="V25" s="2">
        <f>AVERAGEIFS(Data!F:F,Data!B:B,'Data Prep'!$B$3,Data!A:A,'Data Prep'!$B$16,Data!C:C,'Data Prep'!S25)</f>
        <v>72666</v>
      </c>
      <c r="W25" s="21">
        <f t="shared" si="1"/>
        <v>-72666</v>
      </c>
    </row>
    <row r="26" spans="1:23" x14ac:dyDescent="0.3">
      <c r="S26" s="8" t="s">
        <v>24</v>
      </c>
      <c r="T26" s="1">
        <f>SUMIFS(Data!E:E,Data!B:B,$B$3,Data!A:A,$B$16,Data!C:C,'Data Prep'!S26)</f>
        <v>43549</v>
      </c>
      <c r="U26" s="18">
        <f>T26/Populations!$B25 * 1000</f>
        <v>40.994817872456586</v>
      </c>
      <c r="V26" s="2">
        <f>AVERAGEIFS(Data!F:F,Data!B:B,'Data Prep'!$B$3,Data!A:A,'Data Prep'!$B$16,Data!C:C,'Data Prep'!S26)</f>
        <v>59785</v>
      </c>
      <c r="W26" s="21">
        <f t="shared" si="1"/>
        <v>-59785</v>
      </c>
    </row>
    <row r="27" spans="1:23" x14ac:dyDescent="0.3">
      <c r="S27" s="8" t="s">
        <v>25</v>
      </c>
      <c r="T27" s="1">
        <f>SUMIFS(Data!E:E,Data!B:B,$B$3,Data!A:A,$B$16,Data!C:C,'Data Prep'!S27)</f>
        <v>117288</v>
      </c>
      <c r="U27" s="18">
        <f>T27/Populations!$B26 * 1000</f>
        <v>60.79404209264861</v>
      </c>
      <c r="V27" s="2">
        <f>AVERAGEIFS(Data!F:F,Data!B:B,'Data Prep'!$B$3,Data!A:A,'Data Prep'!$B$16,Data!C:C,'Data Prep'!S27)</f>
        <v>65292</v>
      </c>
      <c r="W27" s="21">
        <f t="shared" si="1"/>
        <v>-65292</v>
      </c>
    </row>
    <row r="28" spans="1:23" x14ac:dyDescent="0.3">
      <c r="S28" s="8" t="s">
        <v>26</v>
      </c>
      <c r="T28" s="1">
        <f>SUMIFS(Data!E:E,Data!B:B,$B$3,Data!A:A,$B$16,Data!C:C,'Data Prep'!S28)</f>
        <v>179092</v>
      </c>
      <c r="U28" s="18">
        <f>T28/Populations!$B27 * 1000</f>
        <v>59.020719801528607</v>
      </c>
      <c r="V28" s="2">
        <f>AVERAGEIFS(Data!F:F,Data!B:B,'Data Prep'!$B$3,Data!A:A,'Data Prep'!$B$16,Data!C:C,'Data Prep'!S28)</f>
        <v>67081</v>
      </c>
      <c r="W28" s="21">
        <f t="shared" si="1"/>
        <v>-67081</v>
      </c>
    </row>
    <row r="29" spans="1:23" x14ac:dyDescent="0.3">
      <c r="S29" s="8" t="s">
        <v>27</v>
      </c>
      <c r="T29" s="1">
        <f>SUMIFS(Data!E:E,Data!B:B,$B$3,Data!A:A,$B$16,Data!C:C,'Data Prep'!S29)</f>
        <v>81639</v>
      </c>
      <c r="U29" s="18">
        <f>T29/Populations!$B28 * 1000</f>
        <v>60.185424097170717</v>
      </c>
      <c r="V29" s="2">
        <f>AVERAGEIFS(Data!F:F,Data!B:B,'Data Prep'!$B$3,Data!A:A,'Data Prep'!$B$16,Data!C:C,'Data Prep'!S29)</f>
        <v>88167</v>
      </c>
      <c r="W29" s="21">
        <f t="shared" si="1"/>
        <v>-88167</v>
      </c>
    </row>
    <row r="30" spans="1:23" x14ac:dyDescent="0.3">
      <c r="S30" s="8" t="s">
        <v>28</v>
      </c>
      <c r="T30" s="1">
        <f>SUMIFS(Data!E:E,Data!B:B,$B$3,Data!A:A,$B$16,Data!C:C,'Data Prep'!S30)</f>
        <v>643507</v>
      </c>
      <c r="U30" s="18">
        <f>T30/Populations!$B29 * 1000</f>
        <v>72.235006488170868</v>
      </c>
      <c r="V30" s="2">
        <f>AVERAGEIFS(Data!F:F,Data!B:B,'Data Prep'!$B$3,Data!A:A,'Data Prep'!$B$16,Data!C:C,'Data Prep'!S30)</f>
        <v>102666</v>
      </c>
      <c r="W30" s="21">
        <f t="shared" si="1"/>
        <v>-102666</v>
      </c>
    </row>
    <row r="31" spans="1:23" x14ac:dyDescent="0.3">
      <c r="S31" s="8" t="s">
        <v>29</v>
      </c>
      <c r="T31" s="1">
        <f>SUMIFS(Data!E:E,Data!B:B,$B$3,Data!A:A,$B$16,Data!C:C,'Data Prep'!S31)</f>
        <v>107707</v>
      </c>
      <c r="U31" s="18">
        <f>T31/Populations!$B30 * 1000</f>
        <v>51.400954840729433</v>
      </c>
      <c r="V31" s="2">
        <f>AVERAGEIFS(Data!F:F,Data!B:B,'Data Prep'!$B$3,Data!A:A,'Data Prep'!$B$16,Data!C:C,'Data Prep'!S31)</f>
        <v>69938</v>
      </c>
      <c r="W31" s="21">
        <f t="shared" si="1"/>
        <v>-69938</v>
      </c>
    </row>
    <row r="32" spans="1:23" x14ac:dyDescent="0.3">
      <c r="S32" s="8" t="s">
        <v>30</v>
      </c>
      <c r="T32" s="1">
        <f>SUMIFS(Data!E:E,Data!B:B,$B$3,Data!A:A,$B$16,Data!C:C,'Data Prep'!S32)</f>
        <v>1242471</v>
      </c>
      <c r="U32" s="18">
        <f>T32/Populations!$B31 * 1000</f>
        <v>63.578841061417371</v>
      </c>
      <c r="V32" s="2">
        <f>AVERAGEIFS(Data!F:F,Data!B:B,'Data Prep'!$B$3,Data!A:A,'Data Prep'!$B$16,Data!C:C,'Data Prep'!S32)</f>
        <v>109413</v>
      </c>
      <c r="W32" s="21">
        <f t="shared" si="1"/>
        <v>-109413</v>
      </c>
    </row>
    <row r="33" spans="19:23" x14ac:dyDescent="0.3">
      <c r="S33" s="8" t="s">
        <v>31</v>
      </c>
      <c r="T33" s="1">
        <f>SUMIFS(Data!E:E,Data!B:B,$B$3,Data!A:A,$B$16,Data!C:C,'Data Prep'!S33)</f>
        <v>637719</v>
      </c>
      <c r="U33" s="18">
        <f>T33/Populations!$B32 * 1000</f>
        <v>61.415864602132977</v>
      </c>
      <c r="V33" s="2">
        <f>AVERAGEIFS(Data!F:F,Data!B:B,'Data Prep'!$B$3,Data!A:A,'Data Prep'!$B$16,Data!C:C,'Data Prep'!S33)</f>
        <v>72078</v>
      </c>
      <c r="W33" s="21">
        <f t="shared" si="1"/>
        <v>-72078</v>
      </c>
    </row>
    <row r="34" spans="19:23" x14ac:dyDescent="0.3">
      <c r="S34" s="8" t="s">
        <v>32</v>
      </c>
      <c r="T34" s="1">
        <f>SUMIFS(Data!E:E,Data!B:B,$B$3,Data!A:A,$B$16,Data!C:C,'Data Prep'!S34)</f>
        <v>31642</v>
      </c>
      <c r="U34" s="18">
        <f>T34/Populations!$B33 * 1000</f>
        <v>41.629992750734466</v>
      </c>
      <c r="V34" s="2">
        <f>AVERAGEIFS(Data!F:F,Data!B:B,'Data Prep'!$B$3,Data!A:A,'Data Prep'!$B$16,Data!C:C,'Data Prep'!S34)</f>
        <v>65877</v>
      </c>
      <c r="W34" s="21">
        <f t="shared" si="1"/>
        <v>-65877</v>
      </c>
    </row>
    <row r="35" spans="19:23" x14ac:dyDescent="0.3">
      <c r="S35" s="8" t="s">
        <v>33</v>
      </c>
      <c r="T35" s="1">
        <f>SUMIFS(Data!E:E,Data!B:B,$B$3,Data!A:A,$B$16,Data!C:C,'Data Prep'!S35)</f>
        <v>697244</v>
      </c>
      <c r="U35" s="18">
        <f>T35/Populations!$B34 * 1000</f>
        <v>59.647329615904681</v>
      </c>
      <c r="V35" s="2">
        <f>AVERAGEIFS(Data!F:F,Data!B:B,'Data Prep'!$B$3,Data!A:A,'Data Prep'!$B$16,Data!C:C,'Data Prep'!S35)</f>
        <v>71920</v>
      </c>
      <c r="W35" s="21">
        <f t="shared" si="1"/>
        <v>-71920</v>
      </c>
    </row>
    <row r="36" spans="19:23" x14ac:dyDescent="0.3">
      <c r="S36" s="8" t="s">
        <v>34</v>
      </c>
      <c r="T36" s="1">
        <f>SUMIFS(Data!E:E,Data!B:B,$B$3,Data!A:A,$B$16,Data!C:C,'Data Prep'!S36)</f>
        <v>185307</v>
      </c>
      <c r="U36" s="18">
        <f>T36/Populations!$B35 * 1000</f>
        <v>46.995507825229978</v>
      </c>
      <c r="V36" s="2">
        <f>AVERAGEIFS(Data!F:F,Data!B:B,'Data Prep'!$B$3,Data!A:A,'Data Prep'!$B$16,Data!C:C,'Data Prep'!S36)</f>
        <v>58539</v>
      </c>
      <c r="W36" s="21">
        <f t="shared" si="1"/>
        <v>-58539</v>
      </c>
    </row>
    <row r="37" spans="19:23" x14ac:dyDescent="0.3">
      <c r="S37" s="8" t="s">
        <v>35</v>
      </c>
      <c r="T37" s="1">
        <f>SUMIFS(Data!E:E,Data!B:B,$B$3,Data!A:A,$B$16,Data!C:C,'Data Prep'!S37)</f>
        <v>242218</v>
      </c>
      <c r="U37" s="18">
        <f>T37/Populations!$B36 * 1000</f>
        <v>57.798756440729775</v>
      </c>
      <c r="V37" s="2">
        <f>AVERAGEIFS(Data!F:F,Data!B:B,'Data Prep'!$B$3,Data!A:A,'Data Prep'!$B$16,Data!C:C,'Data Prep'!S37)</f>
        <v>81224</v>
      </c>
      <c r="W37" s="21">
        <f t="shared" si="1"/>
        <v>-81224</v>
      </c>
    </row>
    <row r="38" spans="19:23" x14ac:dyDescent="0.3">
      <c r="S38" s="8" t="s">
        <v>36</v>
      </c>
      <c r="T38" s="1">
        <f>SUMIFS(Data!E:E,Data!B:B,$B$3,Data!A:A,$B$16,Data!C:C,'Data Prep'!S38)</f>
        <v>766122</v>
      </c>
      <c r="U38" s="18">
        <f>T38/Populations!$B37 * 1000</f>
        <v>59.820286623159411</v>
      </c>
      <c r="V38" s="2">
        <f>AVERAGEIFS(Data!F:F,Data!B:B,'Data Prep'!$B$3,Data!A:A,'Data Prep'!$B$16,Data!C:C,'Data Prep'!S38)</f>
        <v>86971</v>
      </c>
      <c r="W38" s="21">
        <f t="shared" si="1"/>
        <v>-86971</v>
      </c>
    </row>
    <row r="39" spans="19:23" x14ac:dyDescent="0.3">
      <c r="S39" s="8" t="s">
        <v>37</v>
      </c>
      <c r="T39" s="1">
        <f>SUMIFS(Data!E:E,Data!B:B,$B$3,Data!A:A,$B$16,Data!C:C,'Data Prep'!S39)</f>
        <v>65232</v>
      </c>
      <c r="U39" s="18">
        <f>T39/Populations!$B38 * 1000</f>
        <v>61.695899519064803</v>
      </c>
      <c r="V39" s="2">
        <f>AVERAGEIFS(Data!F:F,Data!B:B,'Data Prep'!$B$3,Data!A:A,'Data Prep'!$B$16,Data!C:C,'Data Prep'!S39)</f>
        <v>75829</v>
      </c>
      <c r="W39" s="21">
        <f t="shared" si="1"/>
        <v>-75829</v>
      </c>
    </row>
    <row r="40" spans="19:23" x14ac:dyDescent="0.3">
      <c r="S40" s="8" t="s">
        <v>38</v>
      </c>
      <c r="T40" s="1">
        <f>SUMIFS(Data!E:E,Data!B:B,$B$3,Data!A:A,$B$16,Data!C:C,'Data Prep'!S40)</f>
        <v>281874</v>
      </c>
      <c r="U40" s="18">
        <f>T40/Populations!$B39 * 1000</f>
        <v>55.441966732931732</v>
      </c>
      <c r="V40" s="2">
        <f>AVERAGEIFS(Data!F:F,Data!B:B,'Data Prep'!$B$3,Data!A:A,'Data Prep'!$B$16,Data!C:C,'Data Prep'!S40)</f>
        <v>56907</v>
      </c>
      <c r="W40" s="21">
        <f t="shared" si="1"/>
        <v>-56907</v>
      </c>
    </row>
    <row r="41" spans="19:23" x14ac:dyDescent="0.3">
      <c r="S41" s="8" t="s">
        <v>39</v>
      </c>
      <c r="T41" s="1">
        <f>SUMIFS(Data!E:E,Data!B:B,$B$3,Data!A:A,$B$16,Data!C:C,'Data Prep'!S41)</f>
        <v>32771</v>
      </c>
      <c r="U41" s="18">
        <f>T41/Populations!$B40 * 1000</f>
        <v>37.145431772713621</v>
      </c>
      <c r="V41" s="2">
        <f>AVERAGEIFS(Data!F:F,Data!B:B,'Data Prep'!$B$3,Data!A:A,'Data Prep'!$B$16,Data!C:C,'Data Prep'!S41)</f>
        <v>63709</v>
      </c>
      <c r="W41" s="21">
        <f t="shared" si="1"/>
        <v>-63709</v>
      </c>
    </row>
    <row r="42" spans="19:23" x14ac:dyDescent="0.3">
      <c r="S42" s="8" t="s">
        <v>40</v>
      </c>
      <c r="T42" s="1">
        <f>SUMIFS(Data!E:E,Data!B:B,$B$3,Data!A:A,$B$16,Data!C:C,'Data Prep'!S42)</f>
        <v>414644</v>
      </c>
      <c r="U42" s="18">
        <f>T42/Populations!$B41 * 1000</f>
        <v>61.247176887478751</v>
      </c>
      <c r="V42" s="2">
        <f>AVERAGEIFS(Data!F:F,Data!B:B,'Data Prep'!$B$3,Data!A:A,'Data Prep'!$B$16,Data!C:C,'Data Prep'!S42)</f>
        <v>66460</v>
      </c>
      <c r="W42" s="21">
        <f t="shared" si="1"/>
        <v>-66460</v>
      </c>
    </row>
    <row r="43" spans="19:23" x14ac:dyDescent="0.3">
      <c r="S43" s="8" t="s">
        <v>41</v>
      </c>
      <c r="T43" s="1">
        <f>SUMIFS(Data!E:E,Data!B:B,$B$3,Data!A:A,$B$16,Data!C:C,'Data Prep'!S43)</f>
        <v>1758991</v>
      </c>
      <c r="U43" s="18">
        <f>T43/Populations!$B42 * 1000</f>
        <v>61.2849452709399</v>
      </c>
      <c r="V43" s="2">
        <f>AVERAGEIFS(Data!F:F,Data!B:B,'Data Prep'!$B$3,Data!A:A,'Data Prep'!$B$16,Data!C:C,'Data Prep'!S43)</f>
        <v>81123</v>
      </c>
      <c r="W43" s="21">
        <f t="shared" si="1"/>
        <v>-81123</v>
      </c>
    </row>
    <row r="44" spans="19:23" x14ac:dyDescent="0.3">
      <c r="S44" s="8" t="s">
        <v>42</v>
      </c>
      <c r="T44" s="1">
        <f>SUMIFS(Data!E:E,Data!B:B,$B$3,Data!A:A,$B$16,Data!C:C,'Data Prep'!S44)</f>
        <v>223284</v>
      </c>
      <c r="U44" s="18">
        <f>T44/Populations!$B43 * 1000</f>
        <v>70.634793845822898</v>
      </c>
      <c r="V44" s="2">
        <f>AVERAGEIFS(Data!F:F,Data!B:B,'Data Prep'!$B$3,Data!A:A,'Data Prep'!$B$16,Data!C:C,'Data Prep'!S44)</f>
        <v>68355</v>
      </c>
      <c r="W44" s="21">
        <f t="shared" si="1"/>
        <v>-68355</v>
      </c>
    </row>
    <row r="45" spans="19:23" x14ac:dyDescent="0.3">
      <c r="S45" s="8" t="s">
        <v>43</v>
      </c>
      <c r="T45" s="1">
        <f>SUMIFS(Data!E:E,Data!B:B,$B$3,Data!A:A,$B$16,Data!C:C,'Data Prep'!S45)</f>
        <v>28512</v>
      </c>
      <c r="U45" s="18">
        <f>T45/Populations!$B44 * 1000</f>
        <v>45.524581709375234</v>
      </c>
      <c r="V45" s="2">
        <f>AVERAGEIFS(Data!F:F,Data!B:B,'Data Prep'!$B$3,Data!A:A,'Data Prep'!$B$16,Data!C:C,'Data Prep'!S45)</f>
        <v>74442</v>
      </c>
      <c r="W45" s="21">
        <f t="shared" si="1"/>
        <v>-74442</v>
      </c>
    </row>
    <row r="46" spans="19:23" x14ac:dyDescent="0.3">
      <c r="S46" s="8" t="s">
        <v>44</v>
      </c>
      <c r="T46" s="1">
        <f>SUMIFS(Data!E:E,Data!B:B,$B$3,Data!A:A,$B$16,Data!C:C,'Data Prep'!S46)</f>
        <v>752090</v>
      </c>
      <c r="U46" s="18">
        <f>T46/Populations!$B45 * 1000</f>
        <v>88.297465802034239</v>
      </c>
      <c r="V46" s="2">
        <f>AVERAGEIFS(Data!F:F,Data!B:B,'Data Prep'!$B$3,Data!A:A,'Data Prep'!$B$16,Data!C:C,'Data Prep'!S46)</f>
        <v>96046</v>
      </c>
      <c r="W46" s="21">
        <f t="shared" si="1"/>
        <v>-96046</v>
      </c>
    </row>
    <row r="47" spans="19:23" x14ac:dyDescent="0.3">
      <c r="S47" s="8" t="s">
        <v>45</v>
      </c>
      <c r="T47" s="1">
        <f>SUMIFS(Data!E:E,Data!B:B,$B$3,Data!A:A,$B$16,Data!C:C,'Data Prep'!S47)</f>
        <v>415190</v>
      </c>
      <c r="U47" s="18">
        <f>T47/Populations!$B46 * 1000</f>
        <v>54.523418779489091</v>
      </c>
      <c r="V47" s="2">
        <f>AVERAGEIFS(Data!F:F,Data!B:B,'Data Prep'!$B$3,Data!A:A,'Data Prep'!$B$16,Data!C:C,'Data Prep'!S47)</f>
        <v>92279</v>
      </c>
      <c r="W47" s="21">
        <f t="shared" si="1"/>
        <v>-92279</v>
      </c>
    </row>
    <row r="48" spans="19:23" x14ac:dyDescent="0.3">
      <c r="S48" s="8" t="s">
        <v>46</v>
      </c>
      <c r="T48" s="1">
        <f>SUMIFS(Data!E:E,Data!B:B,$B$3,Data!A:A,$B$16,Data!C:C,'Data Prep'!S48)</f>
        <v>65715</v>
      </c>
      <c r="U48" s="18">
        <f>T48/Populations!$B47 * 1000</f>
        <v>36.390428345493937</v>
      </c>
      <c r="V48" s="2">
        <f>AVERAGEIFS(Data!F:F,Data!B:B,'Data Prep'!$B$3,Data!A:A,'Data Prep'!$B$16,Data!C:C,'Data Prep'!S48)</f>
        <v>53557</v>
      </c>
      <c r="W48" s="21">
        <f t="shared" si="1"/>
        <v>-53557</v>
      </c>
    </row>
    <row r="49" spans="19:23" x14ac:dyDescent="0.3">
      <c r="S49" s="8" t="s">
        <v>47</v>
      </c>
      <c r="T49" s="1">
        <f>SUMIFS(Data!E:E,Data!B:B,$B$3,Data!A:A,$B$16,Data!C:C,'Data Prep'!S49)</f>
        <v>309780</v>
      </c>
      <c r="U49" s="18">
        <f>T49/Populations!$B48 * 1000</f>
        <v>53.285693054592294</v>
      </c>
      <c r="V49" s="2">
        <f>AVERAGEIFS(Data!F:F,Data!B:B,'Data Prep'!$B$3,Data!A:A,'Data Prep'!$B$16,Data!C:C,'Data Prep'!S49)</f>
        <v>67254</v>
      </c>
      <c r="W49" s="21">
        <f t="shared" si="1"/>
        <v>-67254</v>
      </c>
    </row>
    <row r="50" spans="19:23" x14ac:dyDescent="0.3">
      <c r="S50" s="8" t="s">
        <v>48</v>
      </c>
      <c r="T50" s="1">
        <f>SUMIFS(Data!E:E,Data!B:B,$B$3,Data!A:A,$B$16,Data!C:C,'Data Prep'!S50)</f>
        <v>18382</v>
      </c>
      <c r="U50" s="18">
        <f>T50/Populations!$B49 * 1000</f>
        <v>31.817245563292644</v>
      </c>
      <c r="V50" s="2">
        <f>AVERAGEIFS(Data!F:F,Data!B:B,'Data Prep'!$B$3,Data!A:A,'Data Prep'!$B$16,Data!C:C,'Data Prep'!S50)</f>
        <v>60233</v>
      </c>
      <c r="W50" s="21">
        <f t="shared" si="1"/>
        <v>-60233</v>
      </c>
    </row>
  </sheetData>
  <sheetProtection algorithmName="SHA-512" hashValue="lNSOZZnYeH3tpbOZYmcXs57zeD+yRDRXAqi4reC8hFEo6xuOmicZUJGI+plTxdDI2dj308fXIZ+A5limbBv5eQ==" saltValue="whjl3hiVAJTsuAlK6jgykw==" spinCount="100000" sheet="1" objects="1" scenarios="1"/>
  <sortState xmlns:xlrd2="http://schemas.microsoft.com/office/spreadsheetml/2017/richdata2" ref="H2:I12">
    <sortCondition descending="1" ref="I3:I12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4E1-CB62-49A9-BC13-DA30AF2FF4A2}">
  <sheetPr codeName="Sheet4"/>
  <dimension ref="A1:L49"/>
  <sheetViews>
    <sheetView showGridLines="0" topLeftCell="A7" zoomScale="90" zoomScaleNormal="90" workbookViewId="0">
      <selection activeCell="F7" sqref="F7"/>
    </sheetView>
  </sheetViews>
  <sheetFormatPr defaultColWidth="0" defaultRowHeight="14.4" zeroHeight="1" x14ac:dyDescent="0.3"/>
  <cols>
    <col min="1" max="1" width="5.88671875" customWidth="1"/>
    <col min="2" max="2" width="37.5546875" customWidth="1"/>
    <col min="3" max="3" width="8.77734375" customWidth="1"/>
    <col min="4" max="4" width="42.44140625" bestFit="1" customWidth="1"/>
    <col min="5" max="7" width="8.77734375" customWidth="1"/>
    <col min="8" max="8" width="38.33203125" customWidth="1"/>
    <col min="9" max="12" width="8.77734375" customWidth="1"/>
    <col min="13" max="16384" width="8.77734375" hidden="1"/>
  </cols>
  <sheetData>
    <row r="1" spans="1:8" x14ac:dyDescent="0.3">
      <c r="A1" s="24">
        <v>8</v>
      </c>
    </row>
    <row r="2" spans="1:8" x14ac:dyDescent="0.3">
      <c r="A2" s="24">
        <v>1</v>
      </c>
    </row>
    <row r="3" spans="1:8" x14ac:dyDescent="0.3"/>
    <row r="4" spans="1:8" x14ac:dyDescent="0.3"/>
    <row r="5" spans="1:8" ht="25.8" x14ac:dyDescent="0.5">
      <c r="B5" s="28" t="str" cm="1">
        <f t="array" ref="B5">INDEX('Data Prep'!D3:D12,11-Dashboard!A1)</f>
        <v>Business Services</v>
      </c>
    </row>
    <row r="6" spans="1:8" x14ac:dyDescent="0.3"/>
    <row r="7" spans="1:8" ht="21" x14ac:dyDescent="0.4">
      <c r="D7" t="s">
        <v>82</v>
      </c>
      <c r="H7" s="23"/>
    </row>
    <row r="8" spans="1:8" x14ac:dyDescent="0.3"/>
    <row r="9" spans="1:8" x14ac:dyDescent="0.3"/>
    <row r="10" spans="1:8" x14ac:dyDescent="0.3"/>
    <row r="11" spans="1:8" x14ac:dyDescent="0.3"/>
    <row r="12" spans="1:8" x14ac:dyDescent="0.3"/>
    <row r="13" spans="1:8" x14ac:dyDescent="0.3"/>
    <row r="14" spans="1:8" x14ac:dyDescent="0.3"/>
    <row r="15" spans="1:8" x14ac:dyDescent="0.3"/>
    <row r="16" spans="1:8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hidden="1" x14ac:dyDescent="0.3"/>
    <row r="40" customFormat="1" hidden="1" x14ac:dyDescent="0.3"/>
    <row r="41" customFormat="1" hidden="1" x14ac:dyDescent="0.3"/>
    <row r="42" customFormat="1" hidden="1" x14ac:dyDescent="0.3"/>
    <row r="43" customFormat="1" hidden="1" x14ac:dyDescent="0.3"/>
    <row r="44" customFormat="1" hidden="1" x14ac:dyDescent="0.3"/>
    <row r="45" customFormat="1" hidden="1" x14ac:dyDescent="0.3"/>
    <row r="46" customFormat="1" hidden="1" x14ac:dyDescent="0.3"/>
    <row r="47" customFormat="1" hidden="1" x14ac:dyDescent="0.3"/>
    <row r="48" customFormat="1" hidden="1" x14ac:dyDescent="0.3"/>
    <row r="49" customFormat="1" hidden="1" x14ac:dyDescent="0.3"/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Spinner 2">
              <controlPr defaultSize="0" autoPict="0">
                <anchor moveWithCells="1" sizeWithCells="1">
                  <from>
                    <xdr:col>2</xdr:col>
                    <xdr:colOff>60960</xdr:colOff>
                    <xdr:row>3</xdr:row>
                    <xdr:rowOff>182880</xdr:rowOff>
                  </from>
                  <to>
                    <xdr:col>2</xdr:col>
                    <xdr:colOff>403860</xdr:colOff>
                    <xdr:row>4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Option Button 3">
              <controlPr defaultSize="0" autoFill="0" autoLine="0" autoPict="0">
                <anchor moveWithCells="1">
                  <from>
                    <xdr:col>7</xdr:col>
                    <xdr:colOff>22860</xdr:colOff>
                    <xdr:row>6</xdr:row>
                    <xdr:rowOff>114300</xdr:rowOff>
                  </from>
                  <to>
                    <xdr:col>7</xdr:col>
                    <xdr:colOff>960120</xdr:colOff>
                    <xdr:row>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Option Button 4">
              <controlPr defaultSize="0" autoFill="0" autoLine="0" autoPict="0">
                <anchor moveWithCells="1">
                  <from>
                    <xdr:col>7</xdr:col>
                    <xdr:colOff>1905000</xdr:colOff>
                    <xdr:row>6</xdr:row>
                    <xdr:rowOff>114300</xdr:rowOff>
                  </from>
                  <to>
                    <xdr:col>9</xdr:col>
                    <xdr:colOff>274320</xdr:colOff>
                    <xdr:row>7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</vt:lpstr>
      <vt:lpstr>Populations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Admin</cp:lastModifiedBy>
  <dcterms:created xsi:type="dcterms:W3CDTF">2021-09-21T20:47:02Z</dcterms:created>
  <dcterms:modified xsi:type="dcterms:W3CDTF">2026-05-23T07:53:53Z</dcterms:modified>
</cp:coreProperties>
</file>