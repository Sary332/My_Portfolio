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Ex2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publishItems="1"/>
  <mc:AlternateContent xmlns:mc="http://schemas.openxmlformats.org/markup-compatibility/2006">
    <mc:Choice Requires="x15">
      <x15ac:absPath xmlns:x15ac="http://schemas.microsoft.com/office/spreadsheetml/2010/11/ac" url="D:\Maven Analytics\EXCEL\"/>
    </mc:Choice>
  </mc:AlternateContent>
  <xr:revisionPtr revIDLastSave="0" documentId="13_ncr:1_{D8CDDDD3-DB63-488B-924E-B5D3901A4EC5}" xr6:coauthVersionLast="47" xr6:coauthVersionMax="47" xr10:uidLastSave="{00000000-0000-0000-0000-000000000000}"/>
  <bookViews>
    <workbookView xWindow="-108" yWindow="-108" windowWidth="23256" windowHeight="12456" activeTab="2" xr2:uid="{DB438AB8-0F60-4224-9C67-97043B861F24}"/>
  </bookViews>
  <sheets>
    <sheet name="Data" sheetId="1" r:id="rId1"/>
    <sheet name="Populations" sheetId="3" r:id="rId2"/>
    <sheet name="Data Prep" sheetId="2" r:id="rId3"/>
    <sheet name="Dashboard" sheetId="4" r:id="rId4"/>
  </sheets>
  <definedNames>
    <definedName name="_xlnm._FilterDatabase" localSheetId="0" hidden="1">Data!$A$1:$F$1919</definedName>
    <definedName name="_xlchart.v5.0" hidden="1">'Data Prep'!$S$2</definedName>
    <definedName name="_xlchart.v5.1" hidden="1">'Data Prep'!$S$3:$S$50</definedName>
    <definedName name="_xlchart.v5.2" hidden="1">'Data Prep'!$W$2</definedName>
    <definedName name="_xlchart.v5.3" hidden="1">'Data Prep'!$W$3:$W$50</definedName>
    <definedName name="_xlchart.v5.4" hidden="1">'Data Prep'!$S$2</definedName>
    <definedName name="_xlchart.v5.5" hidden="1">'Data Prep'!$S$3:$S$50</definedName>
    <definedName name="_xlchart.v5.6" hidden="1">'Data Prep'!$W$2</definedName>
    <definedName name="_xlchart.v5.7" hidden="1">'Data Prep'!$W$3:$W$50</definedName>
    <definedName name="Z_948164EF_B902_4A6C_8E3C_A935061C5153_.wvu.FilterData" localSheetId="0" hidden="1">Data!$A$1:$F$1919</definedName>
    <definedName name="Z_A1F01C08_243B_48FC_94A8_F102AEB1706D_.wvu.FilterData" localSheetId="0" hidden="1">Data!$A$1:$F$1919</definedName>
  </definedNames>
  <calcPr calcId="191029"/>
  <customWorkbookViews>
    <customWorkbookView name="ShowAllWorksheets" guid="{A1F01C08-243B-48FC-94A8-F102AEB1706D}" maximized="1" xWindow="-8" yWindow="-8" windowWidth="1936" windowHeight="1056" activeSheetId="8" showFormulaBar="0"/>
    <customWorkbookView name="Dashboard" guid="{948164EF-B902-4A6C-8E3C-A935061C5153}" maximized="1" xWindow="-8" yWindow="-8" windowWidth="1936" windowHeight="1056" activeSheetId="8" showFormulaBar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9" i="2" l="1"/>
  <c r="W2" i="2" s="1"/>
  <c r="B5" i="4" a="1"/>
  <c r="B5" i="4" s="1"/>
  <c r="B3" i="2" s="1"/>
  <c r="V7" i="2" s="1"/>
  <c r="I8" i="2"/>
  <c r="I5" i="2"/>
  <c r="I7" i="2"/>
  <c r="I9" i="2"/>
  <c r="I12" i="2"/>
  <c r="I4" i="2"/>
  <c r="I3" i="2"/>
  <c r="I10" i="2"/>
  <c r="I6" i="2"/>
  <c r="I11" i="2"/>
  <c r="E7" i="2"/>
  <c r="E9" i="2"/>
  <c r="E4" i="2"/>
  <c r="E3" i="2"/>
  <c r="E12" i="2"/>
  <c r="E6" i="2"/>
  <c r="E8" i="2"/>
  <c r="E11" i="2"/>
  <c r="E10" i="2"/>
  <c r="E5" i="2"/>
  <c r="F11" i="2" l="1"/>
  <c r="F7" i="2"/>
  <c r="F6" i="2"/>
  <c r="F9" i="2"/>
  <c r="F5" i="2"/>
  <c r="F10" i="2"/>
  <c r="F3" i="2"/>
  <c r="F12" i="2"/>
  <c r="F8" i="2"/>
  <c r="F4" i="2"/>
  <c r="V10" i="2"/>
  <c r="H17" i="2"/>
  <c r="N4" i="2"/>
  <c r="T44" i="2"/>
  <c r="U44" i="2" s="1"/>
  <c r="I17" i="2"/>
  <c r="M3" i="2"/>
  <c r="N3" i="2"/>
  <c r="T3" i="2"/>
  <c r="U3" i="2" s="1"/>
  <c r="T47" i="2"/>
  <c r="U47" i="2" s="1"/>
  <c r="T43" i="2"/>
  <c r="U43" i="2" s="1"/>
  <c r="T39" i="2"/>
  <c r="U39" i="2" s="1"/>
  <c r="T35" i="2"/>
  <c r="U35" i="2" s="1"/>
  <c r="T31" i="2"/>
  <c r="U31" i="2" s="1"/>
  <c r="T27" i="2"/>
  <c r="U27" i="2" s="1"/>
  <c r="T23" i="2"/>
  <c r="U23" i="2" s="1"/>
  <c r="T19" i="2"/>
  <c r="U19" i="2" s="1"/>
  <c r="T15" i="2"/>
  <c r="U15" i="2" s="1"/>
  <c r="T11" i="2"/>
  <c r="U11" i="2" s="1"/>
  <c r="T6" i="2"/>
  <c r="U6" i="2" s="1"/>
  <c r="V46" i="2"/>
  <c r="V30" i="2"/>
  <c r="V14" i="2"/>
  <c r="M6" i="2"/>
  <c r="N6" i="2"/>
  <c r="T50" i="2"/>
  <c r="U50" i="2" s="1"/>
  <c r="T46" i="2"/>
  <c r="U46" i="2" s="1"/>
  <c r="T42" i="2"/>
  <c r="U42" i="2" s="1"/>
  <c r="T38" i="2"/>
  <c r="U38" i="2" s="1"/>
  <c r="T34" i="2"/>
  <c r="U34" i="2" s="1"/>
  <c r="T30" i="2"/>
  <c r="U30" i="2" s="1"/>
  <c r="T26" i="2"/>
  <c r="U26" i="2" s="1"/>
  <c r="T22" i="2"/>
  <c r="U22" i="2" s="1"/>
  <c r="T18" i="2"/>
  <c r="U18" i="2" s="1"/>
  <c r="T14" i="2"/>
  <c r="U14" i="2" s="1"/>
  <c r="T10" i="2"/>
  <c r="U10" i="2" s="1"/>
  <c r="T5" i="2"/>
  <c r="U5" i="2" s="1"/>
  <c r="V42" i="2"/>
  <c r="V26" i="2"/>
  <c r="M5" i="2"/>
  <c r="N5" i="2"/>
  <c r="T49" i="2"/>
  <c r="U49" i="2" s="1"/>
  <c r="T45" i="2"/>
  <c r="U45" i="2" s="1"/>
  <c r="T41" i="2"/>
  <c r="U41" i="2" s="1"/>
  <c r="T37" i="2"/>
  <c r="U37" i="2" s="1"/>
  <c r="T33" i="2"/>
  <c r="U33" i="2" s="1"/>
  <c r="T29" i="2"/>
  <c r="U29" i="2" s="1"/>
  <c r="T25" i="2"/>
  <c r="U25" i="2" s="1"/>
  <c r="T21" i="2"/>
  <c r="U21" i="2" s="1"/>
  <c r="T17" i="2"/>
  <c r="U17" i="2" s="1"/>
  <c r="T13" i="2"/>
  <c r="U13" i="2" s="1"/>
  <c r="T9" i="2"/>
  <c r="U9" i="2" s="1"/>
  <c r="T4" i="2"/>
  <c r="U4" i="2" s="1"/>
  <c r="V38" i="2"/>
  <c r="V22" i="2"/>
  <c r="V6" i="2"/>
  <c r="M4" i="2"/>
  <c r="T48" i="2"/>
  <c r="U48" i="2" s="1"/>
  <c r="T40" i="2"/>
  <c r="U40" i="2" s="1"/>
  <c r="T36" i="2"/>
  <c r="U36" i="2" s="1"/>
  <c r="T32" i="2"/>
  <c r="U32" i="2" s="1"/>
  <c r="T28" i="2"/>
  <c r="U28" i="2" s="1"/>
  <c r="T24" i="2"/>
  <c r="U24" i="2" s="1"/>
  <c r="T20" i="2"/>
  <c r="U20" i="2" s="1"/>
  <c r="T16" i="2"/>
  <c r="U16" i="2" s="1"/>
  <c r="T12" i="2"/>
  <c r="U12" i="2" s="1"/>
  <c r="T8" i="2"/>
  <c r="U8" i="2" s="1"/>
  <c r="V50" i="2"/>
  <c r="V34" i="2"/>
  <c r="V18" i="2"/>
  <c r="V49" i="2"/>
  <c r="V45" i="2"/>
  <c r="V41" i="2"/>
  <c r="V37" i="2"/>
  <c r="V33" i="2"/>
  <c r="V29" i="2"/>
  <c r="V25" i="2"/>
  <c r="V21" i="2"/>
  <c r="V17" i="2"/>
  <c r="V13" i="2"/>
  <c r="V9" i="2"/>
  <c r="V5" i="2"/>
  <c r="V48" i="2"/>
  <c r="V44" i="2"/>
  <c r="V40" i="2"/>
  <c r="V36" i="2"/>
  <c r="V32" i="2"/>
  <c r="V28" i="2"/>
  <c r="V24" i="2"/>
  <c r="V20" i="2"/>
  <c r="V16" i="2"/>
  <c r="V12" i="2"/>
  <c r="V8" i="2"/>
  <c r="V4" i="2"/>
  <c r="T7" i="2"/>
  <c r="U7" i="2" s="1"/>
  <c r="W7" i="2" s="1"/>
  <c r="V3" i="2"/>
  <c r="V47" i="2"/>
  <c r="V43" i="2"/>
  <c r="V39" i="2"/>
  <c r="V35" i="2"/>
  <c r="V31" i="2"/>
  <c r="V27" i="2"/>
  <c r="V23" i="2"/>
  <c r="V19" i="2"/>
  <c r="V15" i="2"/>
  <c r="V11" i="2"/>
  <c r="W10" i="2" l="1"/>
  <c r="I18" i="2"/>
  <c r="I20" i="2" s="1"/>
  <c r="W4" i="2"/>
  <c r="W36" i="2"/>
  <c r="W48" i="2"/>
  <c r="W8" i="2"/>
  <c r="W24" i="2"/>
  <c r="W40" i="2"/>
  <c r="W12" i="2"/>
  <c r="W44" i="2"/>
  <c r="W28" i="2"/>
  <c r="W16" i="2"/>
  <c r="W20" i="2"/>
  <c r="W32" i="2"/>
  <c r="W5" i="2"/>
  <c r="W26" i="2"/>
  <c r="W14" i="2"/>
  <c r="W6" i="2"/>
  <c r="W21" i="2"/>
  <c r="W37" i="2"/>
  <c r="W22" i="2"/>
  <c r="W38" i="2"/>
  <c r="W42" i="2"/>
  <c r="W19" i="2"/>
  <c r="W35" i="2"/>
  <c r="W3" i="2"/>
  <c r="W23" i="2"/>
  <c r="W39" i="2"/>
  <c r="W9" i="2"/>
  <c r="W25" i="2"/>
  <c r="W41" i="2"/>
  <c r="W13" i="2"/>
  <c r="W29" i="2"/>
  <c r="W45" i="2"/>
  <c r="W30" i="2"/>
  <c r="W46" i="2"/>
  <c r="W11" i="2"/>
  <c r="W27" i="2"/>
  <c r="W43" i="2"/>
  <c r="W17" i="2"/>
  <c r="W33" i="2"/>
  <c r="W49" i="2"/>
  <c r="W18" i="2"/>
  <c r="W34" i="2"/>
  <c r="W50" i="2"/>
  <c r="W15" i="2"/>
  <c r="W31" i="2"/>
  <c r="W4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<sst xmlns="http://schemas.openxmlformats.org/spreadsheetml/2006/main" count="3999" uniqueCount="83">
  <si>
    <t>State</t>
  </si>
  <si>
    <t>Alabama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</si>
  <si>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</si>
  <si>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</si>
  <si>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</si>
  <si>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</si>
  <si>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</si>
  <si>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</si>
  <si>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</si>
  <si>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</si>
  <si>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</si>
  <si>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</si>
  <si>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</si>
  <si>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</si>
  <si>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</si>
  <si>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</si>
  <si>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</si>
  <si>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</si>
  <si>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</si>
  <si>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</si>
  <si>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</si>
  <si>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</si>
  <si>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</si>
  <si>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</si>
  <si>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</si>
  <si>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</si>
  <si>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</si>
  <si>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</si>
  <si>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</si>
  <si>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</si>
  <si>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</si>
  <si>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</si>
  <si>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</si>
  <si>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</si>
  <si>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</si>
  <si>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</si>
  <si>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</si>
  <si>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</si>
  <si>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</si>
  <si>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</si>
  <si>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</si>
  <si>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</si>
  <si>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</si>
  <si>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</si>
  <si>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</si>
  <si>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</si>
  <si>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</si>
  <si>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</si>
  <si>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</si>
  <si>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Industry</t>
  </si>
  <si>
    <t>Year</t>
  </si>
  <si>
    <t>Construction</t>
  </si>
  <si>
    <t>Manufacturing</t>
  </si>
  <si>
    <t>Information</t>
  </si>
  <si>
    <t>Trade &amp; Transportation</t>
  </si>
  <si>
    <t>Natural Resources</t>
  </si>
  <si>
    <t>Finance</t>
  </si>
  <si>
    <t>Business Services</t>
  </si>
  <si>
    <t>Education &amp; Health</t>
  </si>
  <si>
    <t>Leisure &amp; Hospitality</t>
  </si>
  <si>
    <t>Other Services</t>
  </si>
  <si>
    <t>Establishments</t>
  </si>
  <si>
    <t>Employees</t>
  </si>
  <si>
    <t>Avg Annual Wage</t>
  </si>
  <si>
    <t>INDUSTRY FILTER</t>
  </si>
  <si>
    <t>Selection</t>
  </si>
  <si>
    <t>DATE FILTER</t>
  </si>
  <si>
    <t>AVG WAGE BY INDUSTRY</t>
  </si>
  <si>
    <t xml:space="preserve">Avg Annual Wage </t>
  </si>
  <si>
    <t>EMPLOYEES BY INDUSTRY (CLEAN)</t>
  </si>
  <si>
    <t>Others</t>
  </si>
  <si>
    <t xml:space="preserve">Avg Wage </t>
  </si>
  <si>
    <t>Employee</t>
  </si>
  <si>
    <t>WAGE &amp; EMPLOYEE TRENDS</t>
  </si>
  <si>
    <t>Comparison By State</t>
  </si>
  <si>
    <t>Population</t>
  </si>
  <si>
    <t>Employees Per 1000 Capita</t>
  </si>
  <si>
    <t>Avg. Wages</t>
  </si>
  <si>
    <t>Current Year :</t>
  </si>
  <si>
    <t>MAP FILTER</t>
  </si>
  <si>
    <t>Metrics :</t>
  </si>
  <si>
    <t>Percentage :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</si>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</sst>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"/>
    <numFmt numFmtId="165" formatCode="#,##0;&quot;$&quot;#,##0"/>
    <numFmt numFmtId="166" formatCode=";;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0"/>
      <color theme="1" tint="0.249977111117893"/>
      <name val="Calibri"/>
      <family val="2"/>
      <scheme val="minor"/>
    </font>
    <font>
      <b/>
      <sz val="16"/>
      <color theme="1" tint="0.249977111117893"/>
      <name val="Calibri"/>
      <family val="2"/>
      <scheme val="minor"/>
    </font>
    <font>
      <sz val="8"/>
      <color rgb="FF000000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99"/>
        <bgColor indexed="64"/>
      </patternFill>
    </fill>
  </fills>
  <borders count="7">
    <border>
      <left/>
      <right/>
      <top/>
      <bottom/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  <border>
      <left style="thin">
        <color theme="8"/>
      </left>
      <right/>
      <top style="thin">
        <color theme="8"/>
      </top>
      <bottom style="thin">
        <color theme="8"/>
      </bottom>
      <diagonal/>
    </border>
    <border>
      <left/>
      <right/>
      <top style="thin">
        <color theme="8"/>
      </top>
      <bottom style="thin">
        <color theme="8"/>
      </bottom>
      <diagonal/>
    </border>
    <border>
      <left/>
      <right style="thin">
        <color theme="8"/>
      </right>
      <top style="thin">
        <color theme="8"/>
      </top>
      <bottom style="thin">
        <color theme="8"/>
      </bottom>
      <diagonal/>
    </border>
  </borders>
  <cellStyleXfs count="1">
    <xf numFmtId="0" fontId="0" fillId="0" borderId="0"/>
  </cellStyleXfs>
  <cellXfs count="31">
    <xf numFmtId="0" fontId="0" fillId="0" borderId="0" xfId="0"/>
    <xf numFmtId="3" fontId="0" fillId="0" borderId="0" xfId="0" applyNumberFormat="1"/>
    <xf numFmtId="164" fontId="0" fillId="0" borderId="0" xfId="0" applyNumberFormat="1"/>
    <xf numFmtId="0" fontId="1" fillId="3" borderId="0" xfId="0" applyFont="1" applyFill="1"/>
    <xf numFmtId="0" fontId="0" fillId="4" borderId="0" xfId="0" applyFill="1" applyAlignment="1">
      <alignment horizontal="centerContinuous"/>
    </xf>
    <xf numFmtId="0" fontId="0" fillId="5" borderId="0" xfId="0" applyFill="1" applyAlignment="1">
      <alignment horizontal="centerContinuous"/>
    </xf>
    <xf numFmtId="0" fontId="1" fillId="6" borderId="0" xfId="0" applyFont="1" applyFill="1"/>
    <xf numFmtId="0" fontId="0" fillId="0" borderId="1" xfId="0" applyBorder="1"/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2" fillId="2" borderId="2" xfId="0" applyFont="1" applyFill="1" applyBorder="1"/>
    <xf numFmtId="0" fontId="2" fillId="2" borderId="1" xfId="0" applyFont="1" applyFill="1" applyBorder="1"/>
    <xf numFmtId="0" fontId="2" fillId="2" borderId="3" xfId="0" applyFont="1" applyFill="1" applyBorder="1"/>
    <xf numFmtId="3" fontId="0" fillId="0" borderId="2" xfId="0" applyNumberFormat="1" applyBorder="1"/>
    <xf numFmtId="164" fontId="0" fillId="0" borderId="3" xfId="0" applyNumberFormat="1" applyBorder="1"/>
    <xf numFmtId="3" fontId="0" fillId="0" borderId="5" xfId="0" applyNumberFormat="1" applyBorder="1"/>
    <xf numFmtId="164" fontId="0" fillId="0" borderId="6" xfId="0" applyNumberFormat="1" applyBorder="1"/>
    <xf numFmtId="1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right"/>
    </xf>
    <xf numFmtId="165" fontId="0" fillId="0" borderId="0" xfId="0" applyNumberFormat="1"/>
    <xf numFmtId="0" fontId="1" fillId="0" borderId="0" xfId="0" applyFont="1"/>
    <xf numFmtId="0" fontId="4" fillId="0" borderId="0" xfId="0" applyFont="1" applyAlignment="1">
      <alignment horizontal="center"/>
    </xf>
    <xf numFmtId="166" fontId="0" fillId="0" borderId="0" xfId="0" applyNumberForma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9" fontId="1" fillId="0" borderId="0" xfId="0" applyNumberFormat="1" applyFont="1" applyAlignment="1">
      <alignment horizontal="left"/>
    </xf>
    <xf numFmtId="0" fontId="3" fillId="7" borderId="0" xfId="0" applyFont="1" applyFill="1" applyAlignment="1">
      <alignment horizontal="center"/>
    </xf>
    <xf numFmtId="0" fontId="2" fillId="4" borderId="0" xfId="0" applyFont="1" applyFill="1" applyAlignment="1">
      <alignment horizontal="centerContinuous"/>
    </xf>
    <xf numFmtId="0" fontId="2" fillId="5" borderId="0" xfId="0" applyFont="1" applyFill="1" applyAlignment="1">
      <alignment horizontal="centerContinuous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8BBC"/>
      <color rgb="FFFFCC99"/>
      <color rgb="FFFFCC66"/>
      <color rgb="FF269999"/>
      <color rgb="FFFF5050"/>
      <color rgb="FFFF6600"/>
      <color rgb="FF2847E0"/>
      <color rgb="FFB2DBD5"/>
      <color rgb="FFFF7453"/>
      <color rgb="FF0D49A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Avg</a:t>
            </a:r>
            <a:r>
              <a:rPr lang="en-US" b="1" baseline="0"/>
              <a:t> Annual Wage by Industry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'Data Prep'!$E$2</c:f>
              <c:strCache>
                <c:ptCount val="1"/>
                <c:pt idx="0">
                  <c:v>Avg Annual Wage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'Data Prep'!$D$3:$D$12</c:f>
              <c:strCache>
                <c:ptCount val="10"/>
                <c:pt idx="0">
                  <c:v>Information</c:v>
                </c:pt>
                <c:pt idx="1">
                  <c:v>Finance</c:v>
                </c:pt>
                <c:pt idx="2">
                  <c:v>Business Services</c:v>
                </c:pt>
                <c:pt idx="3">
                  <c:v>Manufacturing</c:v>
                </c:pt>
                <c:pt idx="4">
                  <c:v>Construction</c:v>
                </c:pt>
                <c:pt idx="5">
                  <c:v>Natural Resources</c:v>
                </c:pt>
                <c:pt idx="6">
                  <c:v>Education &amp; Health</c:v>
                </c:pt>
                <c:pt idx="7">
                  <c:v>Trade &amp; Transportation</c:v>
                </c:pt>
                <c:pt idx="8">
                  <c:v>Other Services</c:v>
                </c:pt>
                <c:pt idx="9">
                  <c:v>Leisure &amp; Hospitality</c:v>
                </c:pt>
              </c:strCache>
            </c:strRef>
          </c:cat>
          <c:val>
            <c:numRef>
              <c:f>'Data Prep'!$E$3:$E$12</c:f>
              <c:numCache>
                <c:formatCode>"$"#,##0</c:formatCode>
                <c:ptCount val="10"/>
                <c:pt idx="0">
                  <c:v>93586.333333333328</c:v>
                </c:pt>
                <c:pt idx="1">
                  <c:v>90040.666666666672</c:v>
                </c:pt>
                <c:pt idx="2">
                  <c:v>74713.0625</c:v>
                </c:pt>
                <c:pt idx="3">
                  <c:v>68427.875</c:v>
                </c:pt>
                <c:pt idx="4">
                  <c:v>63896.895833333336</c:v>
                </c:pt>
                <c:pt idx="5">
                  <c:v>55605.9375</c:v>
                </c:pt>
                <c:pt idx="6">
                  <c:v>53607.208333333336</c:v>
                </c:pt>
                <c:pt idx="7">
                  <c:v>49366.8125</c:v>
                </c:pt>
                <c:pt idx="8">
                  <c:v>40790.1875</c:v>
                </c:pt>
                <c:pt idx="9">
                  <c:v>23286.416666666668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66-4C11-89C9-BC9E788CBB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584491711"/>
        <c:axId val="1584493631"/>
      </c:barChart>
      <c:catAx>
        <c:axId val="1584491711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4493631"/>
        <c:crosses val="autoZero"/>
        <c:auto val="1"/>
        <c:lblAlgn val="ctr"/>
        <c:lblOffset val="100"/>
        <c:noMultiLvlLbl val="0"/>
      </c:catAx>
      <c:valAx>
        <c:axId val="1584493631"/>
        <c:scaling>
          <c:orientation val="minMax"/>
        </c:scaling>
        <c:delete val="0"/>
        <c:axPos val="t"/>
        <c:numFmt formatCode="&quot;$&quot;#,##0,&quot;K&quot;" sourceLinked="0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44917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Shares Of Employee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336-44E7-9226-F57462F73044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740-4F4A-80AC-E14232DE043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'Data Prep'!$H$17:$H$18</c:f>
              <c:strCache>
                <c:ptCount val="2"/>
                <c:pt idx="0">
                  <c:v>Business Services</c:v>
                </c:pt>
                <c:pt idx="1">
                  <c:v>Others</c:v>
                </c:pt>
              </c:strCache>
            </c:strRef>
          </c:cat>
          <c:val>
            <c:numRef>
              <c:f>'Data Prep'!$I$17:$I$18</c:f>
              <c:numCache>
                <c:formatCode>#,##0</c:formatCode>
                <c:ptCount val="2"/>
                <c:pt idx="0">
                  <c:v>20065896</c:v>
                </c:pt>
                <c:pt idx="1">
                  <c:v>96583443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40-4F4A-80AC-E14232DE04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'Data Prep'!$N$2</c:f>
              <c:strCache>
                <c:ptCount val="1"/>
                <c:pt idx="0">
                  <c:v>Employee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#,##0.0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'Data Prep'!$L$3:$L$6</c:f>
              <c:numCache>
                <c:formatCode>General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cat>
          <c:val>
            <c:numRef>
              <c:f>'Data Prep'!$N$3:$N$6</c:f>
              <c:numCache>
                <c:formatCode>#,##0</c:formatCode>
                <c:ptCount val="4"/>
                <c:pt idx="0">
                  <c:v>20063464</c:v>
                </c:pt>
                <c:pt idx="1">
                  <c:v>20594171</c:v>
                </c:pt>
                <c:pt idx="2">
                  <c:v>20961286</c:v>
                </c:pt>
                <c:pt idx="3">
                  <c:v>20065896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70-42E6-BE0A-AE9D05BB47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axId val="1593216256"/>
        <c:axId val="1593212896"/>
      </c:barChart>
      <c:catAx>
        <c:axId val="1593216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212896"/>
        <c:crosses val="autoZero"/>
        <c:auto val="1"/>
        <c:lblAlgn val="ctr"/>
        <c:lblOffset val="100"/>
        <c:noMultiLvlLbl val="0"/>
      </c:catAx>
      <c:valAx>
        <c:axId val="1593212896"/>
        <c:scaling>
          <c:orientation val="minMax"/>
          <c:max val="30000000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baseline="0"/>
                  <a:t>Total Employee </a:t>
                </a:r>
                <a:endParaRPr lang="en-US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;;;" sourceLinked="0"/>
        <c:majorTickMark val="none"/>
        <c:minorTickMark val="none"/>
        <c:tickLblPos val="nextTo"/>
        <c:spPr>
          <a:noFill/>
          <a:ln>
            <a:solidFill>
              <a:schemeClr val="bg2">
                <a:lumMod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216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WAGE</a:t>
            </a:r>
            <a:r>
              <a:rPr lang="en-US" b="1" baseline="0"/>
              <a:t> &amp; EMPLOYEE TRENDS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'Data Prep'!$M$2</c:f>
              <c:strCache>
                <c:ptCount val="1"/>
                <c:pt idx="0">
                  <c:v>Avg Wage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chemeClr val="bg1">
                  <a:lumMod val="95000"/>
                </a:schemeClr>
              </a:solidFill>
              <a:ln w="19050">
                <a:solidFill>
                  <a:schemeClr val="accent2"/>
                </a:solidFill>
              </a:ln>
              <a:effectLst/>
            </c:spPr>
          </c:marker>
          <c:dLbls>
            <c:numFmt formatCode="&quot;$&quot;#,##0,&quot;K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'Data Prep'!$L$3:$L$6</c:f>
              <c:numCache>
                <c:formatCode>General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cat>
          <c:val>
            <c:numRef>
              <c:f>'Data Prep'!$M$3:$M$6</c:f>
              <c:numCache>
                <c:formatCode>"$"#,##0</c:formatCode>
                <c:ptCount val="4"/>
                <c:pt idx="0">
                  <c:v>64714.4375</c:v>
                </c:pt>
                <c:pt idx="1">
                  <c:v>66836.25</c:v>
                </c:pt>
                <c:pt idx="2">
                  <c:v>69592.166666666672</c:v>
                </c:pt>
                <c:pt idx="3">
                  <c:v>74713.0625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70-42E6-BE0A-AE9D05BB47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3216256"/>
        <c:axId val="1593212896"/>
      </c:lineChart>
      <c:catAx>
        <c:axId val="159321625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593212896"/>
        <c:crosses val="autoZero"/>
        <c:auto val="1"/>
        <c:lblAlgn val="ctr"/>
        <c:lblOffset val="100"/>
        <c:noMultiLvlLbl val="0"/>
      </c:catAx>
      <c:valAx>
        <c:axId val="159321289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Avg.</a:t>
                </a:r>
                <a:r>
                  <a:rPr lang="en-US" b="1" baseline="0"/>
                  <a:t> Annual Wage </a:t>
                </a:r>
                <a:endParaRPr lang="en-US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;;;" sourceLinked="0"/>
        <c:majorTickMark val="none"/>
        <c:minorTickMark val="none"/>
        <c:tickLblPos val="nextTo"/>
        <c:spPr>
          <a:noFill/>
          <a:ln>
            <a:solidFill>
              <a:schemeClr val="bg2">
                <a:lumMod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216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'Data Prep'!$M$2</c:f>
              <c:strCache>
                <c:ptCount val="1"/>
                <c:pt idx="0">
                  <c:v>Avg Wage </c:v>
                </c:pt>
              </c:strCache>
            </c:strRef>
          </c:tx>
          <c:spPr>
            <a:ln w="28575" cap="rnd">
              <a:solidFill>
                <a:srgbClr val="269999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chemeClr val="bg1">
                  <a:lumMod val="95000"/>
                </a:schemeClr>
              </a:solidFill>
              <a:ln w="19050">
                <a:solidFill>
                  <a:srgbClr val="269999"/>
                </a:solidFill>
              </a:ln>
              <a:effectLst/>
            </c:spPr>
          </c:marker>
          <c:dLbls>
            <c:numFmt formatCode="&quot;$&quot;#,##0,&quot;K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'Data Prep'!$L$3:$L$6</c:f>
              <c:numCache>
                <c:formatCode>General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cat>
          <c:val>
            <c:numRef>
              <c:f>'Data Prep'!$M$3:$M$6</c:f>
              <c:numCache>
                <c:formatCode>"$"#,##0</c:formatCode>
                <c:ptCount val="4"/>
                <c:pt idx="0">
                  <c:v>64714.4375</c:v>
                </c:pt>
                <c:pt idx="1">
                  <c:v>66836.25</c:v>
                </c:pt>
                <c:pt idx="2">
                  <c:v>69592.166666666672</c:v>
                </c:pt>
                <c:pt idx="3">
                  <c:v>74713.0625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FF-4193-9F9D-C375429CED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3216256"/>
        <c:axId val="1593212896"/>
      </c:lineChart>
      <c:catAx>
        <c:axId val="159321625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593212896"/>
        <c:crosses val="autoZero"/>
        <c:auto val="1"/>
        <c:lblAlgn val="ctr"/>
        <c:lblOffset val="100"/>
        <c:noMultiLvlLbl val="0"/>
      </c:catAx>
      <c:valAx>
        <c:axId val="159321289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Avg.</a:t>
                </a:r>
                <a:r>
                  <a:rPr lang="en-US" sz="1100" b="1" baseline="0"/>
                  <a:t> Annual Wage </a:t>
                </a:r>
                <a:endParaRPr lang="en-US" sz="11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;;;" sourceLinked="0"/>
        <c:majorTickMark val="none"/>
        <c:minorTickMark val="none"/>
        <c:tickLblPos val="nextTo"/>
        <c:spPr>
          <a:noFill/>
          <a:ln>
            <a:solidFill>
              <a:schemeClr val="bg2">
                <a:lumMod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216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'Data Prep'!$N$2</c:f>
              <c:strCache>
                <c:ptCount val="1"/>
                <c:pt idx="0">
                  <c:v>Employee</c:v>
                </c:pt>
              </c:strCache>
            </c:strRef>
          </c:tx>
          <c:spPr>
            <a:solidFill>
              <a:srgbClr val="FF5050"/>
            </a:solidFill>
            <a:ln>
              <a:noFill/>
            </a:ln>
            <a:effectLst/>
          </c:spPr>
          <c:invertIfNegative val="0"/>
          <c:dLbls>
            <c:numFmt formatCode="#,##0.0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'Data Prep'!$L$3:$L$6</c:f>
              <c:numCache>
                <c:formatCode>General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cat>
          <c:val>
            <c:numRef>
              <c:f>'Data Prep'!$N$3:$N$6</c:f>
              <c:numCache>
                <c:formatCode>#,##0</c:formatCode>
                <c:ptCount val="4"/>
                <c:pt idx="0">
                  <c:v>20063464</c:v>
                </c:pt>
                <c:pt idx="1">
                  <c:v>20594171</c:v>
                </c:pt>
                <c:pt idx="2">
                  <c:v>20961286</c:v>
                </c:pt>
                <c:pt idx="3">
                  <c:v>20065896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0F-44EF-BDB2-8EE698851D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axId val="1593216256"/>
        <c:axId val="1593212896"/>
      </c:barChart>
      <c:catAx>
        <c:axId val="1593216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212896"/>
        <c:crosses val="autoZero"/>
        <c:auto val="1"/>
        <c:lblAlgn val="ctr"/>
        <c:lblOffset val="100"/>
        <c:noMultiLvlLbl val="0"/>
      </c:catAx>
      <c:valAx>
        <c:axId val="1593212896"/>
        <c:scaling>
          <c:orientation val="minMax"/>
          <c:max val="30000000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 baseline="0"/>
                  <a:t>Total Employee </a:t>
                </a:r>
                <a:endParaRPr lang="en-US" sz="11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;;;" sourceLinked="0"/>
        <c:majorTickMark val="none"/>
        <c:minorTickMark val="none"/>
        <c:tickLblPos val="nextTo"/>
        <c:spPr>
          <a:noFill/>
          <a:ln>
            <a:solidFill>
              <a:schemeClr val="bg2">
                <a:lumMod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216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7172184510913"/>
          <c:y val="0.16471309306018589"/>
          <c:w val="0.37134465196580568"/>
          <c:h val="0.70202415113496719"/>
        </c:manualLayout>
      </c:layout>
      <c:doughnutChart>
        <c:varyColors val="1"/>
        <c:ser>
          <c:idx val="0"/>
          <c:order val="0"/>
          <c:spPr>
            <a:solidFill>
              <a:srgbClr val="FF6600"/>
            </a:solidFill>
            <a:ln w="19050"/>
          </c:spPr>
          <c:dPt>
            <c:idx val="0"/>
            <c:bubble3D val="0"/>
            <c:spPr>
              <a:solidFill>
                <a:srgbClr val="FF5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EA2-4C96-8005-D7616F66734C}"/>
              </c:ext>
            </c:extLst>
          </c:dPt>
          <c:dPt>
            <c:idx val="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EA2-4C96-8005-D7616F66734C}"/>
              </c:ext>
            </c:extLst>
          </c:dPt>
          <c:cat>
            <c:strRef>
              <c:f>'Data Prep'!$H$17:$H$18</c:f>
              <c:strCache>
                <c:ptCount val="2"/>
                <c:pt idx="0">
                  <c:v>Business Services</c:v>
                </c:pt>
                <c:pt idx="1">
                  <c:v>Others</c:v>
                </c:pt>
              </c:strCache>
            </c:strRef>
          </c:cat>
          <c:val>
            <c:numRef>
              <c:f>'Data Prep'!$I$17:$I$18</c:f>
              <c:numCache>
                <c:formatCode>#,##0</c:formatCode>
                <c:ptCount val="2"/>
                <c:pt idx="0">
                  <c:v>20065896</c:v>
                </c:pt>
                <c:pt idx="1">
                  <c:v>96583443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EA2-4C96-8005-D7616F6673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6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'Data Prep'!$E$2</c:f>
              <c:strCache>
                <c:ptCount val="1"/>
                <c:pt idx="0">
                  <c:v>Avg Annual Wage 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'Data Prep'!$D$3:$D$12</c:f>
              <c:strCache>
                <c:ptCount val="10"/>
                <c:pt idx="0">
                  <c:v>Information</c:v>
                </c:pt>
                <c:pt idx="1">
                  <c:v>Finance</c:v>
                </c:pt>
                <c:pt idx="2">
                  <c:v>Business Services</c:v>
                </c:pt>
                <c:pt idx="3">
                  <c:v>Manufacturing</c:v>
                </c:pt>
                <c:pt idx="4">
                  <c:v>Construction</c:v>
                </c:pt>
                <c:pt idx="5">
                  <c:v>Natural Resources</c:v>
                </c:pt>
                <c:pt idx="6">
                  <c:v>Education &amp; Health</c:v>
                </c:pt>
                <c:pt idx="7">
                  <c:v>Trade &amp; Transportation</c:v>
                </c:pt>
                <c:pt idx="8">
                  <c:v>Other Services</c:v>
                </c:pt>
                <c:pt idx="9">
                  <c:v>Leisure &amp; Hospitality</c:v>
                </c:pt>
              </c:strCache>
            </c:strRef>
          </c:cat>
          <c:val>
            <c:numRef>
              <c:f>'Data Prep'!$E$3:$E$12</c:f>
              <c:numCache>
                <c:formatCode>"$"#,##0</c:formatCode>
                <c:ptCount val="10"/>
                <c:pt idx="0">
                  <c:v>93586.333333333328</c:v>
                </c:pt>
                <c:pt idx="1">
                  <c:v>90040.666666666672</c:v>
                </c:pt>
                <c:pt idx="2">
                  <c:v>74713.0625</c:v>
                </c:pt>
                <c:pt idx="3">
                  <c:v>68427.875</c:v>
                </c:pt>
                <c:pt idx="4">
                  <c:v>63896.895833333336</c:v>
                </c:pt>
                <c:pt idx="5">
                  <c:v>55605.9375</c:v>
                </c:pt>
                <c:pt idx="6">
                  <c:v>53607.208333333336</c:v>
                </c:pt>
                <c:pt idx="7">
                  <c:v>49366.8125</c:v>
                </c:pt>
                <c:pt idx="8">
                  <c:v>40790.1875</c:v>
                </c:pt>
                <c:pt idx="9">
                  <c:v>23286.416666666668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FA-4493-9B13-9B666E3B871F}"/>
            </c:ext>
          </c:extLst>
        </c:ser>
        <c:ser>
          <c:idx val="1"/>
          <c:order val="1"/>
          <c:tx>
            <c:v>Series</c:v>
          </c:tx>
          <c:spPr>
            <a:solidFill>
              <a:srgbClr val="269999"/>
            </a:solidFill>
            <a:ln>
              <a:noFill/>
            </a:ln>
            <a:effectLst/>
          </c:spPr>
          <c:invertIfNegative val="0"/>
          <c:dLbls>
            <c:numFmt formatCode="&quot;$&quot;#,##0,&quot;K&quot;;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'Data Prep'!$D$3:$D$12</c:f>
              <c:strCache>
                <c:ptCount val="10"/>
                <c:pt idx="0">
                  <c:v>Information</c:v>
                </c:pt>
                <c:pt idx="1">
                  <c:v>Finance</c:v>
                </c:pt>
                <c:pt idx="2">
                  <c:v>Business Services</c:v>
                </c:pt>
                <c:pt idx="3">
                  <c:v>Manufacturing</c:v>
                </c:pt>
                <c:pt idx="4">
                  <c:v>Construction</c:v>
                </c:pt>
                <c:pt idx="5">
                  <c:v>Natural Resources</c:v>
                </c:pt>
                <c:pt idx="6">
                  <c:v>Education &amp; Health</c:v>
                </c:pt>
                <c:pt idx="7">
                  <c:v>Trade &amp; Transportation</c:v>
                </c:pt>
                <c:pt idx="8">
                  <c:v>Other Services</c:v>
                </c:pt>
                <c:pt idx="9">
                  <c:v>Leisure &amp; Hospitality</c:v>
                </c:pt>
              </c:strCache>
            </c:strRef>
          </c:cat>
          <c:val>
            <c:numRef>
              <c:f>'Data Prep'!$F$3:$F$12</c:f>
              <c:numCache>
                <c:formatCode>"$"#,##0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74713.0625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41-4E72-BD5E-5036A4EE80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584491711"/>
        <c:axId val="1584493631"/>
      </c:barChart>
      <c:catAx>
        <c:axId val="1584491711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4493631"/>
        <c:crosses val="autoZero"/>
        <c:auto val="1"/>
        <c:lblAlgn val="ctr"/>
        <c:lblOffset val="100"/>
        <c:noMultiLvlLbl val="0"/>
      </c:catAx>
      <c:valAx>
        <c:axId val="1584493631"/>
        <c:scaling>
          <c:orientation val="minMax"/>
        </c:scaling>
        <c:delete val="0"/>
        <c:axPos val="t"/>
        <c:numFmt formatCode="&quot;$&quot;#,##0,&quot;K&quot;" sourceLinked="0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44917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</cx:f>
        <cx:nf>_xlchart.v5.0</cx:nf>
      </cx:strDim>
      <cx:numDim type="colorVal">
        <cx:f>_xlchart.v5.3</cx:f>
        <cx:nf>_xlchart.v5.2</cx:nf>
      </cx:numDim>
    </cx:data>
  </cx:chartData>
  <cx:chart>
    <cx:title pos="t" align="ctr" overlay="0"/>
    <cx:plotArea>
      <cx:plotAreaRegion>
        <cx:series layoutId="regionMap" uniqueId="{9910E7C9-EDF3-485C-964E-2E96A96D7047}">
          <cx:tx>
            <cx:txData>
              <cx:f>_xlchart.v5.2</cx:f>
              <cx:v>Avg. Wages</cx:v>
            </cx:txData>
          </cx:tx>
          <cx:spPr>
            <a:solidFill>
              <a:schemeClr val="bg1"/>
            </a:solidFill>
          </cx:spPr>
          <cx:dataId val="0"/>
          <cx:layoutPr>
            <cx:regionLabelLayout val="none"/>
            <cx:geography cultureLanguage="en-US" cultureRegion="ID" attribution="Powered by Bing">
              <cx:geoCache provider="{E9337A44-BEBE-4D9F-B70C-5C5E7DAFC167}">
                <cx:binary>1F1pUxy5lv0rDn+epKXUlnoxPRGdtQDG4AXb3e0vGWWgc9/3/PVzRBU2pMvAi8fERNEdrqAqVVqO
7nbulfjvq+FfV8nNpno1pElW/+tq+P110DTFv377rb4KbtJNfZSGV1Ve5/80R1d5+lv+zz/h1c1v
19WmDzP/N5tQ/ttVsKmam+H1//w3vs2/yd/mV5smzLMP7U01fryp26SpH/ls70evNtdpmC3DuqnC
q4b+/vpsk9Wb+vWrm6wJm/HTWNz8/vrBM69f/Tb/pp96fZVgYE17jbbMOeIOV7ZWitz+0Nevkjzz
dx9b2jliDqEOYULf/qi7vi82Kdo/PZ7b0Wyur6ubusZ0bl9/tHswdrx9+frVVd5mjVkxH4v3++vP
WdjcXL+6bDbNDSYe1vli+8AiNxP4jBaY8W8P1/ynN7AGs0fuwTJfsKc++gmVdZJX4fXmbmn+c1hs
50hoIajN9EM8HBt4KcZth23xYnedbvF4xkj2A/K94QyR9duDROSPZPNtk74gIsw+UlJyWxL9feHv
C4ojjxxOGLOJvRUUALcV0i0wzxjQfmC+N5wB88dhArO8STb9prq5W53/XFaYPiLEUdK+U1EzkVHi
iEtHckadLTLiru8tMs8Z0X5ofrScYbNcHaTQ/DnmsDb+3fL859Bw+whLLm1Jd9bDeajNKFFH0HKc
C0K22Nz1vYXmGQPaj8z3hjNg/vz7IIH5owqnPHtJbcaPbM1s26F8u+4w6/e1GaX0CNpOaCnknVvw
QJs9PaD9wHyfyQyYP74eJDCLHJZ/c53fbdv/XGTgkGntCEG4vbUzM4eMEnEkuHKYnFn+5wxlPyY/
Ws5AWbw7SFDeBeELAsLJEadCMK53HjLW/b6owCNTRDPh2HQrSjPD/9Ro9mOybTXD493JQeLxRxW/
dNTCj2DLEZT8wq5oeMlMAzXhbIVoZvKfM6L9uPxoOcPmj48Hic2XsPLDLHxJ0wKTTm1HM6m28jCz
+co5koCOM2cnLzNsnjOi/dj8aDnD5ssfB4nNZd42wavlJs6bF8SHc8iGpFyoHT5z00/Ikc0I11Ty
O7O29caeO5796DxsPUPocnmQCC02SfhPXr20/NiCS6npLtCcOwBUH0mqbEX5ToAeovS8Me3H6H7b
GUKLw5ShTzdZBuLp5uZukV7AQxOI9BHkE2dnXOyZQyCPGGc2l3zrOpOZo/asIe3H517TGTyfLg5T
gHLAc9WEV23zcgBxeiSUoIIxhJXmZyZBCh4bcxD72DPTs3jeaPZj86DxDJ3Fp4NE51114+fZCwLD
jjRzwMUw+d1Vvu9KU5uADnAoZUDsfrj59ED2Y3LXbgbHu8P01c7zrNm8JAvA1REYS0G14ltBmYU2
lMDUcHhzks1cgWcMZT8i3xvOIDk/TAk5D6+C0N+8pIwgtFFcaXXnHs/cZ0dAeREN321n/eVDUXnO
iH4Bzfe5zLE5PUjtdXyTI7bZ3C3PCxh+G9IAuwHXeCsuM7visCPOOYMw7RyDmeF/xoD2I/O94QyY
4z8OEpjT603wkgQNR4pSE2Xf+cMziaGUH0mhmXLIzN4/OZD9cOyazcA4XR4kGH9u6gCcf/Oidl6B
MqNMKOcXIeatnYcsEb6VpJm5f96Y9oNzv+0MoT8PVFySJMzysH45RQZKk0JaOFjmvRSNo48oh5cm
nF3aZkZpnj5jRPvR+dFyhs3pYWYzT7Pr8EVdMiQzjWFXeoeMxtLfd5GRZkbg4hCpd7HNzDF7xoB+
gczdTObAHGZgeZr3mxcUGPuIKC6F4vsdZc2ODBySkt3nM6fsqdH8ApLbOczxOEwldoZwrr2Kx5fD
hIFntpXhWWb2Hh6y7SiFYHIXZM7csOcMZT8gP1rOQDn7+yBt/7s4gSf2olUySE46jENUth7ynHrR
AI2Y0qU78nlmWZ4zov3Y/Gg5w+bd2UFi8zZvw/qFbQs50g4cLil3oePMtmiKrBp1UBWwk5yZbXnW
kPajc6/pDJ63h6nP3oNXrsek27wo9w/HzNGg/nfx48/MpTpymOOYYs3vjtt9nuy5o9oP0sPWM5ze
HyZO55swe0Hunwtw+6Yw5q7WbJY8k/rIpkiuwVvYAjQToSeHsx+ZXbMZJOerg9Rsn26GF61gpijv
Yw4HbbyXldH6iKEsEzKzK8yEu3BfZp4czn5Ids1mkHz66yAhOd9UY7LJru9W5gW4MpQxGfdMzGyM
kqiWoag90zsBmTlnzxnJfkB+tJxhcr48SEz+vKmbVz9KGrZb9kWAQRUzqBmAcPsz02AOQXaZKabJ
TpxmAD17WPtRmjWfQfXnl4OE6mOAowivTuuXFSGkMaXt2Frsypb1LM5RSHNS5KBNmebtzwyp545q
P1APW89w+nh6kDidb+p6cxW09U3T1C+n61DljHoM8P5IzNz+0IecDYCSRCDT5kDW7pueZ49nP0Sz
5jOMzg/TYfszrK/yrA5fNqUmmdaC4ezG9uchPqA7wSPguI3ef6bmWUPaD9G9pjN4/jxMEfrcbIK7
TfwCxgi+GQQHZzd2fMGslOa2DF0hIrXljFF7ahz74di2miHx+dNBKrOLm/7V+c0QXr1gKo2hNtCG
9af3Spfus8+UyCMK/ga1T9Bx91XZ80azH5X7bWfYXJwfJDbnoak6e9myTVNVpinKmnfkwMzIaH5E
NZg1HOp4iMyzxrIfmHtNZ7icH0ZW4OrRo6T3XeoHT/67Z2g1SE1kO5H639p/OGL3pQYRKE7Q4sDG
XcwzIwVmJ1x/Paz9KM2aP5jJYRyfPQ/r2vxfFOHd3n0B24IqPxvnAr/nMGeRKKw+DjfZOGezO2gz
szDPHNR+TB40nsvO5UHqtIu8+r+oRkepAOgb2BN4aLc/D2UHQSjoHXNU7Qdn/cDuPHNU+2F6OKcZ
TheHyRuYrZe31UtKEu4AkApHaXbVGmTmpZnTNkpBv91Fqnsk6akR7cfnx1xm2Jwf5sm0i5tv1aaO
Ny+n5UytM44CGB96a3vm2OgjpHwM9blzG2YlUM8Z0X5sfrScYXNxmLS08ULf3FT1zfiC6KDQBs4y
Qs8dmTZDR6EyDQYK14fslN/MM3jemH6Fz4/5zBF6c5gW6KbbvOQlG6i1YULi8DnqaW9/ZgQbpRIu
ggBtszvp8VPM89R4foXMtt0clcMkP80ePdmkBcoIX/JWB86OpCOQqb47xDFzqg37aYgDSNd3xffA
MXjusH6F0YNZzaE6OVAB6l/9nVfxCyo4XPDAtM3NvSe3P3OUBDhsQoDjLt0zcw3M5nlqRL8GaNty
js3fh4nNrSO72FQ5qj1f0EFgqMhhKH7+ruRm+R6FWk8HOk7KnQMxR+jZ4/oFTrP2c7QWB4nW5e3R
3P8DtHBCioAnsO+S2TN5QnbO0ThfAGJ0a7JmaD1/XPvRmrefoXV5mGh9ualSnJ16QbXHUQ8qbPw3
wwdHCyWuu9ESHOntz8zdfsZI9gPzveEMkS+f/n/k59eXqX2/bW65aTar22vq7t2n9vint3PH1Xmz
pjumeS8ntLX5p9e/v7YZZfCvv19/Z77kCY76XrObTd38/tqihOE2KdQvQmeiUI4TCFiPTPztR+Dx
TBKJ4+CoViCPXr/KjHbDLXo4SIf8ntK4BEQhFObw4xGE335EkeLAWXqH4ZgdsVFX//2CwPd5MuJ8
5fcl2f3+KmvT93mYNfXvrwW+qNg+ZsZq6vXRPeryUbtPUQPOCT6/2nzECQ48Tf+rjHgy9X4Wva3s
Nhw3POeidjOuGr4igbYy7bK+6qPxJGR5nVqnuR0UolpoobKTvA/JsbTq8bpifpsuLFKIxRCN3XQ2
ZFLdlFWilqFUsprKk6zxZVxLN076kV9adTA5re92rW0X9XWisipxyeg7SqziaYoC/Y6EVqM+dHnb
UbYqZFMV4yXLKq9ZyL5ryN8J65NwdCdu2e2iCnKSpW9Cx+oXg6Ms1+5SMU6x608iHoK3ssvKwrkM
bDXlfbQwJaX2iqa8mSo3yoq0/lSDcKUrJ+IsIX+GpWqm9jgrOsdOFzVJM3IW0jBuVxMprwKrrtaq
LMb3wk4ytZjGPkJTOVrT1yIjKkQS4scVgw9Qu8qLsQr9YHez4/df/+dTnuL/2zsHf7xpLob88RtO
6m1vlHz0KZz9Mrcv1POHjAB+/64ftxuaTf/9qsOZGG3voPyFjD364QMBvLpPqt/p1FtJMtv+1+I3
46nvCa5pt5M/KY+0Ygyl9sAP6Y4f8ocUu7lYBKknhAS4IMFBtLYTP8QCDHcigYHaHereyR5FERKz
cb5VU3AkGncm/Duyx6Db78me6dHUlKM6xlZgJHEQ8KHsJTSqMtrH4sahXtPqlV3wwkoWpOjC6YsQ
bRFvuFWJep2VYz3yZWMPIhgWVu6Rb35W8cxa5PYQqzc6EGO7jCGu5Umv06Q+T0RaWKObx4Movom4
iYZ8aUmZRGzhK8XpjRrysf2YBINKNo4jCu+KpayUF74My4K5KQ1rDIVD1tN3ASVNny39RFRx4ea9
SNO3VI0lhuynKR3P7JRl0T9W3eVocw/SPQoK3uSDNUI4ZnONqNqUsWK5jP66p58UTcM2kIFz4/V5
FpUnTcoTfpLwrq7UyVT7TdgvprDAtRoJ8ULbWz/ePYXCf9g/tK85FMBggHEcQ5vP7/U/RcypJZHh
dURjFoeLJmeCBa7WtlVG62ro/apZVkHj88C1uDUV2fues7G2F5RPsmdvGhlkdezmeckqeoHinBKf
PT5I2In7Y1SwFAzHq3BDDqIisy0fjnEIQssOKmZdS6vqiL30J+Wrcp04vGHEzapGyq+xIF5z+ni/
M2xMv1zjrlck222kCuf9Fu2Yq9xizrU/Ys9JtyNFUv8VcM/OfLePwjZ8l3m4FrdxgyBHSt59vHv9
07QVijRxgFZzXJYFGXo4bV90oUWGgF1bKlElW4ieSLGBIFnNaT6FKrkILZrTcxaXY3sZ14RMgQvW
IcGi/LsjAaWD6zlAad962zMjGqjAS6KRVNdc9hC59UjlROO1qPq25qvQ8bj8WrVYgtKtJUiIrzkZ
u0qvujAnRf8EKvAIH+4GYeMkJK49MNkoOJSz3dDIkERjnHlXnp4yUR3nZZF648ry0lqPx6NTDdgi
j8+fzjSZIgJuBKQEgoqjs7jgdwaFniKhi8b6Bk5HpdbJ0ARGINIhD3D9bttHfOKLMK1Hu3AHbTMs
hAhJ0F6mhYzGRWbRKrvUaZBW2bIUeWV/TLswq789PkyjT3/4OlzhCCnBgStcQIDbPCAtM13S9p5T
kXIavg1VU2ETkDYmwIcMPROWO1Sssy4LOy6N0DR9bl7Cwm+fwOenxQINiLNf8Aa1wxmHanu4WE5p
181Yy/xblggLOjyC9pp6txtJM4oz5gno/dpvcQlaGokMGrUq0oqKE8eKrC52ywDa1mj+MUCrLJyS
7owPcZGnT6gVOhcwxITI09hglG0gLM25qPu6b2B9VuhsYt9qz5ZWuoqaukja9+XUhEW26MuxxOAs
lXb4LB/LNB+XTjyN1mVfFN5prask8hfpNJHxLA3KrPHcTBMJB64VxEo+ylT7U7rAlcUDVKJtRSPN
3pBJJ/jWOPT6snxCTCn41QcbAPeG4jiElgRniXGC2zjc9yeEnZmVXdYVX5XIRSQWBQGXXrqe12pd
LeikLKh2b9xqz6Tl+Ky9VScF9Rx8NPQNk+W67dnTMsTnWhyXYsAZEZrikmYju7NtEQ9xnXpBXnwt
KkhRuWJ17PBzmwZsPGN1O2I5tNcl05c0GMZRuW1Q9WWwgMLv5Ue/nDzrpEp5NH2prLaWF04ojYMw
8C5N9HHcCgNPXjONLTR2SnQfiyqKpy9TIuM+dkmSGKMVYvUBUJ7pAG8y+KrTFycdBmDHRDTipZ6I
3zjLQtSsXkvVGuziwQ/hYJS33WvHt8bedfIhwlfkcB4w8tDKjG/QFCKNN0Mt4Y2vdVfR7pKzfGre
VlXsVW6SpBX8bcv30uHE5zCuf2dO5vEvHekoNplyEKn805VZDhflcd0w15pYfYVDZCir4IjEGJ1t
DeaNmU91kXydaFpXvjvYRBW12+dRnpyytuyhKB7vca6NbHP406aw26iO0j/1WFekDvqU9X+zqTWb
sW+5UX92rWIYb9mVQn71IjZhE/Z229T+uYJiwT59fBjmjqIHQsFwDbWtYCuQNrI5vOSHQjGxri0t
LdMvKc/ShrlN3grrJi+DEtooiOuMripP5eH7rnZ8aJwiELm/8p3G7nIX5yb7pHMb2y/PEs+RlwOr
Emd0657K7mPjWCRclGIa8jNsIhK4EeFeWLjck9QIe0CwD/MugHdx6kVxYyS/Q37lHSr4VDG6LK7Y
0B0/PuO5XnNQOEtMBaB9e+spYoKHM46lF2R9WavPXZsROLGiqmw4sd1k9i2Hk8VPAtoP2LZDrBle
/ObWs7VkYbY0a6Pe9i69QZotbZfhlFYnYWEzoyLLqSZ0XSZdUYfHkxhjSJ3Xp8anpqOTQjoVLSFG
j0/Jnmk2Bx6QA7MJrQYEwfXNVHXJsnTKo8z+7DQBg2w1hW8G0FisNaJ7K8fg1UeMzQsGI+LQlUal
VEUJQ2MFFG48HYR5Ky9jpJwTHSl+EvaJWYdy7HN54ZUDngoDZqY4+qms17GlKrYunKpj9WKEvcB0
n5jazMvE1DTF/fQUokIELhmYTa0ZYqqSNh8/M78zmqqpSmytKZnC/KohTmxn7tjk5fRF2Zmxj6mV
UwAyyDTxx9WUStr4a82stv8ML7XCcvQqYth9rJugTbLQ0thivE8Ko91aqM2T0C56qLUGHgk6DBuP
4DfEWBRLkfocS9E0KrCahUjaCCIRaDvCb9v1MarQZOy/B7bvtz7KA5rmoYw6cBfgXSlbOAg7yU+u
Lu0nLkdZWp+6VOXQDlv31g6coYsXiCwDP3tKLczMkemSI1VmE5glHAmYB14kyuG1FoP6VLcUO6QZ
UQIfHsP2Y314VPBcrLzeyofalQkbseBJ52VwWaD0sEp9NSTNeyVrx4vWXsMdKAMIZPexQqEbLEBq
QfCbIYOh2sHml32GpRwSJ4OsQIoMHH48GCCsKKR40WOku48kT3OMRMQxbFMsGxOnPr7aXLOf1tsY
ASgJ3PUCL2ge2cAdrC2fDOOnIBhl4rlNG7Ni4fXEiy6kPfFqXJVBJQvH1bato8CtqjIs35CkZYNw
C3g71lnlpxY/99JAsUXZ54N/RcKEnPRey+UyVlmeXPMomaqPaS5T/F2QiSb9O95RMkxLJ8q0KBYl
/Me6Xfe9cLqLqgy8IXdlSlL6lpGK6mWWVZouoqFpK8/NB6ecIjfIuooPC3+IOwhDN1X9mLiDJSIe
rbVNW34pk2bk/oIMtO3b40L3AfXgv3l+c9oECp7ZQk1JP00Ia7EVi9MhHr3WLesikutOK58tRWoN
06de5nb4peWJ7y0Zb2y6GBGf5qMr/abWSx3afbzwReKf4LBDsyxz0k9nns4IOaY9Dey1b9VOQFZF
nKf88yg6P7Y+65wMw6ehGVhzbtVNZn2ExVDttaikrD5PqvOz3C3ynAb1Bz1MSXzshWA31lPOnTR3
dZwzO1ioaqpL5xtNIye7Duwi74YltspY3ui26XuyAAtZ0+ik8bJSOEvEASKRx15qxfJCU2XF8XEn
C7tOgpvAyViDVR4ocyp+PrG8w5aeaFUXwQeQu40kqyzjRaFOW+2FQfI2E0Nc+quo85u+e9sLzw/D
tcfTvhUfvcxm5amMeOA7a+wVyWK36CYCs57UTthr17e4LJtl4FVTNJ72fm0F4XEfprA2i1j3HAq2
K8JW/JVbrRT1KTZHb3mLnsFtoRdtAa9Lu83InEG+S2yl8NJs37TCMMFnuHuao7spr3n5bWpLbXdv
IlkVvn1CB8tSajFGIm7V8ZBFNE1cwTtjF4mwQkzHZwJGZTN4Iw5HLCIRaOG/G/uiL9T7yLOiPlmr
mFl2cRq3o3a6dzJiItRuqbXhJFTViCD+onzPs6YzzpMaK2WNJVT2ObR2GYgzi3mVSt7SsAxp8j6K
+sjxVn0EReCv8hDlMdUCKssMaeysBDQu8YMxLJekiKPKWWYNsUT2l+3bGfpLo0Trz63vlOWiQuiN
lbWdNoQFWVAZmC/B+OGyuGWpjU/PgxqzXxQBzZhcR0FvVowlTYyXvA4a6zJLlVH5vGtAVi903+TY
AFMGf+O40VWK54rtVINGTFi+MgLBr2BLag+9JQFFkJnR0MBDCx7Y4k+aDGadM64jcElWa1WAwspi
J+A3ZYmAplxXYQhPa9E7dFTlInQC0VpAkLdl+6WJsjbMsF5WMOXHQTtxOpw7kTJDDoF0MV1K7Cz0
wPBR+c2zBrPBZGUZ5MVo4b1Ep2Zpug55hxAm1il7jKHDsRrMcTefqmKs/AbCLcB7YihyeRkL7mm2
4L0GAeQWKqBYi93u8aZa4ytVZJnJec14uxgtdk212Pm4WkzC/MZqEZ8zElbW5W6pre3jd4u8fQ5M
gR2fK7tIMQCaWUH3LQ5lEVbHYcZGTLq0J/w5Jte3mR+SSwTgfq5dsQUqn7oGWw2Rd1v5pxnVoydc
GgfdKN/ptM2xSp2dJnjELsCxVQvQHF6n3RhJCcDtp8LGm4nySflNb1cwLyBB0GvbOQV2iBhtUeSZ
7OnJ2DomOidbaLfbQ3pxgvWRPESLlVCJmfwgxwD71KeV6SbggcSbY14SFXyerJC3zRvMlJnl3W6k
qR1bjBKTNN9Cw6pGOxSTM+yuugnM0LcLak39hF/yhOVcrSwisjg6nXCScyiOfQISiaz6sM0h0zry
DfNR98A37JRdfqPSz7B9agGPFZOvOji772pw2eYL7c688M538JJkxIhDOgkz/qyVftB/bhM/8cN1
5jv43qBk1GcncT0q2pyx7V4Jo1o36ni35DrqKgxnCFmML4EFyNF5VIQx7HxHy0mSz/DcIqdbFqXV
ZOGC1L6HzkUU4DLlZZMU4DYTEAagbABT0J6q3Dfi3MK+4r14bGXkrGM4i8P4huk6GfKThuckTReJ
5knauV7tgzakmrZ4PmjKGi9wGkVykZYt/h3THrydID0FVVSCy08uurjxQAr0VYTeaeDn3ReZeQOi
AG+czN7vNVR5tB5YaUPDOFWQtM4qSWFi09VgZZ6uT5EXrKbhbyKHCPrGT/I8jk92dHLUJEEVrdsg
Qbx7NfIaVTMnRRRgOY7ZrcyUuYPsnVt7fexNX1jg5H3zuWR90MuTZjv1Qfs1logVwxRjRrHf12Il
J0Kh5ZqKm+WjQ2F2Dfgqs8W3/KlTxz1WgLa2mW8ThjZeKmxwPF+GYB8tN0wm8MooPYiRJARlMcr0
nBW0whNypCaG7URbY19tSZaJiqTy1m1WVp596nvlhO+YttSbh7AcrGEpeAyK0qMxQt80ReyULZoE
xIQ4S2Np5KnhfQgS3o+dBqqSSW+EzatHaJpojcjWLF4bMkMV2K0Tg4uPksxHc5xWxyz/7uGeedab
3qurKrzQLDIkZd7C3J2r2GOy+cBBY43eavAiawzWsi9EUi9BXeBuc1eBBJJfuc8oQnIYQw3wJ4tP
mJXMUmM2UuGZ7VbZFcXm265k1ORgollIQta96SeReupDPLW9dVnBmQarMBWlll+hb7G/rL6YsAIR
J2YOXpFZUP4ILw1LlYTwV+FZ6zTvi69Sj0FJv/EhkcmFlEhGemtu53Vj/dOHNBq8FSwaS4RbJ+C/
rYWTUFV9ASPZx80n4peR7y88MbJg+Ngr+Dblte7CrrT/rj0H1MRxFbddqheWPdXxl4m3Ns/dFtZh
QLBPaQ6fUimhW9pil6eRthcd3rRU56oemalhuZvJFsuyiEAQL1AaOZpp3aqbJOmM/tOjb7QJvH8j
vGGdmieyW/bei2zznqDEwhOjP5oHPQZ2Il0hcje5jTDxCoiyD2/Ru5iakRarCIJqpFKn5pPdloVP
CU2EpLX5aEvBG3Vq+YtqGCumXGpXxHnfBsrvc7cnGQh7Pk6etk/7MjNS7luToQNr5InwwuGWNafl
RLC/OUH+4QK8pRl5HCLT+HXXkag0TFqJrWJdbiO2LIwmFZuMc8s/xFuFFW+JxhJl19gNVlIaErKu
ZMX5MvXTMvfcoJStddmGosCcmx5ZvO5NaPvGjQv4gD5Ul5hhtbcCZ+Ux7IjridYIeWGbNOMy6wez
J5U32XHoiqDO0nQVRAmkcb1dEPDARunFuMcP38trakVngc0S5TxBfM0CenA50A/YwbdFD/QnWjlo
kEMAX21fBnkuMWrl+wOkoc+hZkuLGwlKOhAvgduFpRn7E9Hdw9jOdI86DFwoZf4enrz9owT3SeCq
HXKrrxWoqq1qjMABYxSIAyBJj3c1I9AhTQQnuNAXKCv8Kw31di952Dtx6XhwJe/2CImHPF+Uhcf5
O9zYa3a3loEBtQ0jIJzzigOynXJ8fCwPaT4ch8X+cXCHuSORDsc+tx+OxeuYDfo28i9xeTPUWCio
8cfrGn8ccDXlcJ2fWuefO8QhAVPw4mgb5KKe8YpxUBGapMT7WKIYRH71Y1j8UzXGUHM7yX58gtTQ
dj/SO2aG4G6JwEVtqJpBOmrW4ZBE3M+aRH7caYweJSbYRKNkoxDrgddOt44Kb6o+tD0bo2XaZkaf
swqqwaonDnv0xIge7nSMCKGUuQELhTwCZeHztNioidWrkZUfk61Q9fDrIONDG3vQ66HThYAg4O0I
ydQMxgGuhRWYgUQFK9tp0ZWI7NciZbkg7gDVMi6g6ks8Dvnw6EU4MsSTi36bzyq2avbxScxhBHD4
M4SoU0LNLaX4s3gP9w3sbtnYg9VdBHVsNNN06wgVtcjaD6PltBwXcT6f6hJIgOD+CQIgzY8pIn3Y
nxrgjeBCsfZiZ/YGPygjl+TQrLlb1bg8+9/rD5S/ufQCgoHD+vwndcB6D0x0F0YXW7MEJ9mgoeIE
cpHVpTEYj3do8jj3tik2BNJP5nwT6lE4GM0Zn9mP0xBWqEo6UZlVxWKh0lSxr7KCwDwlgj93Begc
ZPDw9yUQZM5TSqlnp2PrS/9k64p0AuwI9pFdpnh5fFa7Uox7EwNXiK40CmQIrq5wcC3/Q+QIQV5G
hUF9XE02CeqVLQZTjdDixGSb/1NPGXLoi7z2wa1qN/UmRItuI/yGpmew1ijB8Rd5XID5eWtzcA/k
feoJ389PRvgGIr/whjCmw7jwbKSc/q7LMkUYVEU2z8pVmrST3SxITmSdLp1KgGp7ywaaM/leb/N5
sUQwwt55WUrL4Tz2g06jZKbtZEjBiUQo1ThBoKHCdJlYUQEodg6KstAscOOtWwEP3YGxkLdqbBtq
xD2B6u6D1IbqRmho3IC+sy04tLntIE7I7BYPwMWSrbpgdWKcOWvr2xRIjkLaSeHQKXTjuknp5GZ1
pbNwKQuVRK17R3mUMJuBu3Nkbj0oZNZ6rO9UOsaIq7IDs4TYIpb2qnBydJnGiCq6NwTZitBfJEOK
I7PH4POTKPnM4PZqdiHHRvPiNJLEMmRA3VXgWcdtHKb7sWblMojbFLQrGBiFLIMbBY2Tewurzf2e
pG6J6+WE/V6XulD9yi8h3OUnMepuyj8h32AyWvABiS0v8qZGEuFTWIBt9pcoQkI5wTqoSkqjRUrh
dP4zIvSsnTdCDr39lYphbJwL0GZe8SHTOortVZTVFkEkDMUxNAtUUiKXvsryEdgu+8GeqtElFpiJ
bgHXDFWPi5GPXv821nVTTy7S0X2IaFo7FfKiYUDqY06Spv8mSRqPwdLjcLgzN1VZWv2VgXmxWtfZ
ptx2uqhEPtyXb50UejtaZ0EiUXq487NAfBs/ccwaY3S2WyO59QYzlcQI2SqNipjC7SoiUwpN5ucK
w7Dj2Hb72Or0Jyjx3LksMm0l6zQUvnAD3+8vxRiKaDmGvXcc8o6dhIRNp2k1dCdgMvKPqpL2YtAi
uFBhkxBwxl31ycOmPuG+yGsX0hd8i6oi+csnYb4cNPUQiyasOUawC0rJzsSZU5CveQxxzPpCvpV9
WCwVDwKgS6xqHamBr6I8bN9NUdKQFbzyZuWMhCXYsTK9Cor2EnWqxVnFLf8s7epmJWpQ0Kh98U9Q
v6mXge6dD6oISuT1i/A6rEtvmQSF7448y5bC0+UbZ7LT9ehlyAJnheD4amfMFjzK1LrHV546iMe+
VUPeHqPuwbsudZwcxwNNJnfUkVgHEckvi/9l77uW5MbRLp8IGyAJksDl0mRmZRmV75JuGCoZGtCA
IAECfPo9KfXOSD0b3TG3G/9NR7SqKpMG5vuOAwM2n/WAaJaMRFP9srmdf+7JGKOVN8PzxsO2pOFK
z4yKps0mQqIbBpjuoNcF+QtdWj0APGyhV1oj8TUA1YN+JlDBow27pj0oP5IyWIb1cbEMgAOWgmLx
zpyjRXuZxcPG8yoVVcPfWhsKfwUFgvmyhAzq0MmoFW1OOzQ+szC+fuNrnA4FqYg+DwJyhIIFa/fg
bCTRJw3TdbyswZxXvJk+025RNw7HBFwvSXAZoVV84VBru50dytlbmkp7BfSbnFsZNWHBsfp9DbYt
GrN950GDtlmRj5uat28zIS4P22D/vCzdFEJRoCAf3PcFI7fpVZ9BMaVNofZNunNi6rnOaKDaOx+k
WIjRUuV2i/rojCj2Xp21m/UhVCa8jvvBZUB6X+PNf6Gmqu5YgOljF7MWgBZpm9VusGkR+ykqoS4e
71TD9EevHGoyCnq7XjIjoYGQedrWscqIidhnMNNTFkFje5wAFGQhHdYHF4zyYWn8KnO5rvXL3Pj5
TTs1hNnsjMurQKsu63B9YFw5MDdMPNfsOXN8uxfh0vT5uNvuczeoPQPJM7wiK33OlLLBgwCJcKVC
zXOjaXVm7cg+LzxxNx3wfgvagRl8abVmlSEzOlJT3yScTG3WB1J81gRFTcFRn3VZ3C3zfbIl8oCF
Pkly0e7paQ2m5h46HWg7tka/hNOojta44Ngpm3zWUfWyoU9+2edh58dZMZ9181B/83ggx2ZNjSlR
BvqnVYu4yjSbwdjKes1oY+1VIqQ6zqhDg6xOF/EixlW8R05Fz52upne72/2bwQAvbDqFtwzCgiPF
TlHMbl6fUF+SLN5Ge0P0Ij/tdBqPUR9UUGYBTr5rPGXYyxxWJNpBYo1dWyanFMRMrpaxO8rY6Bdo
uyJcvw3PAR2jQ5dEy0fgcvO9GBt9CnwvnoZB79f10s2lS7Hkog0e2ruR0fWsDdvux6XSz5pz9iWS
FotDOHt7x/yAyQNM60MQreba6XS7ajcXTcBt+HiskoEVaI+hsATsIa52oqubqmr0wx7y5oUDOvk4
73x9xoZfnzDZ0ts9ICs0TEl76EUV34DhDqJ8HURf8N2PEca7Hg97TaZ7CQj+vnaTmnMoQ+hBb938
Ua2G1Wiu9/1GC2auIVSCypwM03Md7WLAmj24MkolPwXg/HKrdvaB2zoCMq/JV1KF0KDd+Jjtrcj9
4FDrFqkBpM1vZBzZdC0pDHf9mvVCVTcbUfU9UJb+jjA/vvar/oy/qQH0tsHrMqCC6Uza3TnRQX4Z
q6A9i0mFnwypzJb3zUZvIfUxL21o7Xxswj5iuWiC9JpVk+YHAV27OA8NVwV4XLZnFnx3wcU+pFm3
r8JmQ1SNdxMB33/tyZziWSd0W/XNLCyInsDpYLsa2Tx8iBwjD+koWpUnDmL8shFKP3Z1a4cSlK9v
rodWTm1B9BhDhFhVATmmdln2R89HbZrjpfSghZgdDsiVeGrTVsuzRE+u+zxIUbnk8WAqewu0pFvy
yAT18wYtv88n2ic3kOtVQbEFKBGvVzTi62vcovvTWEe0WuMEhVM9QlZ0smuSnuPQ0bF73iNfhTbz
bqbCnEMsdvSKMzACx7n3oy4au8TmSZBadlDg1L3QmSZV3cucMOGe2giqmSxsWP8w+YDsxw2NJqwF
6RzSm010bsxDDRz/Nu2xnBYQyO3FBGTr3IVrm+NEPnleiXdL96H3JBF7hMc/UjcUwGkGeVFpqTAe
Pqwr6/ha+KRL+hAA+zJhPnDQm7kJfDiULDB9cyMbsLPZMALmzffVzWMWDR7ET2o6eRpbFk9lDaLw
VraASYvOte4U1SzgRcJpkwIS63RwJWutQEeaOPVZuIH9TtZwvSOxcGk+dBVbspTJCFAcMLvXQBH9
1QqUJhGcGeFxmir4NGrbhCbMUcI1ZMrBzUOKtmVpkzx6wqYUhZnhvu1zrKQrfmGipEUiFRahmSdl
o3qVxfUcOFHKIQ3SplShm+L4NiA2MS8gc4fq1M2cfa6t/bTvTf1SN+pTLVTcZWgThqcN2o6y4pU+
UmweFItEokF/pft178P+TketOdhGi1zNaldZCpmmyoYhHp702CeF1onPDG8Z1le7Dl/WutoP6dSD
xqtddQuGkdM8cMs2Fzs2G3YvliZ6SiEg0kVrgfVgPGDAZNDDbV+DSckHNY8LL5c0rW+WaZyezLys
dWlcbasroMZ1mpHBiath6uYiHOf+IOcqfholDUqxNtO1rGJyG0rHrkMF0nKqF5DXAm1REYYV0qRN
ao67C0O4Z1JswgUVdl5KFSTTHfSD23ql9FZlYtmoy2dZdzlLFqsyEQwVNKQQRJqrJcHNlR4g99Ne
6fZrBd57Pnbg1wqNSbllu5f6Drs8Nv82kX3RdqgvcAnVI3ad9mBSkeRmVM1r19bBJyBv7gDRjjhO
VAyHVKXdPemozu2QNG9w6bz0HZRgNRq3QxpW3cdpC9cpi6Np+hjRSp9NGFUuq7TreN4CHD1XKsRN
1xQId+tsjmY3+tChLTnbLWi/yCZKP8mqDt5kEG03FsxtEat5uooAGb8CfA/lZU1zKos6Ot8mVRWh
bsXieBmE7AuTl2bYj8Nl13bh8j5ZTtqyT1oQoQCTp+RqjMd2yhfduhVc0z4BLEzh+MmjHutIlpC2
i297tYTvTdOsMgt7XEPW9WnDc4nPzQF/YUw0XsVXQ2LCtFgbCDk1ai1Znwc1rX8odG1NLlUU0U/Y
eDedCcI3eyKrTIpVdeTUznH4ctENHILdSpO1nqgPcey6d2O5wvaAzvMwmQpqqKmKoxtQd/paeYhK
Ml2jpLlxi1HvMlxdmy+AGW3W2t59WVePuYJJiT7NKKCYXy1YK5uBkbPl2NnoDJC6hmSqdTuKechG
vyFRzFaHIW3Wa+bRv2UE5cha9NVM4pLMAzS/dLfx67r0/cdUWZfLJVqKnpKZ3pktDZ7ArnEBVRBq
uCxZt6Y/biiqzlj9xq10c9N0KOUESk+oOMh0FzVbQHJTXZR4fqCxKrWycBhAkYJBlLNmaDom7aG2
CaiUQeadRJGmy0sba/PKz22Imjoaq/1tXMwoP4RTsC0FuopKYkkTybSrXAem7v2R0LAb2YfERBXP
ZDC30eceslEy5pZw11UHEGbS0VvZTMkkcnTbjqnM7M2wmDzFhhv7ogF/xfvMQM3NfDFaXw3y2vMq
jGi+GDRg6r63QIeizEHmLcxBGzW3b3Ut2VQXG6YKaBS4cWB2y6ybp2Q91KjVxivTGDJ8X+bF2bhs
oH8axjKewbU9VTQE93JUEEqtY6E9I7S774ySeA+MQC5lOiiZwQFYyNxx+98GIlKK57h0oy+Ealz8
FoNlap5+grVEXQiHtRcXaDQMKqeu4U69UPfQC1x4EMzDPf1as4q65Ahd9Y75NgeLaD8atTWkyUYO
oIugs626LcEWgeV4fTUNAAV+s6KgdHe0E9Sz3NSLmeVxB7uFt4Utr5u694ib0Q5F3K/Gj9eRwe3t
WTtBZbHkEL1EQ/UUrbFqkzKBULWNztSY2U/QIbUrahz0DvV8UIp3WI/JOhUSKqTbEGIulO5KYMX0
okURxdmxXdPBewUU1gJJbXNIqky/sbIeHWv7Um1Q3AhgB+PEb3aUfrysSJ9UYMFsJZTJAjYLVqZ+
j9gRvN/wqrjpXwjUNWsWTjCfZcxg7pRQmwxf6ShRZUH93mhZTskimsJq6FRctoczyMc9Mf6Hyv4s
2treAyy1J+DA7c1EqyiXYWJuu8D7oVTRALGWFSCCFemfOuG29GpGCZdm0ag8y9y4yfGoVwoVo+Nq
G2HOsfKr2mklsbSyocoS7KOmWKPdPy4t2RwKBNKXqEDRIVadiuOjTtg6FNXA3TvZK+dVFtTbHDxy
2cq42JBZ+EXjZEGdLZ1FazDuxKIb0V3QlCgn9HIyTSzt15q4C+KCijoc81029QE+LVuRw2ACDnFO
OIsxryibppJ5upyCZUo/9rZnwZKnVVhPOQDFNkaHmvrlbuAJNUVIY7O+QfoA2USmFVR2OTQds0WB
FITQFQHcuqvReQ8Zm1GH3zoQbi7bIpmWqUz6M6mXCVJ2E8NcAW2dGiDdCL1ZCj7GApQUWZsjfAt4
MamrSRZBW3eaVT93uQFg9r5DsICxUYkHQ+iE+9zVIQmUu/d42QUTFRdlB23FNwLxEsDDTtU3BMvw
8gnN5dY8pN2gL1VXFLYnVDDJWbM0bt+xREb+GFnWPU5bVN1CJll/rXWAJ8+33UGuVhkgI/veuky1
dHvhLjb3m+4b3AJsbGCH02HCapoOMCvIWDwGgA/TQnTTdhUAtGiLDdqYP7aIwUcYy4WdRtZ1kCfq
+Gmu6umwhiN9S/QSZCKFDrHR/Q6F/rL7DJYjfwdPZdgWoVksTF39CIG8aK2wV3WioU5bxh1y0Lra
HC5X9BdpBLrhXI2pDw9giMCz0gjGwqK2kcXSS+B3aLNVpZAXRvUyoygY/XIbGWVu6jCwvKBxrdID
hBDqeXPpCtXxOuIuoQZIPzHd8DobUIB/mMml4l2Q6T9mqKl9myWyEpCjyLltCmzoHZRXgEvu9wEI
QLYnSiWltBDYFREd2nKfHf6mjiGng2xkUIWN1PdtacYyrBaXb2vsP6ZYLey1W0etin62/HGJ9Wrw
dXE8oyFogQIN4XQb9VV4zZteppAJVX7IdFCJa0Ka8N33rTw7opZ7aPW6HBqw8DNcMWYEz5AKn7fx
0uk83VjrC7P5bsl6zdeqNE3Le6y/OuqvuyD08WFNtviVVI1yd0CuZAQwYBp81qsh+NgKKB6yAUKM
uwkKE1qmG4zQ+S5CuBrmisZDOQRd8yxjp7cc+yaqOtTnRRPpmV+eW/JhizbA0FE4VXe8H6K3GSqL
i1W7/xgtw/Sm12nKcAYgsEcoKiGUqi2GfK8/1mSjNWorR3KCyuNWG9h7FuAun8bakCvdYVIXupXp
h9Ws03mNZ3g9dCpvgAukJ1JR/grEuE0xDOrkXYV7VDpGl0erfXglEY8a5p3l26VaowOkMyMgnnRZ
+GmJmjEpdkFQOA2tcMcxDm3/CLdsW2iAW4XGUGf5HMWmRPkSXI9+aqAN3IK3pvLuTVRrkKnFUFgn
Y1kOvK++Q1ZMCxaz9YWj3D8GrAreJyjQ3yj+JM6Iw4OD5P8Nnht+60DyH5VdMeu4+QyB8nqvDPVV
xteJBpgH+72oiURFE7DhiP1Aj2gzlqiA3/0aKBq52eZQ/9EB7Ci4Q6Myw8+/Z64JplfCe/bUNREb
cgZU/0qpMQAVBqWljKIv3gD916VUwIP0OzYoOdgCHDhcTG/oaKdBPWq2wNX/Ye2aGav8guNgoE3S
M/zPEAk43w0zuAYQjtMH5iGl8ccthFcjLKKJurW5oqYZuv0KQm6/vlSt2+Iv8cgmeeomPqwsr5im
Kym4jdmmsXhJqFnAaUEf0YmgTWgB4V2wo2zk1Le5lomm7sp4BxQzS0IXHxgbN/4pGccVi8qsZO96
rGNxQ+MCdR50CgXxSV1D0MKgsYIcGWU8VFUeXmhMGsjYWQwpaKOmb3QmPl0KEJoQ6pWL2rxswFi2
tYRaSNXVRUSOMTiDBqm7eqfzg434ihamjVyi9evEt8p2BYhYjr4PlqHWdXddNy1mKpYN51AHJVWR
WeZ3I3cb+AyfolqfbxNDSZbtqsHKcKpgk+xEDsT6cicsqanoj03tbDr/YUi9h3HWVlziZ9DCp4m7
JuuChvm680vVJ7mjgqf28A/03O8GEZB/MFALeGUvieQigfDhd3JupOg5OqfEF9rBRfIn6x0mMgb9
pKOhhtpz43YccjowHaZZqnsYkbIePMqSr9Ho0pfuB9H199f1O7uMy0LIbQK7KhLtQB6CK/r9strY
w5pUt+lXOamLt2n4KfwYpOgxEMkEuuwfiMrfOfnLN8LGjadx8Q6D8r1EBfyqyQBoyFcKv8S34ec3
2p+qmigeNaj5JW2YgQjOUkdg+Wg7kJU/X8WfASZ/mjl+ZnD8mqfwa7zC/89pDr/lyfya5oAT2vB2
/yUF+I80ld/Ou/93mMPPP/szzQHBDOmFP08wVlAc8Ytd/880lTRCPG8MhB3n8rIAXRvEOH/GOeA8
hQvPHsKiDSUGjFK4DtDJlzQVHJAloKDGGXPxD+GICP6bRAeczozR8wsHzqCWQXwZhY8OHmMK98zv
oysOPeynU2tPE+yERQizednso8jjdX3ziXzn1HbgEfa1HNEJ5rJLlsw5L888kCqnK3/mlsszgeL8
1pn+xvIL6kaSu3DWUYYeeszSzgI5vpSzaJL2A4sGWsw1PDNgQ8VBCdLmIjEiT0X4oCpLC2xYgCMY
l2Uwo9WoA3wniA+bd8GI76QzLTq5vNlePJu4nbAETyG6rO49IYoWPWxe6IR3YE821VfK6reANyrf
YxsBJY5JCUXjK3b+R5iq3q3G1yexeuun9vtUr+hxoQnIkbv3EDR8ycIR9wNbEWBuPb8lQQevgk7H
bCO4PWTSgMoEDFBYkl5pza+g51nLasGjsaIq63WAM6iT30NJXJYkeJQT10tBZ3woHHdRxmT9glvA
Y6D8akCwbVFp/JZFJgswZUbKBuAWnLPhdOqYVocJQuUimRP8VLKHjZu1vPxlx9D9twJN8x4mYwbl
4ZIpUKZlvAb7Qz31DwJHuZX9gq/sUTJcx2zG5W9RWJoZFxSpRBZ0r1+geQKSlRpeiGn87sd5Os2R
Bj5aeVls0od1Jvr6S9WTAM9BPCOacC2jsVf5QlGXXzbeA1s5hybahrnuxPIMcFMCf0/AvZB+P6Cj
208bx9OLFnzpFqdXPCDPPwZJO3teeDYvhUoxDgIfPQyWYw+mAlxoYPNQ4j9AVB5si4uqO8muIqLF
IejQCU0gMs6pWMPSqssoWvG76Pbu2iWQMPMsYZnapsuTKrm0rxhYph9UPsTxHcbzdydQluJkQJ71
W/sOPQze/Y7/66rYZTDzjsW2cvR3dsLfDHhKS6B4AbvRfgv6VuR60W8/3vdQo6i3PYYVhI/7oW4w
ZLBT4NXPaBhMwvszDervmOQY1Ql+lzcYnTzFUJkuc6GeV//SwzOfJRzAQoALwczjmVWyvQPUfYVj
WJ79jje/zZgn8LNW5w2y99smxewQ6fKWAlzPE6j1MOEwmDhm44+HMSpMio3gV5Uc3qHKDcsK6P+5
DyGxZhUGbS+X6uxHETyi4Fc5XIVgErS3ebQqBV1vGJZaTrQYNMMjpRbXUDfLNV+IO9ZJGNxEcwX/
7LqHpQRtB4NlBL6qG9HlThhlI37otlHe8hATFZ0M2Efb9KX0dV9SzBPa2/bBNvHdj+kVdft+opB0
o6ruYXqauLuIn6eMDnjdrBHyXDd0PDoayRIQJqah5FP+492SAbdPqhFBSsBm6wBDYATYloPIVGj8
8P6ga90Pk9LiuNRMljCEiAMUK30BVEHlPwbAZYRjij+0bAe/6LGMCfSRJdvFfvrxmlcI8zAPMIwc
kMrSdkH1WbUxOcUNbnUn+C709+QE0wlWLzTM0L/hFQTye43UBpD8mD2UYDYPsGzl4RhUZ6rNeJO2
wJtiFx/51r2TGqlRBDLlm0qGsoS+tc3NTsmpjjFPpz0ObnzaiANiq7psRNbCDQGule8jli/07Z9B
U/Is2EdgYOwomh4SC+LwYcFmc7ZESZ6uNAKTgBwtJD3oqw0myCId0c26dqAnOsURVL41FsU6wOK2
4dWRVIpjZcKHBqc1HPdg9Ee1YjFRzNo8nnHbsKK0cIgHmEWpmk4Dxwo2pOh/fqxNoXBIs7pMWgD0
Fv558ozPbu4R3kMLHbOH0Hf+mFSEZ/EK2FJ2GwbT7BSkv2Ds5IRWp5npeOMS5u5MKr8jcgWPxmMG
/HjWSA6ThRzwkeAixYGNiSyZW5eCIAoy61kMyATBAfdhsA8FILn+yKv5+5zinwfTlZj0KoP2wZ0Z
6dsDPAJfOIQWJXI/oPma09dhYlMpSXNPNnOXTmuH1DFen33r6i4j/dIHBaAxSE/kNiGVw5HEFHAA
I9Xm4t1AgAVLShxVusBRsOvuPewmVwSqE3EOWPE5rkFaLHxT3a0H2nhu4ePkGbgGANvgDZgpLx1F
1kzteo/ckqSqsyTo6/SggbR2uZcQvTgv9FLurFEBJJgzOavKfAa0OH1dhP3CWjqZrI6c/M7niOwJ
Vgn0nTkmxnYCZDAdgEs7oUAgIqhGdaA6h45ZUtTYigo4n6tbsU07OfTRuC13Es7e9GoUbBlOcEKt
5M1DipI3prb9TdWIaM207oMknz0QjrvYJqGHI2isyOMI38O5SZPnX0qxP2vWXw3Ilzr8L3UNSyCR
TJL0Iuj9q3q4FzACwCxiTmnrPQR+zfdWYnOJRv5s9BRhWGHWsRYj/e+/99KW/Mf3goeEQIzTy3FY
v9dTwrPQi1WZU7D9WOwwB6NWfh03IjOn5Pe//7bfuxGUiClk2ugPEhxmDzT7r3pdBOEByNlHc+o9
BsilEhCyIiV8qvTnff1PE/APmYoB6vNf3sl/NAH/u//8/vnfB0hfUuB+/smfDQBnyCtFfY8UBuh2
0chjwPzZAHCOUwOCEIcN8RDsOUS9/2oAkFmLE6Jj1P4ULziBtP5fDUBE/1eIdC+c5gWtMU5d+S8b
gL8MV3zKRYQeoAO4yGD/2s52gQqxBTByEoSwLms7v58MpvE/zMa/jtPL16SASy+xoBTRV5fZ+ouv
YA8WFBG7JSeo1oNn2KeBYxrKPwwbonj+oV/+6wzEdyGSJkICQ4SMShgZfv8uvAtY9WxUnXwwIZQx
0fYW8AIUYDt19yoZ2n/SR0fBf94ejotMgpgi7AEnEVzO/P719pxc4hluperUeo21uJqn9QZrTw3N
D3Q2MRDHTbxSSOrDA8WSCLq3R/zWMUEFNh7nuDZ5bC3bUOeNQOW6Vp/E5EgLpaCm7yPU16ifF3EE
4C2O267b45D4MId1bzwD6RweeonEnJ7o9SVYk/GMnBp1QHxWe1f5tb1jNVKZiqgem6OfgUO29YI0
gHUZHkKYwb5B5bm/NpLp11TVt9T4ttzSfswNFESnPYzkLWNY7PKmi8xDuJjh+x7t04c92rqXkLYo
OWjVH7Dpj0CIB5ubadxQNFSI19nn8MgthQweeRxl0IDS7tdouU6DdboDjwF/HDDBz7SvyalPLhoF
TbbT7AGGZcyJKgEmFU5fFo78vmQfHPRue2MyOmOvzTRnB7qE+mMridhk4RqdLti//QbL4EeczRr7
5aYZVXdIxxSEzVZhnOcUuZsKqP4wvhudqo8drNZ/dEKGjwKwV5NvdBFfO47sgAweQzR6Q+gnCflz
6w7acsDFcHU077LpOfbqkfUfULNylNuA+m5S5BNce9CWr9zvSIapWg3Vw0V92O3QCzLw7h/g9nts
XEvzCsGjjw0ao3IJqP6InAx7mBxdD9wmJEYbmgxf9TA0x2ZsvnjdqaKGT+m6Fhyi3GCPm6Fc8HCa
sepv537Y/0DeGXmIkK91Q3d44rLFBRKSDUtJIduuohmZYP5K2viqQnoG4LNxKSPfyhva1eZrvSTr
uwx815d7vSdjSdZWnPEIFlj7ky/z2qNu3fTd2FNwsmn/lUZuA/zOriuyukyikRULQOW5Uv2RKA4Y
E0IRoOnbCAcuozmyBpIsVet1RzRDm73W8IZQ3n2GDaXCL6efospEBXhqD7ldMj9WWx/eJM1yH7tt
CzLOU4ahjdnjAJYjJI9BXx3Yb25IySHWZL1Fssr+viInMsebjd8VxJkfwC7Ae7Kv6+OMHIAcYudH
+Azb0sT7GzE6ugv3JixDvy93JN33chPJ9jSOwuR1IOzBD+xh3IY/0qiawlMLgYpl2QrRkP8yJi2U
0JU1wFoTA+V6n3muQrTgYBcLWQ8SvtXQeJn7fk72G7713l31giJ8MG+g3aJZRYCuvsplgzcZLgez
bDUexDQXxtule2ZwENdrn8Edye32nPq1KUWwpHURQ8cAVVcFj0kWzzTJxMrH8bhZGALeHGHIaoBx
KYR8g28oBdqeeH5YuqWdGZzhK4y7ctvrRyvjS6qDam19l8xQtWUT9O/bfQ35B48ylcxLcy0qYqEY
hWc3/hgqiAJhbkHh1pSbRjLeawdnaHyA/CFOv6YOyoesWRE7cJYeSXT6SQ4wMICNEIv8SGIln4Qd
2qOmI5bhaUjjk6Vr/5pWnlyskmHls80k0RlODNTN2243k8WkEcd4jSDtCKv5JnAuPoUDoSkYQw/q
adhF8Bw2EyrvZb78c1ol1ZP3ZvuSoMTk2QjY6AAhWHQ19ZDRZ4ZBQyBNz67UQsczGAJRroPZx3yY
K9DNULJM1zNjkKylNg0OwJ+motctxAtKrPm4UDSikHeDDKoq8QnywQE9Lxmf9gV5K1k8EgNGzm7D
g4uY+sYAJ9/gQtr6IOFKhchFDHsB43nflBo5RVeQ/ooPfdwmn/sB/B/iGyxSj5Z0eCCbTCEbRnc/
5ghzws9isg7fIcnsX9E7uvsegBzSV/ZheqqHBiLry9FIARYPiYYDIY//UwX+BG7/oQrEyahAZ/8G
Cv6MvFYoaVp4uf6NBP/8q/+bqx3gfMII4VD0EnKJAGt84J+FYBDi1Emcj3tJLfqRrob64RckOIDN
6HL0FCJaf9SIfyLBEdKAI3xgyimHYQ+2vf8GCf5L1OAPGxsSq0AJoWlB7cQuNc4vJdqKnBg1G+Pu
gAoi6HMDWZtNEVI5cplu9gFbkj93zo6ypFSuH9eJ2RfJFgeLsRjnP355ev+P7i34nfT4cTUM2bUX
uoUCCE/+UlFhgiopGmMBI4/BXS33scpMOkFz5iwAgcxuzHxMrUKRpAe+zjl8t2ArkeGRMpRb6fhV
rCv9gM9ooL3o++AFwC8Pjj6Jq28BIkTc4e+vOGR4Pr80fj9sgGjF4B3FSoca9y+NH2uhnoPHfb1D
SE5dFwmifl4sA7F5WFM/xUjLdEFXtCnWoz1NwN57SaPjAKo4gGpxWr82blmCvCUqLqCWniDYGRps
tamOJdIzpq65lwbiZ2hwlgKsgnhd/g97Z7Yct5Fm4VeZF4AC+3JbqL3I4r7eZFCUBCT2xA48/Xyg
LI8sT9vtezscjuiWSBarAOS/nPOdWJ3AAjnjRjaaeynruM93f/1b/fljYN2lM3hn3m1Qni6/9E8X
hTdpaGyqrDnDwgwey4j9BiNriOqrinXA9TDWwV0ljOz5r3/sL/W0jlKWdoiamu3f8p/lZf30Y9Fj
RnbVRMW58GfjDPSkO+MxAyMj4se//km/jAk+flLA1mOxEIPNWkJdf/5JVYFpXiH/PuMost+gXtXZ
TrT+ZK7SKt7oCh5HaOkTU0W8IkP+dxfNclH8fNEsrZ9uOvRzdHk8HX758XguJZs9CnVPpQ701M55
S7PlNUDiaTZoVMrVpPPR74ZMDfhF0tL7isgNiBKDBoZfyNSYaCYI0BMPnapVVyYVlD9NXyutr9a6
hjI+dHCJ1Hu4/nP3N63Wr40Pbx/+Wh4bOEOhvbGk/OPbp7udUziO0C6NTuRvEm1HtDK0tC3slTUB
qDwOsUw/R36AHWhW8CnYO8sQpYz3raXaKsMpjjxUAkn/VdaW96V3qtgju+v3J/H/8yzBtvzruwwY
jovIRfEHz8vxfukI3dqXeh231mViq0oE/roN4nm3ILuCbUv9BlNB6Td9Pjkd4OfYQ1tZ7Ogsql1m
V8BCM5XfVgDKR2aGQ/Q0JHl5mBp2/5WjqgesHP5aAF2g80kSCX3PQr0jkqY4D5XWoPVBFhJRTTIY
nCmGQrOP8z2S/+zWTKLrCAvHuMo6T51boe5bKhtr7fYsWgw5mTwb7G6eV/rgJxdZ7PgvQkdgHLu+
cTGzoQ9oWGKEFlx08qD5NfqdYfLntTE42npOxveqwS7TQXxA3JS3HmWF6g4Ar817FYNy3wlPM+Rq
jlPxmWk0niFZKO21y7F6VVWDigXPz8FQQfZF9pXLfW/l6Z0MxOiteuQNx1rUXTjxPiA4MYMrJO3j
BlmF2hrGaLBxYomJp2SAZxX2Ziw2eWPVCHeDq1iw0ltD5mj3HDXmEMLlYQrZetnzmOvxyayD6s5B
NLnrgkQzGfzm85vvlvWm0Ue2TIz6o62G7uMN9ffwDZcuWQ54avWOtZzZR9uxTUpujmHYTFHf+du6
FPGa9jPfF/xVOAZ2TeHeY/JaJU2SaEj3BmrH0hnnld1mgp2HVuRoCtNNtDjebwbLsNeyqTF0JlxJ
7dZqh6DZjZY3Xrho3DKBT1+1eb7CMIAf40ssYtOcX5pBGxd9W8CIPS3fzSlPWqtGbtt1lX5u05ZJ
K/pJNe9w+LYCq6SkkEvMrLzTAfweksmyurDjMxB4BvRldRFjv1kXQnAe0kEPagMSN9LDOmsNccVg
3MX8lk7eEK+nMQvaC7dhOg/iXJRGM7A8cLStq8WJuOq5ddwoVH5FR21YEH23RSbrYIUuBFXgZmQ+
T5UbGAGSFQFmBD+0AEIUB8Cpt0PmZXShgqpg6xRRPof+7PDELMwU41ke11qGo44R9jWCTfAdZST9
b1rXs95Y66XZ4g/1O//sYFIRx8LyWs9JwmJs1DztG52nG36KKPYgsDT9rLYMtAu5nTI3n/Z607B1
YX2dsZcYnSnb1fDXNDbJtvmkVflsrFEspwz301zXrlDwa+zR2qJ4Stje5QerDloWT7A9blmlWfi/
UHsap3iIG5p+LzbjdscqtiruOIytI+IbM912Fa9gU7asUDe+Mc5oZpKpGi5zH4vnRuNWqTEPG92x
ZnufrSNBysiySeHjlF5DfVKA55+/MvMIXCT+LfYHSJSxOhi6tPeoSlKXFSebobUspVjPnUgRbg11
FYCqGxI7tOCLzGjlklk7MXWxt0YlMLmx/fGqjQFfuzzE0hiiTRrYMeRb/h5jDHpgLp8I7sI4SHTJ
SOq11xpJ2QQUifvIPLMdkvi5/d7WrPspG8zu7FbBVK4LpFeXTkfYyS5CXsMXBOi8rS3cQKN4Qaxf
xEfF6mzcNoMzyxPo0vbeRrHz5owCza7PDteCoTQCJ2jcWfLigbxgWbdgtoaolzaklKiXjAbfXCVR
0t81jjt8rurYQrw/RGLjEwSAjcgXfB8nKyEnFnVvnLFHWPZN0zrGvdEigl8N5Lr4YQtvbtz0Zp7I
fY3LBLeXxwbvSmpe8Fjoark4k0Q1Oy9rmCyME8vqkHkSn008FLywElugceIECx7Rf3F15zwl67Vv
BGN5aJtAmNdJjfHz1vRZdxxGOxm6y3Zsl+IznsZrJ9XccVMOOT+6LOeZWYmZtzPeRW/55ZeXPvB8
4nWhfTzbTsFv0SkgS6s4LdM5DNKeW6fKolTeFGAF8fV0VAURf8Yz1WyL+EoZ9oQcz6pinY+bLry7
zNk0NiupdwonC4gXazP1Cqs3/5smlt+IBwg6/qVObov8EWV/cATmIX2Wz07KdYFB6m0okKmvxpqx
lNWOenOKKHOTU1mBmLjzOS12TaEbZxVE6gVQtKsW+ps0j6UfBd0JEjiyyqn2FP4bGCK7yuRtXdxl
03uapc712DUojxVBAunT4OZRs8fRk3+DPLY8Q6TK4jV9gG9tJIbpZsukNnjSdJFv86GKmOvZPOam
eohvJcb8E+upxFk7Zm2CRMocm+MoNoPHOtH6aJOZBbfJrAkrONhFaaivOQ/kCc0Kl9QGMybXSOLg
AdjiCug3HDKDOhl1Z7psD7O256S1ep3SWyWvdYDTXZso049z0NbGF5zXU0PeiOH1GDvREWzG3Fj8
ugPgikPFxzKEGppCCJ99316Ok4fevWcy6XvN3s7R3e3nYfHhY5lq5l2VpWV5WbijfaG1aMo3sSry
/hSBqIxD32ny+J5KpPmig1jAjO/Jpl+lcTOgZB56X3EKTOoui5Qhn41ytvx+hV80nR7Yx2oB3wyP
6iYGEBodNVENn+NI13qwgGgvDhLh0s3YaGLe1di85EbOHRepNNvEuh7TbHbOuVstXjL0FO6lbcSY
5Ceqm2bDFp1PbfALuZhevJxnR9NkG2O0xnrdZwwodjN0V16qPUbeehLo5ENR4dx6Qt1r3CdxzbXG
SRc8cq3nzXURFARQdGYVAEbLYzx4Y/cC+RLZB7PF3ntwMJsNyEWi1sYNnMHnVQJiP4c7V/Smkhaf
Jo3DNF5Iq02ZxdZVbF1jnMzcAxhaLBFyHLXoMq21aljnDQ6UFdVY115mGaPyVQ1qbtvEfhpDZtD1
w6Rs7vuJ5YyE/h17/0Yk/VeTFINF/E/1+5/3aQD6y/+Lf/zYp318yY8xik4GGcMSkK8e9dbHeufH
GIUJC/Eq7neiUsCc5fcxykc8GV/1fVDCn/AafoxRlngyeDp8O2hTsI/+yRQFVvIvvUbg018Yi2ZP
N3h5vzKdcoW+e0zdAbxpBbmEinZo8wyRj+OWOs/Sj3yu5HtaVwq/M9ef4G+g000/Qr3M7wlfixDU
3GQ1GAzCv7zvWWDSxb/gEkaRFNLgjBhGDIk2mRc5JqBg2ifaMGjYSqCD5f0BV1De9HgH0Ou31WWR
TUnBUFKyGAj8qrhwUNceWU/1+iGR7nQ52ULcJ5aqAI64z1pT9rsBAd2CXQaN7CTVRZIjQ86Tkfmi
46Tmfeyyeg5lzACYqmA5QqGqB5sB29vAuHRm/eVm7ng7Y+p60yuTySqRb/0lOSo8kyiwmO3W/fLE
CaxIz3bF2Ge7sQfHv6ZllQfOCOWdg6BF0tBMOqsFTaMhdqup3bV12ncILWA/x7md7itRD9tkrr0Z
8WHBN8YmIkbUuaK/Mh1RvLTDZNwORBv1O9Qa4Iqbhpl7hBGYHUU0zasmzet14qj+ua3t6VHMpeeG
daSq8TAiPFpMSA6/KAayznwmPUcBSjYy2kS3xtKc9hs3qpSBKqy+GKA9L0AS+DIUsQxLZDo4B5eJ
7mOQ8IAyP/oG+dFDxB/9RL+0FqDv6TIU/Yb50XlYSxPifvQjfdJ6sAaXLsX56FhQjtK90AoC76aH
2QPdi9d4dOlzzKXlGZbmB5E0fdD00RPhqaQ/MpZWyRNSf0M1xDja4W7cLmuqDaX99JYvM0jK7Jym
qxyrO6Oo4xMY6uy5XJozoffGgIovamGnc5Cszdq7AntJQ7e0doxRYP0iKafj0z+6vyjK1Hbqo5ET
qA6uxqVNVEvD2C2tY/zRRZZLQwmRHcGNE3eslSjED3DfzEO7NKHkpIlX7gY6U+jOwWeR9/SrdN99
uotaZd6LTHaHoc69LTZWutygEM0dzpd3fWmB+6UZJkWHvpg7QB5KjwY2nD4652hponM3s4/p0lgv
69ld38SuWDnNbBhrZ2nCm49+vKEzh/FSn5Wvz5+zNhdrCurpsZNVvhcfXb2m6XT41dLsM5ZsrqZy
LM7KAQe9aj/mAmYvRegswwIjFuWDi84PFWlQIJuR0VPLCg+BbCuy23QZOjQzeAwc3bu2BEJVe8Jm
EWKn+o0TKxruj9lFWdgmuSWOMMTpwzvYOW11xcEa0C3r2VdO1OnA5rgMxwVJ1iMJWhWifU/oNmg8
hiF0cI7vF+I01mLzbRymJ5inTlikUTCug970amR+FvPMjGYCWVfnXg/UC9SvK5Cn3VR/Hyj9qzL5
m/0C7TOjv9+nWv/PqZgi03trft4ufP+aHzKT4BNSBxfkLYheE8U5qojfjsXA/oRAiDQ6JnQfeweG
uD9SO91PrCOY7trMQOn0vZ+ORVJAUaw4iM1/SNB/5Cb+NnP7y9ROn7P350knCR/8C5XPMwxYmn8K
CyJswOSy7uyDk/nQahz4fHXR9ruZdI8j5StFsVaSrFUOw/QFDJR34aQ2jmrfMIbbsuwgTjaV9sbA
AS+zYwdnNgLWvcvADe1b5RL219jeOc765nZKenmfNw68pa6XhzxyjdeyEpCMEy85smzYkGalPrNh
TfYjMzNGdgmT7FXTVfM7UHYtlCKCUSXQdN4B8EuPGLeKk/CsbNdZ6Lnw1F2WjolsncpxrSV5fDT6
hpZO5oxGcs211qYWeUdAzACKRDZelZWfUen7wcXUREhyMdGYN6PWBTCwUv3SmCTgE1iz/aovLbU1
PU4WozSj56V5P1PPXxsjXlphGveYPMu14eJALBQeesQQlfWNYesy35sQTBh9gfA6r1s4cobN7pjO
m1CvsQEnJrudk+nVl4EzemvVoPyVpLNHnJs+KDuhoxszO9lV+ZjsAwac68EeIDR4k0FjbXZPpS8F
Vrh4uGlLOb8H0zA9Yz+2biLgV3tgIvXZtZLxxnF5c4D/yi1siO6E5Vp9zq1uXOOC97ZVn/U7z0j5
NaJxZJ9QZPu++Bhv290XLbBWsnam0AqqE7l8DCu1cdORRAHavCzWjSMu87TKmXZqB1yL6RrTGOKH
vlY7pXrnW4R5FINvKwGr2MMOfrs4mCS1XROXNXO6aQl6Q5xL2saak+5U2VPyGE0yePGUSx6OdCv4
DYgAqn5Q94Gw5eWsu/ole/SxX6EYkE/EgzQXSadnd6TPVjv8dGawGoiL2Dtj5iUkxlrWzTwRqxpF
9rydPI8eCkmEd0sLZ3CQtcpnkGj1C7lMvw5qrhWsByjkk9nO3juIkmdB9uUeVJd1clsEFXnl4lT3
PfmsQP2fi6hybnD9zfuRocOZls46mYOz4IPL6ApQeHOfzFaAN6HJDrnWHapCLFSNwvHZqFXmCxJv
91Khez6QWVDtkyTDeZxDmdgOduxcZdVwMuPB5nJU9V5DpdzFUfsWd1ji4M+kxsashPcG5eiro8b8
EE0V7J0pdw6lEvbWY5y4nrzCfLTs9B0ReBWh8bXNF88v7svemh+bpprwKxf6TRm7OBZGxsFHQkzg
bATMXc5xbzhGOECTfqOBTa499NJY0/CyvGNFi3dFv9gcZpk9MNvPwx4XwEbv0/yURHyIg2VRPnbw
UXxY6Xee1bQ49JFFrdrUuG/L4sAJ5h5LbJIFSNUQ1USOPDpL0hvLMLJbR2R7dxraoyvm4oBDETdd
1aU4IAOLzWcgDx4Tmy28BrX2GtQvohiTW8QE9tcZ/kFopUkczjGINWzp6TOMw/EBcb52U5l5GfKB
ejC34xSYFR7sa60emaS66qQQGCVhEGydNsl3ooGGhPcxg+5z0wvRP2tEipIKYhk3iQ6gvkCF2oTZ
oPfnQu/rd6udeCW2vgad4u1ARjAIy4wODwmtzzNbSMX4Xp8ziVlxKmFWT9HV3JTpThtbhn/T5LD5
6Ed3cQIClY7IYMSv09BClN1iCAn6h2ieUAlmaYClmNqYx1wjcQV2+XwqsTRfToUA8W9oz4mZ1v4q
iqiGZBag1HAVCqC6cEOMEU/IaPRDpuP1pa5UKzNJy88ZvPSTKOPgxsExf2gaZ8xXUK3aG9lqKfjF
InTof97cxBt3Ca3etc5KoA0raCjn3i/10Bf5nK0A3bsb+GDBY8CpcUYAHT8hFZMX+dy/BqQB7TkR
5xC3cn9G+C+5lIbkoklc0O2TFlzknV1ft4lQl4k+KEzLMgNMk1cbRufR1gggXswsQDdOo6ynlDnf
3mV3vqmFX27jMTG/kmXaXQ6kS77ZlloOF4hkz3GeyQcSZ/pshWwo2FpJEO2gcEBVmCLmRYaIrw0D
fQcwE3bFkRrv9I63voideT1NbbVpRtM/+YtTcz1mZXxlecnAhUZBHmiLnL3Su3k3RRYh0GBfDmkw
Vw9ZB4IRWTkGCzFfpwz7N1Xfo3+bWn2GDKCxp3Oiceuqsj8bfWQeAyNKX7H2YsxB84fvheNWcouf
SFSs9qwDCfRJVR28pK4r13kx6M+ZQPjIkyk+iNZcT6brXM9dor1XtqcfKxLVtkCDmitDFtnBsTXY
83bU3GTT4D9Egy+2Bn6uu7iXkCd6D8bPBFxqa9EwnOtJfS6w8r/rc8fjv6vbGdvUaEfsXAZjzbAL
x06jnZxCNwE5FLVEjQDEgLSflVF0MPzyVOo3S/fA2Z8kEXYxCpFV0sHLCgsraG9UpLJ9GXNLo872
0hTxVg17gi29+kYSSXros5iV9zhoFxJ2Feyv/Lpn3bFvne4FAAk6xXLhADCo6j6nrfsCxutNF903
L5tfSBS8LTAYhCRbYASxVH6oQQtsaiXvTRxwR5ad3j2+HvMRg0PxzlZgfKoFX9gXTLPfXDnR5x4r
ZsF6d6xUo/p2R0cNC+6SUgvPOT6mVHeYmJbEn2Pjiy9GLIeY8cfOv1atmtznxhXfCEq3fHq2gQ8O
3ZKJOpS5ZyhKfUc4RzXvcszIl7JSWvlS8QCl9gp6YhZEulV4c/KjrzELa4bEhPVlpSeDpeWxq6X3
4rD6e9U9ESXXYoyzkxc7Rn0PXiIWu2xmhFiEwKeAixBJ5yRffEQO2oOjxOggByV/C4EsmLWD8qS1
LjQdpT6+s23vNk/I3IZVPWJ3IwQO6EJkP+FwHfb4Pwj8ydvuzN8ctwF2mBCg2FHW9kUXmKyxdA25
RQrc7hHEjLanFnkoZlxGsWt6R04QEj40GcGnzIwwKozpTC+rzjWf5nFu6dZiObwtuQ7HOnC1VWNr
3c4oxgkP01JukW/YkcFj1ScpD6nYggcn4KgU7R5GqR2mype7BuF2OAn7Jp8RayRKiw6zHbUHMJPi
WOemPLY6JEYjIzvbM6oLBJYA0yJPvXaWm4VAMqadVL0EJNEEG/akNNcyKzeDsCssUHHKQcYwNXT4
mPcdoxV0tGa+IzFZ/2Z3gjK6Sis4ZUx6LOMLHjPXf2r0rvCa985epAYPQoHuaUOm7pKklo/W5N8m
7m+aOGY0BgKP/9zF3S0W3v8J3+oyk38ccf72pb81c57/yeFbeQtM3KBWpiv7rZfzLXLeuXhcNPtQ
AZc/+dHKOZ9M3QERbLLWtLnJEUH8mHDiJgZv6tD9oVGnz7P/yYjT+UgQ/0m0wuAVfZZuI5nhdRh/
srh00KmKOpHlfkQcOWyCOLXY3hcyQKlMkqNbmGywiijxbwKm8v3KlIU8Dy55qzxM2VvXVscCQEjr
yQWLek2kQnHX85gimsVAoY+wnJMGpMG+wudP0cp7dJJoUGGcFyVwE8ar+RroT9KsYnpX68LPtPic
GiUWG5xd1rGbVaY2qHwX1M40DUaYdm48rqGoFt+anKENhszJJguyscmKT8brNBY2MfVjr6H50SxU
DfDV6NKcImEsxzL40I8N25dyci9NiJ1V2JrCOnTsQo8D0P5DgKK72IxszV/0nBe1Vrlov/JTKPfJ
vSeOTXRFgyETcFbMN86mTTA51mEUhVuHjNjKdAPTyNlzDAYenYmef5N84HsH++m1WzjsrSBuiy+z
60AV49hvnio003xfXtmTXTnNE4dxehukuBwgj8dXQyeK+6rxy6u2qfvpNKoxAtrbgTpnVekxB85y
kKmM6uhckBRU/g07H5wBbsUbiZNR5DztJO5JOxm9G3a31asR+f61yErKQ5AgurEWYAuKdZANJUV/
3qyc2TuMVV5dgSILrp0m5khKKFr2De/flm4iuABUp3ZzHA8XMc/r7YhqLQclA2rQMJR/o9lcLUmK
pDaYfGefGxEttaiNe1Hi9oUiZ2E2l2xekQNepbUC+DXb+bRxvcQ42g1DLZWlHUINDAANQ4W85Xc2
rC3CePV5mHP1sgSbP1WgvKwwmJXjhpCrmy/k1/gbCN3tMrKfgpsR5QE1sR3cmbWMUPLOY7QJRkLI
GMFar6ZArgeWWnPIzYm14c2fU+h5jRFcVJCNoi2z3Ohoj8zq98LDEXvousnksS467cJEUj1AskbZ
YOmjXxCfYgVJe2AX65BeNVTdrcf4J72IrTG4rnzNAA1cu+4Dp5V9GcMUHyJgframr3xoH7MDnbOe
rV00TnS7mBWSgSxajTei3k/Yy/0X1SMo1NpgUCH0Jkvw+WhDvyJoslPDhrB4fxvVBkfbHtCq1h5b
t+oo0ZWa5JNZEYRxdPgH1DWXzzPHvXY3DXWDWEFcgk7pT7Jvm6dY5Wfcl9EFDYEM3tmwQtddmRZm
Se0Y5bpXrD0z0x8cotO2cmZkoc/tvBGwqLc6sWKr1tKzg5qj4VG2YJu0IC4vGygwkFHa26QzYpTs
lYmLIEEpyxY0Hh5dzI/unttbuy8iS+zKup7R1jgW6hDiRSrYjya4GAKft1prNtEXp+A17CkpRmjP
ndmtmaVCNPH15EC/4KynoLgtZ5hvSSMOSQ9MJKCOOw7knWy8ETyC3YJoUeW4GzRb++LMPGkogUPF
FnX0jWQ3SdMAhdp65DyNd5SssOOjYee3ifNo1BDfk67rQFR25dXg67c4mcxVX898bEg719Ey9OpJ
CeJR4UZbUeDJxL5z0ul9viaTR26PKV5UnQ77cVDZXeH2/lXSl4TZLqg2O2v6a8R41laR9QsFMZ52
tjufpfIn1Gx6G8YxTT4IPkTicPZCRsRpKOu6rNapP7+UwnPwK3hXc1VftsDwANzFfZhaJdBFUcBW
dzX9sq7FcOU2GcyBpvwc8LSl6TD8jRSEOpV1i4hHOE1Ykju1n8tShlnfa8ckl1B5s4kpihe9ltKE
q2XEEn3xRIp00JWYg8oaeZ3CP5RH7UNCxc+FMWi7qB6/dbWb7aY4mTZtPRj3vWGKVyt18I+NIraX
iMochR17uUOHsSrdW7ntnAolye0m1UiuqqjEXNWl9tGHiBcuyZE3XYW1QJL2vP5YbrWOnXNVuLN3
ZkIIuLxPZ5lsfCXb2wAG/GOAUmNj0ftvOHvj8xz4dCglwg2CwWT6TABCvjU65gxCmv42b1qYonNf
vUBe05+Y82gb9Ib4YUiORdtqlicYsPU+t3L/xuIPLht31K5IrSZvUuWAWwPVbaNmds+1KQyABehM
DLwRSXQRpLlP9mYByytrZecB27NwaUCGmNcM7SYMrnaJ5M6wzhZ4aVJQYkacWoXBzCuFv4NyCrWj
prwmSJOwVFIcH9tKb5644gq1lt1QnXSrvnVFUt6Mc6ufrSQt1n7LO91lXAb2sNWhj4YjqoC9aZLn
2lMqH0jeTr5ajZ1/7fKa9U1soQrrWzE4nIPudCzAp1hhMimH1Y40HkpE3rc4+f0vgKiiTRUo/0IJ
81ULum9SFtGza4Jr0ABohY3tPBQ2dFnuqRSUVcq01OA5N09KPES1TVeYvAoA9gReODvCJtvVLGhz
LDk9T/0UgEItCUrx6jeVZyTNWvohjcd0Uxtm9TUSMCxTdk/EbVrJvje7ogxNxh2b2RXGddaw5sOo
k94Uhsv4rS2YJ9TdJm9NJmJm1Ms2BJE+0Kcb+XyOSC7aVHnzpQNcxryWUor6Qs4WaC2rz2ikk5kY
AR0wJca+Fm60WooZhYDJrgGscMptMHbJN9Rg95rplmtrUPprbHpyXxJx+bU26tuuN76JHF0JyjeG
AN5LkRmQVZxW7sZUh5JP03/BWIAgOEu9lBHIvxluNPwFwbOzqjaslSHN4kfcJ+OEJK6vDs6ELCJx
jQcJiuqCsFOxKqSLBabGf2gmbRxWerKre1j6ZTve2fQ38F3jApqJE3ZxMn9pqT/D1urKO0H2Wigb
Im9XIremNRKcfsMavAWHhs5w7Epgc5r/zjrp2YDZ+qIrgtQxdWZh7js3ymi5rpz33MyNA8oUIMEY
XE5V0ZenTplfvXwIqQu+NIRWxeuOlxQaRTPs/QoPTmNX9kYqwKy978Y7Khbv1tCmaB1nQ7IF/zVe
gbEU16DmjzUfepkRyhkzd5waO3RYEsKa8aP1FI/mujYS42xVycOYVu4tbS4ZxINEK+yZIOVgnCIO
x8jv9S6/HUtvmyP9QlONu0bxRtqp3C3FpjKKq9JrI3RCAWjk8psjo71CAbCKNf1KDM3VMpnL4rYJ
6wZJapW/1llAIEIz3g9Nd10Z7RVr4UuqNYC47jxx37PhxuaUUgMSRTMl3OZwXKEgO5YEuE8Ag3NR
JIDa3VwVYezWK3PyoDxoaT5fm3BhT/82fkUr2+lvGj+g26zb/nPfh/q6rN++lD9v775/ze+ilqVF
YwLN3AAbAJio3zs+Y9G7sC7Dogx07Htf98MbZLCiMy0H5zG69j+KWtxPaN3NADeP41ge3+SftHz2
rzaFpf7zUM97dJfs1n5NgNIZD+nEH2sn9tMqAbcTBP7UPdd9YBf1MdFzj6laiigmTnbMw7GYXlio
+ojXyRlneu3KKSe7ohyGM5pal4WG7wNuOczSSE+odPDWNbsuTdpR7FJfOlJeONHQM1eb+X8FRSlS
ssB+0B12MjOyjS7vxvjC6HNIkQQp+J4GTEpjjtoz7MiPxD0heKQtzSCnYOnr9RezqEUbgiaG/X6X
KPb71sa3o8G7YSbVxcGVlMBsQKUSNgOsRMtDVK/kkWRdPWsTrmLMlmSDlyil/x2X/FdKMLRYf7nz
Xn/N3oa3+uvPd833r/kxJgGSwMUIUACAgfsdoPbbnMRzwK7Rnn+46b7fGT/mJMEn5FTcRwFLT4Sw
C5Dtx5wEHoPNepoQN4dD3gT88A9W3kaw2Er+MCfhvmWFTnAkBAg28r84wtIE2pRBru5+ord5RnRU
VHArLcRJI37NcPTqvN1WarqmLJmX9AtwVXixqJ31assOu8BKbM3Gs5Ad7oGiQByOYnP4OrbuQq8E
ZYUompFH1F4Xvrak3WavtkaiuMWEgyxjvAmTpRM5NgbcbLyJdKLQru6SFpTQyM7nnCUOA0+/g8jl
IRQFjQnm9+gaegpsicafnFCashhkOqPpmgkC3l83J0ZJG51kN/DizJVVu9XBYzRxKAEQ3BZBZB9Z
mr8mntKeZZZD9lGFu7LhdOPkMCnxIiBkld9UV8B3/XU+Nje9T1+mpfyScJFXRmze2CY9YRAgxmRK
QrogXLWdHqXfGAnJYaUHILILmkcMuQiYTNVWWzXz0+PevHGtkZxVr71sSWFZdSb4JsO/54i8BGxb
rOKxuOMhYlyM4HVYZRUMqHB185/8opzyC9uvngVlXTgb7YiLOXoFXXZYNiSrZa1Lu/SqnGWFX5Z3
Y6LNLymJ0uvKimMaqKrbdgicQypXqojgfrTEhoLYXUGpXV4CQWwO35rUEGvnzZ5+ZaWahgcpxb7b
BNljCSbvEREttKmFqUZRZIFpxm0MVg65NUOhZq6u8ZHOQDu1Y0v671tpM3HHl9yDuEXYHVpVhjDX
hNnOOEn4Mxpvp1VXAEfrZzv1791GlsQTQZEwsGZcEDjkbWYvMPaBcpmAZP5DNlcakbHW8AAvnad2
jhwjREYPMCIQ3bumE6ockpFk3bTADc45dRZZJmY8+sym1bzJ4uLOwmK5sWoEZGuztG6brEWU5As4
FFaMypo7Z5XIXlKPIUfu81EFu1pZLFyiyiARSE4AY5l2rlpoCOXZNMbuFLEM7LZDrTkPiMHlyc5d
/dXmF183YC7CnE5fItpCTr01fHxJCDUm/TTQarSHko0hqsWknb6RrjVrOx9vnfg2Bd5wmZk1YNmo
AAKWsYeoV6CUWCsmxt2/5dF/Ux7BYPLRHP3n+uhJNu9l0cji50f9b1/1Q9/kfmLabDLgNh2qkT/o
m8xPPmQdghypoD7G4r8PxW3vEzSOhW3Jn2AmtngZvz3sQWwy3PLI1GVari+Inn/ysKfc++lR/7/s
ndd23EiWRb8IvWAC7jWRPmmTotMLFmUIbyNgv342VNXTIqUWV83zPHSt6qoSQQCBMPeesw8bM1yF
VK3wcfLTMMou//4nw6pp6KR72LFz8qOq3bcFdWwb8eR+niY8HaqV9stPD+hvgdXPeKvfXdA10a4I
1iusq++MuRl3XZt1YZ8slrK10Q/JjrMdleIc7ns0SeODYGAaC7/coAtqSmcXCCXovbvZhzIgFx3Z
yUWv8QLWkRNRmhqfpN0nH3iO37o1fzxLXjXvmnYFVhW6FW+eZYsFK+oyQ5yyYrBfEjfFu4o+oYa9
HBlXap79BzfjRNZSGT//+an+5i4ZSTajwdNxA79nDg9N1k86dJKTNFNxKL2a9U2zSxapHpdu8OeL
Gex23j9TRqDBpp4p3CEm7O2NEhwlCyqK4kRkCxdyazInVkOq42jrlZviFrPSOj4WI8tkMLVxL5+E
UWGTGXOMbrpZ+v8oyXZ58o7OYAK6YriOK95TmohBgNYfheLkDYLb9YFR7HQt4y//t2thkbEtDAEG
A+fd5ihKKfXGlNdPlhyMq05o8purivHcpWb9/OcHvTzH/+zD/rotDk8CYC6yEN1mx/fzx5moutWc
qhOnPoxfpUlHtUPU+8Hb/HXo0KvDJL88Q/aQ753yUHKFy2ooTjPc91PK9oxzDZ2UwJgzio9/vqOl
rfjLLVmoACF609D6QYX4+ZbY9xn9TFfgxJKHx9HquaYRamSq5a2sn73FTU61jY8UuPx5wvt8IL/J
Onzwa/w6gh2Ordjnl09VmO8HDHJEEw8qCKDRU+bRykqDPGgM1hcIoBmhZNsQMJ+ZrbOCVwrn4MfH
a9fYCJhB2v2ff5vfvQEMFz5HAt40BIS3rxkEljMiDOTjhfh51nV9WA0oG08CxOfmn1/KcaAtgebg
uP5+RI01uweMbtYpIWrs7PsRn6yWj0z1HqiYv6oq4LWj79XNXwP1v0/1TN9C6D77fihbXO6X4VvH
qqIPU2tHPFS42jQC4p5LK6+f58Ebb3rMaN4HYxnPy8/Da7mk67E2sgQzmgUd57ePss5miF8gq4+k
WyU7QipoJUjYkmdq8eM5WRzAVMHn8Sb2UvMTPDF/U4yqOmG9wFvlJQ5l/4bl78cMokSGN3GaTYwe
YaxhzE2M6qOHRJ3k7e/Mwr8A5hiIvk4HnKXx7e9cEnYkxsISR5nrxVafY+CuiaNtI0NmhBLrxUS4
Idg1bOBBldaTs0Go7Ny2eJTR9aTEYVGlxEzA3jRS32arUN/IumXowgrguzIbjZl3yYrpVzaWUNzS
kQ8xIvbGM9q9dg9ES31r6Zgf3Ik/t5apaR0GM22eFQmWJy8StJVTHiDgj3S6iWAytRssB/6DmmMN
dLIfNgZRMtA+VkDdWzxqfuxkAbUR8r+iLrGcXV42XMPjSf/onDe4EfSV6AnMXXHkM65kXDFCamHU
zxO1xnmHtc93jgNRCSepIgwu4OJw7GaUGb9lad4Qd1Wa9bEANXA2cDTfaFhPcBDWWZR8Nsgcwk4z
Y6NeaixD+NDkFWOPiK+XDBEAlsfF6DvBdvoGDHlZoXucPgXgqa/1HALob9zm3DqYGOwBZwg5qQR1
Mf+SPDD4NiuMMRnGJ81q+EhHypQgiLXAGgVPNEzCB1CayQ7br/zWkny0XvzZnyAL83z8IXTPUsLO
Mntat7UveE+FM/icnVr5LcP4Yq4ckLqbWYaEZXpT6z909cR/RcQJ3foQh8OqSDEizornJjodm+yP
VQ45qLfFZgWpFmd2m+4jsLGQvVyXkS1ih4zTopxmF2QpGxMNMeINrRofhpo5njP0AeMG6LnmrG2q
8VeozRg1GWKtF9fJeJpTmtYq6KslK7jXQ9cBy8p8qfWcv3dS9IBoTboqTWDZbkYSpWJddKqY76+C
GxZtitkzrmKtyHmVdoF3Oaw83FbuBOcVcWtI9Yo4OcZyn2oQYvSQH+sp1JujZqGtMEiKWynlZiM2
etbllcItBt/ViubLGclatCD87Bf69PaLs7TnV7JsCRrFstneoagy9zPMUXdtRo74XCKE++TNyXSJ
7CFfN3KsONRpueFtDYAbRxRLBO3kE5eR+Yhwo0RIutYlR+E8n5djPMW6bIXnf7qCcaSfChFXhBtm
2FGIlrGC0dZEMKFT/ZT5qNy6iqbFMSOUg52RQ7Vg1mV5q5A4QIsPu+J7Zbfq1ROY4G3TRR/mUMIL
JkLQiHbGXjcEc87ENeg1qkylTfWTQ4NcbqU9OV/H2TXg7pTlRSX1NtrCynSHld/VydpISZftq666
ImQOvSWa2PhzZMHocytVX05O7OyacgpPxqTcZucRvPFcJ9R2oBHPn51oqI5koZBxMw5i/lzmTbax
bXMOJGpQnOWhTX81G8rPaZ26ivg1JGMZkWq7ZTMKwXlsJD2IttA2gGpoebF52VKhVMvERHeGpK1z
l0ntQHYQuegtDZnJ7qbvhCMNG4Ru2u3kV8VTgq88oAMDtKRccgKx+67crH1xFTIIL5m1dYhIPqB3
aWxJ+OMHedqVGGOd6R/2HapPDslAjUE4VwqVG3ZKOnqAjAl25M3XwwU7XW9vWsZkr8ukH3DKhVxI
kFm7Fl0UH7wKxVquZLwmBVXboITu7uvMIW+pL+W2szMkmbH+FWty9eTniQnPHkoTbiNrjb5P35F5
U9yyKlHwBSEfXzgCp3kd6bxRNzLTiwrI442uOgofUjGoNYcd2ctEUs6VZqZ8ElJyYthUtcLU7owh
G2wTK0cTMNsqQqsIegyqBSU36UtdSyet7KF1O1QfXjfa+iZLKB3h5Wp0pO5uCEnAtNFLhoYAw0Yi
TuBOebtHsMd67HV2SDNnob1B81l+mjHWcpcliimI2XjpJ1XMtiPnKHKtF0xFP9PTrhfmHCFkzV5A
Fhj3NiELzzVWa341lyY/1oIyfzarJmI/h/FyZViVWfHNx5J+kZ3GXv2KFF+sJLFoIeUMJQlFFMN3
OIBNRICWZj9SzvIPbezLPTG3aFzKMUq6VU7E0hfZq5eUUMWNLZIoIomQ6eMpn+kN36H+qay9B+f5
qkf8FThkQ23iYWiwnTp4HLyyvp/9iCBeFEHDfW+3xRlH5KuZz08j9OLrTJlqz7xKd4+seWKNutr8
FtEB+DYnyXAXdS5vji8+3TQ99jPSwtGAYepPMkr4RLscaReD4RsHQqPofzGPB1kno2Gv/FE/iaaa
LhuprLNDJ55aaJFhUwX2lRAgSj3hQSv7EYGWofLLsW3FNXKm/LoBpX0uEtg0Lerur/Ctc+ges/Wl
8p0e+0g9mys7NOFWSs9CqBC3CLS7efBXRQPhGxqEjXDAE8dp6L+EtTbcDSrKbo2uQyNBCPbnjEDt
hU8Q+0syPMbFZrKiK19MyWU7olQDXEokb9xH8sVM6LgXMLE2Jb3Fk+HoWgiHRhbtzmDK22psZvv1
aJCiukpE6I7bOC9xQGV1jXvGmu+gA4YX+tTNtwowxMrvo+G5y1XTbXQpRXIkQncERUuCLQqncPCy
K2fUhxoifCf3nHK1i5R84nudZAUfgEGHI4KMRj3bdwyeq4EV/tXoG3nZkTy+g7s+ncpUFvm69uNQ
riqD40XM5LbLCJ5KgpqdBRF6vdvf4kKFkl/+YKpLprznbFQkgE25fTEmJtOopYPMDoAMlMPaLNou
DPKSzG8cCzPUGb9BWeLlrmBCNIbvFaGCIS6ehmiFOhIHIRpzY+XOvJedm5xlYTT3nTHJBy+ned+P
cxbAQUpW6HQFrdk4Rvgyp+7aqgcyNoxwjr/phWIdUkvhFmFWkq9JbWVnPXNOKfPZJUOyCpNrIGLj
vd4O2qUN4ilaYf6wtp5mte6qrEsQmNK1iWg1E+ruHWP3Nczj8bH2LPV1sEP32+DQGNvqtdMh6ckN
Ow/SKieLMPSs6hUdVEP0V4wsaO+q+pWoqOhGpgWFyTmR6mgNYwxNuEKaATy2Id3ObdENsjpfa3S0
N6buEGnqR+zZ8WjgqoJzixnW7uCbnDJq0itNuP1T7EwVsZ/RnF4j2saFEtZlfl36OfndpTlqt7Fm
8dZyCkhiX9RDPnYPeEfHUPx1gv1/jfAHrWJqPab102HzF6fnzfeylGSxvLxjSf79B//d+sLTiZad
Mg19WcpxPzWMPf1fNv1gykocgugnLw2ufzeMzX/xj2BJ6izDvkXn+H/LoZb/L5eqhYODw6CXQ7Xk
n5RD/zpt/afmsoDpOYovjWeT3pzxo/77c4GCED45F2gs97ZbZqQDLrGOUK8HeLsLjGPjmyn78qJI
2mI7KKfxORe07UF4laFv54bg+iBmH+0HzOm5vY4p4yLFz8Aptf5XcuvC68FxplMxoXgRSTcaCJw4
rq8KTUqowJNYz6SPk6ZuSUPbuDN6vBUedYP8khT2m2aY1UMrp/Y4pU18tTTxNi4BCPehqVnwPohC
3rS+jnMmrormjji2sdxTz8C3Z8DXeQHjhF8IyTECk4pyMHvZ2s/WdKUxhsflPqEh9l0zjOjrMGvJ
JZQy98meqrRb+5ovLnADoVEh2QVYGTM+kWGdHZmbCgHwje9F+alHDnqdVLG67Aep7YwwnQkcDQXH
ANWPG85i2TZ1wSUthvIoGEeailrrLJLeJZrGr6E997lt3Xstj9kgroNLmLF+LJ2o25Dhtki2mmhj
+jx5kQgDFbNf3CjNcrYK0vYtNrGKPF6vhdNGaZ1Aoqw82q5ZB6k3h0E2xPjtfRM9YesVlyWQN30z
uc4Qr9qsxlpU2vojkEd10VXiSXKivjOkLD3aLgB2sI0RQwcJyst2i330Ycwzc5t2lofPMUrJd5zD
8JLEvmRNAzMLClLoL20ba6/rVF66QfNpHy1t0Mk8BFQtCuPs9jeFn+MOHUSzE5F+I7puicCuTAv7
rOyeDXDE921hjdf4fm1qm84GXpQK7CJDuhNzRiUyLj+SChle+HVa3to6oBkY04/JIJw1oTcZMJhu
2pY05e4mjEQbkKjFfsB9qFcGW+IsTc9h1+jXnSbddTiKgZTRapellrcpBLrkuNOrNVwJYDM+hpF9
yvZh2zkF4SXD8JXmpLathAiJqlS5cWaQUwgYx+YAjAAnXO5bG/zaA6dJU6xRhN9WjLaAKs2JI0CM
aKFx1losn+YCKPQ8AsWOKeKs7Mnjt5SxHUQd8SFGZyRH6A3aEzxHcEV53JztvOYYI2z/iCq8WROk
jkfJQLyVE1l6ZfUN44ZhC5IH7PyuhnW26kqSKlOdE3vAgmZDQ6MYj2Ny8a4lWEt2DprsyLj3cD8n
W+kbgwXfwZgFWOKUAn/snXEE5E4d4LnzujvTRPl8Z4MtsLGkNVlsPBgoRtKNbqfJiQRG91Z58PQe
RzEXagVDLLe2pY97aIWefOL6fXKFKMV89NlZ66s8Ndo+aEMrXugclWY/jb5VpoehWuCleTWn3E2q
z4LMYfrW/R0wLDHcEa3YAaKg05haVxzb+/SZaO52LvEOZCVwkdgm8WuqcRCue2mOzGwdO+VnCigR
63lsJLwfrSoYnkNF/MtIqihbbCMZuX1k5aC787T0vE1D4E8W7SfliecFmK++kqhjZPjHUAx0tJqX
vFGisS3Cp8owUyAiSzq1h5Q0HiLVYh1Q4KcSW8NEmdWCW2UqJKJ8WHRdfyw//79Sf7BSL7gCls7/
3rXcIupKvtG3+w/w+e8/8++epf4vfgSmHHoqPxw5lM//7eNx/0Vpz4EqDTxVX+qW/7tIW6i6aD7R
nOQX0M2fe5ZgoqnGOEt3CtLwsrr/k0X6XZGXeE20XBb9Q5sF30JJ9rZgGkG5mr266lgJOqxgmHo5
ZVJK9C9Ex5pEXaYtL8CIJ/g7YsKgfnpWv6lqv63W2zD7lnxDiuc6ibEQsZff7qeOadNEs9/Po9oN
ndlv3In52EjMHNd4UvyjxsDfl4LLhHhGLJ6ld5dqLao2RmGrHUKJZJebxrCyJA5eeFDN/+GueJS+
tWykHLrBb+9qNpCITkLg0hxHVLjW3KxbpbJAjW73QfOFvdpPLaC/7srinoROi9eCbPX2UmCwuyy3
eYB+EsLDnkxwgZ3zOvbOOipDoFEVupkFZ49iFyX4n9/e25bavy++mNAYxThR3t2nwq4fWrVSBJ4K
B8bEGG9KQzT/qB+5XMU2GZeID2GaUG97dxVJBoHsm7Dbtb7AJSXMUiIlHBu33yCP/bAh+w52/eNy
tNKWzbHJMHnfeAb9ZFLiUt0umhwFjrH97lrmKwWuAkVIcUIJ/7f077+2dn59jLYJQsxkv7x4B9/3
LMIY2y+nv27xs0PdYWvEy/KrD7pV7zojP+7LFOgjPNr3tAuXT/GnTw1DqEFtMOt2VtJPK0vTLsiH
uqYsS3alXth/nez+6z397in+fLV3Lw3EfdREdt7tvJ4siBBPQtSzYtdpBk8emBcbxOzLn0ej+bYP
+ddAQRXi2BaCPwbku6lsijPHGwY+O4MC/TVQjvwh0jtUWxh59hAxkLM1bBEnD2+YoKCudO9ImWvf
RW216zu/33QjSKN2cOuv42hph8kRnEhC1dzNGHY4DVAYz5r5g4nph0rjp1PS8mYI9CUvCM0Bao73
I86TYGYqxWeUDORgr8QS90C6qt1vNM1CxCYNeFpeNazxXtQbE+v7Z32m49AZXn1Ff8cKKIH419Di
og8+cPs3QxNhJWFGfOE2/1v+/U+DJvVzkMZ2rsBkx4TKx/Y6aeMxaDxHbWQTyfsxsdJAHxy28xU2
7+NYpu0FncGeY9CIGK3XS+CPMqXkVeorC1DtOiw9svDMaDpFndlemc6sHWYC8tb42mHNuDaKNyIX
HzootQ+q98LAt7A2tEJzt7ikEiwbrUcbYDwq6vbAs/IuUKHtQ62xT7HI7qFFkkUnJno31pxtMZom
pDmq68p3533DoWw1CRo7Y5hTKYsn/VHDP7hLS9pOoT29ZpN1Vp7KKGFGOPydWF3zk8vtn0frrx+I
x4i1sC4I1mDXfTdYR0lsoz0sL13GV9TZYrj2+oEt4qduDutN1xXGP/4kuSIIVIzDHNGYb96+S78d
e8+fM7Vrw/BgEBoNoe2rX4qL1gLoDKr06c93+OvaDgSR2YYyBHII5FVvrycjv6dj3KldOuX1yuyX
k1A1oLc222n950v9Okw9LM8O5S3/R9/33TCNOqSYA+kJO9/rbRgkjXGohs794AH+9irC8dimADfm
Gb69oQLxe4EZjuWOk0i7alxf28N/827+fDPGr/MYd+OhGUafbLi/6Aoy4MwG3GWY4qOBJ8WQ6RZN
A2ESssRWAj+QLQUDX3ctwOveI+zbXSWy5KNpiYLUu60F3C+MCDanNng377U5TVOJOelduRPgjDYD
4PEt9Gm1FYNKPJJRZ3EAiOBvWr36/sNZk6l02EW23l8W80x4T1aFH7yBpUj26++Egg9tFpF3dObf
voJIaJoWxpbclVFXHvTW3vg6/Y8ZltJVCJwniOkfPOd0OIK80aZrGnfESyW6ufa9Eut4mX/POdJe
ZR4+8Hn4DKHEDPD11XdT2WEOVAle6ygejuWUXwE8+kjt9fsboC5HVQzNDsLztzcQGq1fTKQx7UQ8
nSMCqrbdIKL7mFksqBs3XYfEgAWF6yhWrLY4AvN+8RL3k2wd/9DVYRiMXttvKO37t9XsVp9odH6f
QVseLY/w16GOJgKaU421QuVbLGH1B0vCO9HRssoyLH66g3dfwaByfuFqQlVO+eaIsqA8KnssqRfo
a5W0TPIcR0Hj6weropQua5BSf/5ArN+OAkIRUdZ7qGGcd5+7NzGX0N2UO2oUqibA2bO/sK26cYXE
quHr36q8Hx9d04i/kheiuj6iyG4uHXgsanRZtqZOD6mlM4g11hiw+JtdHcRccIeinVZRGhnfp9Iw
mCrdO5dYYVtPSQnQfAr59PuN3tYvNNvIF1vri9vrd87EhSLxg8fqS/uDZ/7r1s1DkmdgS4D2oHNa
ejtoUOq4WYhWatek+WMZ7tw+zdfajIMf07f1wT7xN9O2w46Ek6dw+cH6uxOFzDOH4FdD7uqofPUJ
W2HVRugu4Nx/cKXlJ73d93BbUApNXyya0vcbe3IMu9rFIbyb2uhTZljRY5rPi/Fm4jRhTxm4NN3R
vGPoGB+FNf5m9V2kaqQcWSxMbLzfPlEVASIMU31p0UzPofJuRjQq1LFe6ZV+4cjrrP88ZH/sPX+5
Vxsr1iLWg93x7hX6vSbHJGHIcgwvz53FvmeipT2V2D2sfv4O4fxTleTjOppqNjeCcOdeRi3UvfmD
r+e3gwm5MysLBihUe29vPelUb8c93+/gVWqt1y6uDEpqKy2paA3H6euf7/w3iyY8SsxsMJVtwkzf
zdiOn5KB14285KklHbwGNTF3XvzBGfG3z9egksFI4vEujYu3G1VpRBWlQrnjjNwGXj/GUAZTn5h3
+ICDtPg6IeqvtanBFhECk6AakG/GXjvNM+XHP9/zr4dytNicCjmU01W233+vA3VhHLEZv0xPBDPZ
NiDF2/kS93EURIWhBbUsyl2MUnRV0ZX74LN6H8ezzNDMi6im8fzRc3k/1sglxABS6u0O8mP8pXZb
mqtDG6lrmRg2yTBO5ThB1fEDcFSTNY/VvaG7ggePJEPQ1XEGcm8aLvvYolRsKtUZf8Ex/vyUfjPR
kG6PK4BPn33Oe5l1rHnJZJdOs0OF0W47AYIf3YO/YS+ffPBIfnMp+DDCRUBJGY6n83Z0JKkh6wap
5k7NYfEqrAmQSRkXOOEdXX77x7fFHtTGibmU1H6Z1WrUPqr26D+ABm1vIb4622pyw1Paqpc/X+k3
kxhXoizCFpHUpffnRnOGt4Wgudkl+LvWIcayO1jZxFjqkqigsaDRXcXTB9PHbx8l52uSjPEb4Dp9
+yijSC/JTbKbHXESfVDYpH8maYE0STflB5eiTckPezdrstPAbUD0MT7B9ztuLxNVF80GQ0S0erN1
QOCR/xWLAds8iZJ54LSoohz25HnQWP2gbTk5duOGvodVQMa0+bgSVG3+IaTb+mDCHI3XOJ69bk2g
gYP+K2ziF1Bx2mWGzlduozhf8iPRaKCI4ZasYOk1QT3s7cHYDuSUTacfQZRE/LrzhkQtWn8RfYpP
Tmeiac0FqaTb1ChGZ2P5dWw++QNauu9OSrEkWtWcYOLTGLdWuG6TrI3vZV4Z0yEvqa7tyGwpxEbT
a+NYzOOo7WSX9fLKLghHvxSqm8JbR5K1suX/awOBGK3MoEEIHyJDibAruvTccuG+2VaVIqWCC9Jr
6HyObalVe6PNSM+botZs0YwlD4VEVU68ArFbB8gkUY1cqaqy7ZQli8KwJrroIu05TqLy8dEA7KQc
aG6OvT2N66onBuhEmzXUqTsUtbmuC3vZXCW0qV9cYJ2YZUM1BrNH/PpdbZO8AnFdInlFtNnflYlo
1WbSEJCd9arwog1Zp1F3YBM7bhtv9JOtAGxXr+j+zGjkZOrTI2SJ2uSQKRRwN9MHWytt7x4wDBiP
vKgs0BBxj/awrgEGed0tdd5t19v1Y1ib+VMO3OWsSodQLuj1e22JuLUa/7rLl26ehEDklufQpYgq
YpJziMLZmSKjkQNjYxt1/dHqpyEwYU+mGRoSu6PR0qWjtYX+9E3QhwSkMKHpEGj2HKCdG18kzk74
M0ATFH+rFE/kCSDB+MVVaDVFN5GZ7PYvc+MQf2oRNwWZe2Un+YOuO3QVnebG9ot2Y+hlcoOJeQ5A
GRonr8jjS2vgfXBaII8Vhew4W/bO1ozbJKGrBQk2PIS+yIIxzTo2Fbj2claJtZTufJvl46FRMDEA
79j8JVsQTQQCifaYjVAOZj1rNqNqCbeKQxSJyE9PgwVxhzd7Qw/4TMbMuDEGL97OcwtAEzMemkEa
gjNb13MY5fXn0pP6RRm7wF8V3chRV+2ro8Ee0BRpdB4Fa+AjlX0AbICwmPzqAyQg8yAnF+Ph2B+x
+W0TuzYA009Phd41T2US7l1b3CXd9ESiUIl606dQ14VPBRm1LV9g4R36zoUZqDUkJtkaWlEvPMrQ
StbAGLyNngqN99DAxknp2sWcG85Jq/U3TdR6Z9lBGR0seaGm0IUtuXBQtfK7bGCQodxJ9oksCAwr
vP5VSNWR7EUmbbbO4H1AYOiqpiQ3c8VOsyWqqEp8Rbi5F88rk8HzWGAxHtduwzmCxZRJgpzlAWno
nF01A6MsnQAgeplxIBR8Ij5KVZg9Z+/E31SbkQ9iE2KHm+SF91emNaG/S8L1ZIaCvOtZmu0zHpAt
ynOohxpxO/XOXfKyRzSS9d7KcuhGhdcCNpkqrAUXyJIVdGLXa6MVGB4bS0GVIDENqybZty1PCglx
ma9nr+g//eCimTn6/rAos+QwpBBQbGLKrowBtk2FxHNeAbsdj3Ei9S/OImZeUd+tUVvo+almkf2q
QNk4m3yKIGQMdmLhOpbOneiz8NWnuE/seUke+6rGoL+eJ2+8p89UvLZ1C9x3KqTxmdwoErS72r4m
xrl+JshqWJPbNO0UO5ZPHjDa517ycybcFyj3zOY4gz0KkrEUB8x68pEq3GIflrgBIO8wEmLLb55i
4ui+NrXIttmoNU9uYyb7FD5AfkAQmm0TdLePWP0JDXDhka+RG0AR60CDwro1NZvkHgF22nHsIGXD
dSC/CUAtJeQNp1K/3WacmwrkU0g/VyqJ+ocmHJbEMHg33sqPhjAJKl00flDQGgTNHOfLGNSGI+jq
+A7aAjIPt+3IvONxag/kTHGL7hKIeorMmV/VyfqH3hy74TIKw+gaAaO3JtZ8vqzUIqOPBT+VVOed
0BPnrlemPa/YiTRHp47j63SQgNxoTG4onNnXUcunuimrYt7O3Zhth2oUxc5FHHCd53XvBrUNEJqP
qOGj4u1ShG+OGVyHazeO6y9tH7W3YobPJhOed5JmcJ3JWtp5MQ8VL9100hiat7Xd1l/s5YQZlM5c
E5DdAEbhySZ7QL/8WA33otGK5lgbqX8x97L+oqa6fepBsOBPdpuvlRHhRJ+7mMdKRlJ4jKhG4ClX
8ps/SPtazI02wOjzo+sRhkTNfpdwim9odQQO6tocLPQzgGPD6cJgWa7Xg5/CpY69psH9GxOP4nUd
UkZweManGh3zdYLw77524ugKKXmFlNvJ1mqBm6KMnEMDtgybSLuzzE2kvOY4tXq4jrSuPy2Mzz0g
xfHe01LmxShM9lbNn651LbrucFojJfBsduAldINrQMH5oc2WwDQQbRkxsdkQHuNC8R+Evb+AlIdc
rVM0uJDD+M4pY5XyEWLz9Oq5Pda5SNhBGE75wWjVMso7shrouZj2XVLE/YOoFIioAa/AMbehBHqq
rV+sNHbuNBB4OZrwIb6enKIkwASkx1PeYO7By9Q96KSon5PldYN48i5suIDnRvRcKNOmrY8Pi3A2
DR6xkDw1LwXoqEfa9KrP0La0UdgElbVeeCaRTRwaPS4vHGvgJ1ZzBuNOH+99nY7MPJA8d5zBgMQb
rYinVxcoVQkzkaSMFfUWCXnOQQEbOFpFPJ9IZwx8ieaEZxFz5FrVnWymQ9H3Tsy9M5JmrWmZeh3B
SGPOiq8Jyq6MoDDm6kazUoq4/ZTzrnXpxf3BsSqvDHypXitACmhY9CINmmJoXskkMB5EhPcDIZbx
3elT4kL59JpbZov5tUJY3gYALIGotandfSexCs1qSEzXXqtrHovDSi53+pAZ7cphy/tpNnPt7Cud
2cx1SK+vveZWhSWF/8asr1Q/1c84FppbQ3nRdehgwVQ+/o0EBfKBeWxJvPL4vktSWB4bOAP6LQwl
yRxfZQt+nVC/V3bU7iVn4nBbd2HLJAb4lrqpsuB8hZb3eUb4dBUitdr1ed7vhVPwalg2L6xW4JWy
3Si5cQS8xroU8r6te0Lo5vhVRRX/SNZ1vQ772vpi+5G9FTVC+FrAuEJMD/Sgx6Zk8LxWdDTFGu0M
3yGZm9PZKFo4mzmnhiWa58HMI/wIWnUHcuUS7nNCL1JPOMu07Xog8fOqof6jd3EPNq5uuWzmXOsD
kXkxYWM7x5ppr+uJdjk6Wn1dTnZ454RmtXA4u4hJt5jxwdBsbLBPH9DrHvtpytcJ3+alHg3tBTkE
5TGKy2nFVp8toE/7jxLqi0+8yiFzy8XL01vfesJhmkQ3mNIIj54t2WxKx6iDUeF5xHD2yH5bJ6J3
hII3LH2mSm1jKsuHJqxcumUxG9I+raZHbxyis17Gw9Yd672Do2/tD1CIV0lT7b1hfqH+VzxnBVAI
1hwekqmJiImeEw6+Atw9QZpl8pBpurXqQ4BRWSHqrew6+1SEBCsI+L+3/I1LUT7UPnUNIm9r8KNz
J7kIbgT3piNBbkVhGoA/aTIvBEs4D+SC5vskcR/QQhU7yqWYM3S2cqtiATBUyRBfJh6FG0h+hxDc
x5dYD4dt72n6TpkGwfNJZ62Hno9R4lNcDRmlwmianBObC/GYCntX2mO15XNiAq5STqcRWs+dT+LM
a5915uOIWe3KL/wZ1UIhPtUQ1IORPezWZu7i1mT+YGD2vJ163hIKwLHZuuwLV61qCcUmKOH7TKvJ
DOpIJVdNyjAAMx4lAEpKojdqtGorsIBQ6uq0DWggrCDAm0GHUjEwRZS+EMeUHaOh3CvyBdKVLTQg
ICRYzLr5qMgs3fIpbqHYpkuCF+6REF8RXMHwntQ+thmih//s6uT+eCo5e3o7r7PC8k5yAgAS6vEm
tqGfZVZrXxe1XVVBPPhIVVGVH6ap6i8d/A4lezQCPkBAlaC+x5SsUgutN0GfS/hjC0h3lWspnxE9
tP4SF0z6VJjC2aECLllyRlwhzVxT0ugSbbzxQ6u5mChmc6pzeww4XUvehU/OxNl2IbNgWNuHPRY0
T2aX4JEwBpbE3kqBi2SiwbMqB6kgK6XTypHp3hg1HzeOteKcA9e4XFJd7RmtvtMvkdMxzPZeGU/k
aLaHynS/GLPzPWyr5jM71vwzBnecRBLkt5sTOQviMNootytuJ4cdS44Zkaa3r+YgAuFYsx0aAe8V
fXLUrGoQ697Vpbt3MwMDTSmc6lobInx75QT5lfINMj/TSwGudTl+MsaonX4uCqSbZuPhFEr+h73z
6o3cSrfoL6JBHubXYuWgUMr9QqilbuYcDslff9dR23NtX8zMnfcBDNtAt0pVLIYv7L0Xc+RVMnMD
TWPZf+ad0EmTT+PPJtSXOhB4wm8bVABHu02rB8yGnnxtqXj43hKaHBiEOU8JDUNnXmO0XfypfuNp
yexswdEzMPTnjzAGiEfqYzrTrIitY5RN3WeRgXPvho4hQjcPxc+MSFsiXpc+/KZ3qfEdHwlP+soC
F9qhrf+GXZQm3AoT9M4YJ7tPza6JtRTLSBTwktnlQ97gT1t18aRydqN+rLaWL5lokILF6RGLgQKn
KgEGx84AMpYUivAbWRr8jF9PmMzc1M/I/i11TqPSnPsM9SLvcpMShgRIGJWWSxMz8UvTxCq7U7LY
PX2jXo5GHEjS7qItxSuvvGgQAA6WZPy4ji1/1nbarEqAng0pqtAJJ2Qa60QCO2hthyAPod6BveZR
F+AlCL+N7Uh6Km5WVMqQa4ufYhj4rUNjYg+XuLu//TqY9qhFw8pkPZkES6ejTHMNYjpX9BPVzvRt
4m8bwNskA6uhgGlY5YONfqzc5UnKuAdlAfa2MpsgwxlMgW5JhJyMbW8v9mlu++rBligq+ArZtwYy
bPh8mWszD2lrPUtPHSqGcVeQgxpf/LEff44Os1EU1HYdXxzNiB+zeRRwc8AJw0xz7zPXb4hKrT39
UcZ1N+8nxvDhrTXwofdi1HmPVOW866QM+fKceSo19n8VJhC+E65dZv/xvGYuw1EctZ6/v5Si+0zo
XpIVb1aBg8buRwKpOt/5Q4utc/BJvIErm0Cwy1EAU+/ydS77kvkfcbWEBK84D6no7Niq04PutAxR
WnYr4HGaBKsk1xQNNw9hnl9BMeiKz+cNyKrEMmGOikdTDxpVQuaQXHqitUX8ZKRwCbEB60d20u1e
FoN5X0TedEbLlDwvSyyfpLDGX2P1/2pQ/40GlRWnx4rhn2tQL1XZv/81Sv73n/ldg2ro1m9UMA67
NhIRmCUyaP1dg4otQ+Wn6dj8dcLmiW/4hwbVInNQJ3RAh/FBmUY2yT+MIpb1Gxk3NvZOtme2w2n8
n2hQra+1958GvSxydRIP+Yf1DLkDf1/f1EuVkSExx7duXZOSnmuFlq5kLOzAhoQ4790qM8vtkEUx
M6/ErC8R9XOQJ1H82RFuVa3cqMCV4Om4lA7x0uBaI63K+VhwsW2KMvGYhTPSPFdN1uYvyYJIseoW
/TM1o8lHDZ8RA42E153XhTaO5o6monpy+95lLNX443iczKSVlxbE2CbuMxygs8jnVTY72aVGxhsQ
towocdbO+jDXYGQBqQdGWi7Afeb2G25dUJcizg/WOOkzIZ0eXYStDxjbzMjaMquKxSaUpR0HlhMn
l3ys5GHIB5feeWgPY1WgOmyTcrofG20n0kGsK+G/yJIEMWzh6BSKCNIgSeVL+jLZXR2Yg1mvBzCT
sW8k7T5djBaYIQ0IBrGhylNIYC4FSU+BzGAa9yg53qCSs8VY8c1zlPVlMO4SkdhH+qzurgNB6pwk
WS4fHJH5lHV+GraPLM+WA6jMTiMUqI3I0U1bY1VbyPrrXeuBgdzgZJeXKrWIayfyFiM4E82to6ZL
oJ3g8vQEzyb42hoQnFnNFO/EBAK/+QKnkmf+BGU4I0B35HnWTmI8GEVm+OMpp29PUGhOUO88AsM8
zXXrdc1m+200hUEwAA/WvPG16dMv3Tr96bMF+snYmgnADRpSuzAe3CI0tk6fuFRPrKLdV+bcBOXi
5B/PFBnZ0SkHLMPwD8M4mPMhPSSWX4L5ybF3GhWwKXXX5qYnb5Wba6UnCWxOIkCq9Ux4QqAJwzh6
cI027E2YrCRJtstoB6HCTtfeGSxaHerWdeK3cYlipY+Onte7VmCZHO1ApF64h4419pvcnO1DMekt
4b1L916JOv8QfcPcz8/gjKzahnFE74VeDmIlbTFa4rY4dibBfpYZ5Sp1OzX2Vjl8i1OLwo9cZPtO
4wjaVCB19I3gZP0UpRamcty3u9Hk4e3y6y65Y9Y7A0nzfVn1xi6WmZfe8lRz2RR6clhlQs9Owohw
YUvRjWuP4c5hlLp9kyh854rYBOvseOlyLMMFwECqz2vUbu+8RxDPemFsCRu6cWJ2HevBcs7sCrtX
8pjDb9hs/S0DqXFXM7vZoF2FNmO49RMNxA357fa9OrNvQ6PT16SYlBunMS54OmcS8EhX8Mza3npJ
zbrDMmv9J3sW/bYiV+M1YvZ6ahtLnqsxy/cd/hMmuk60S1NwoiHBJquwgbUtJCvc2mn9B3RH9ook
GHH2Mvd5EfotoUxEWWihc86W0T7XSaOBT+vki91U2J/SbJLYWk3xRjYpPsxhXqpoJXPdvAJoHDZE
FJs/NdeDb9BzNLbZQu7/0Ocf7HP9gKwPIhG1YcaWlY2O9UBc5BQHAu/3h+XN0aOdYm6i1W/t733B
hKX0u47XqEHhebRBplkj+iYL+SB1p2Kw3xQBhIB0E47pBAIh8vaTDeBUkqLsrQZnSqmJSEhZuQO8
PAMr8CNxj4SOcHweabZYLKTV1RPz2Zcx7Nks9PeaG9dkCpqNe/RYzPgr38pJ73bK+M7PvWQ/hlX5
6Sa6v851klBWdaHWGnNlqUbZOIROeu2L1jvM5jghzJntB0OrajTWchZ7fzDDQPbLE3n8xpo+JqIf
dhuIEPnInX3QzW9VHslVEQ8aXnDDgobFPvbN9qS/RmS6XCtWSAHuWPkCJZ2G10yri8jrjEgMd/qg
Lxw3ozD7n1EmtYDcbXZ5eYzizhLmqyiX4nYxEv92nLzlbi5togRVvqZo2/oU4jh7cAEtZEFHAH+z
raouIgi+0d+9emjX1jRUVwal5CPMMjaDOB3gBRt99HNaIn1fjqX7ZrIH0PAmEkm0cMsJ4n4esWMj
PFuXFXd+j3jDleuNzkUQdKsSMMytFRniKWrAIXrSjo8VXKq7BnrSuieKgCPrx/MPtpL9gw03jLkV
al1K9zknMNLoCjCWUKgNYxQHtMzzgIy++YHxEjcZRkxKbFFdJqInAnJY2vNSVvI+dzW2cpl/aUZh
U0fPOMsPpqNllxhYyJpU/5TWbhSPaZfXF7f25gddGh15oU7sXy1/6vej10+HagoTa1WxrQjw8eu3
Lairl8KvmpfIK9u7csjD5xr68GmYmmkVS295YgI8K40bGIV2nDcheySkQCWhERafltDUHs/hgf55
pB92hyeyk/A2J8i/1hoMkcCxrWrDmFG/w44dmRvXI+C7lJrVB0UmWeGmc6F4B0y/vcoyOY69fLUm
l3DIkRiPeSpGRi2wHI5GYjgfgtfXgipkEUdUgQycVPdfcKV3e91aeNB7pT4QjRR1yRasm3N2k7p+
ZM3JgkVDS5QB0YOwu/bkdB6aqt2iiWOs+VXx/bc4/jfFMZFuijL7z4vjQ/mZ/K04/v1n/jBoWb+5
vs0wFDHU7/TbP/xZHsGRRB06qDVV2KRADPGHidr4zaX81XkcEcn9S3D0e6YklHmGPYgWHJPAXzS8
/xFL3rL+JvNQsZVEB/vKxU0hjvj4r4qLQYDPWeJJU6O3ac2OIH+3UxY+THp0vM3xMgpWe93MmnxQ
QJksEsbZYbhwgVlgTYGB72PDNGP8dAeDG1s4ld98PWWyF/kEPK34qWI9gS7bFuVSfitsIhyo1sVt
m0jqq3Rszcti5N4SZGkRFRsSap1d4ngPlEX5tZ2G8VYf3wuQK6u4i7PnftTbN1y7oxYsY14uu4zt
wTvRr5Ct6UdnwsvMiOX5RCU1rcwelf2mdprse6xlBCqYbcEwY2bPsKkErG6eXtSqYe4Pl4jVtkm0
brhYa7ulj9jkleeaQYtPmr2/l5q7hjicWHFE47OZuqO3QeuToHMqqWOCTMuqDzW6fqsgH94M4OSD
wcy7EyHJ8oOCtHyz+oRunCTi+ZTIrLmf6zR6FzFBUuTKVtQ8w3YcgMog99CDKSESY2G0eWebM3dR
6ZGNzMpSuji/kuzGM4vpHqvBsgVWv5676uC6ksE0LhzSbgZWAda8kyJx74yGXM1VahYfE6EQK3Mq
vDuy4OsDc77+AUh3x+gfTzu6VxPSeG3krFuUF7snhiklVu/EaJnw5QWvyHFccsYUesRkfpXYjXum
zBJl0GpIYADiDA+4TFr4MwarWxQmxmuCvPS112Dc1xJHc1n62lkuIiUXitCTCvxFICcoEktkDC95
NtdNoKQJZxm2zQmW1wgk0V8QwsyK0dnlVnw7WmW+qRsfclYp/abk0eOOl1yb6A58plPvjdJfRBQX
9i5KCsxVgo3kNwi00PAYxQApzRozItLaL409rWRyjevMfBFRkdz7i81vM3W3fTBqgdSlia2TIdJR
Z+1TxXvN7COy5oDZiH5s9nI2xmuE2z5wmEC/aWXUHk298H9IrD7t1oEyAyHZlF6ykU3jX1XMqQxI
SqsgmEamcxdbCckgOFHw3Pog2T8sUnD81RCLbENdX6x9uzfYFBnlI99j9sRTML5zIZNdOmOOj24r
Rn9jwJkF8Vdaa82Zo2LN6Yp628Qpzu616tZaw58bVWTxvLWGSkUO1Ddp6SLggOnMVf46lUaquKsR
Gbgcngn7Wn30QWbyn6o0op5myB/n1Ll2FWk4+bnU9YmoJ+CY/bIvJEL5cGSwj0N7NOdjjNhz30jn
zqBDWdeWu1A4siZgiOs/TFCyx003DflbGPoz1reQcC8XsVEXZLWoghK09gOLh0HVzhjfVQh1EJeJ
fmMBjj73NrwNi1H8qqu6HFs8miI/HLMN+35ORa6Xa9iRh7BKxjF/mkJpFmdn6PX0zlWsEH9t1cug
QxbpZMGi18XpTvwzRbYc2mcrhz2tZZ6SI7WmPJjteCSa1blUdd3uih6kbj7ly64eivm+qTxxGEi5
W1WeHR28ucvvZWu2VwJTpsDK0mQbginYuDVfJLbbFeuGZGWQB1GQojcUPXyqPjmP6ZEBKK9kag2q
4bDZ+Il4c7BErewUqhGtDs92fUWyRsfLQCEgsct6ZglvIT5rq8DgsGzxy3S3iW69ESkWrSVw5g3j
fO1Cex7uyVyF5DHoL6WBqj2MoD9lM6l3ZBAtHMOw109pIvo5MMC7bfUufpqUoJ1J3rPnzu6h8OoP
WJDIWhNx1Qm7Y4+GBc5sbx2Zpnd9U75aIU5yMZ9cxA3bQq8wvJsQnycXbo2O0IEN5bgWZT4y5mQn
uXdjIwtmpyQ3YuwaZt4xvOjE6I6t2Z3A40bbGcvNTpijtTa6OSMvnAnU2iWy/QjP2kr4ePXyFkNJ
u/iojLaONFakslknh2/7rKNGQ8s1lFcdDclOxQ/trHnhbJqr5WZuwzTk/CFr0UMPdN/Ms381l5Y4
+Cjp8/tMm+BP+e0nacT6MUsi47QUfkOig/QKBAsTcnzgNgyWPU6/Rxd1zppxOEYzRHobAnUK1BvR
fIPeB2HcaLRPC9EigWZb3Y3wk3u71UjgM7M4aEd0eEWbFUFbQJIGzBXe2+hvVhZ7FbAW9LR4VE9+
qKMXwz76nk/he9zpzb2oXXknJn86JW1H84d25YGJL22f6Rw7eNPBRNYteXn6C5i8ZoW4kII9JdKB
3Dq2qZn7ISciLzzNdxFOT/PWnBefobGb/3S6sLxZ5KYbluEse4tE/nborBvuMaQ4MdUQqyYuVLBD
TC4fc/CTiR04IMqKuKepiz+sPOfa8quuC9xsuHIS5uBU9fyODRr9bum4m4TE5zUTG+WtsNZkprWH
YjHNuxx/jupQ61tbGt/ssXU2DYD6h8JHQ2wzN3vpK6vZdlJkBmdGzBKGusAJEOmWELMF/Q3hnjuD
EL4TuA7/aHdy3pdeMh2cnkckKarOgRBBx/ilxP9vnfzv6mSh64ji/3mdvPtRtVGCBPlPQQa/fuaP
Oln/TVEsfJyqggqamPV/DJE9+zcVQs5+yCXmBtM7f/QHaYOa+Y/CWAdbSny4b+NzNRj0/iczYw94
zV/EwehmqIl5MWpRQnHxVPy1LvZFVdLWefne9KI3CcNr1XdM2nCavJaa89AC/aUva169wnidJfLd
wZ23HfrCXgkNkYaIgwki7dApGWJpSPvgK2liO+v12lVyxX70WwaGWOmrGDFjpWSNmhI4qnH2VfsS
PSr5o5kjzqy9hAeJVk6bIXKvcDu8O7kkwCD64lTKRPJq9Ijwu8AYagJCtpJcoowMmrG4nTthYz5D
lpmizwT8tNzbxBSuK1e6gTHL4ZE8McAzStoJSxNZLGpPnh72jirlhZCVZCWUJNRV4tBeyURTJRjV
lXTUcDoUe0pOSgu0sZL8mbvIalCC01lJTws0qBVJKthqR7lulUA1UVLVTIlWTSVfrfOGPbOStLZK
3CqVzFVaSO0gYXz2KRJYcKIhaiVksWzG38WIUBat55F1I/PEBLVrquS0S19SBKCwJTaovBZobnu0
t0j1bkNVDA5aM+1rE2Hn5FbG1Vei3V7JdzF3bgtf3oPiKK4Z1slzknvtQMEPqht1UM5c3ozkRngj
qypoZq8DsqN73F7WwaT24R5eoqWoo7F9aEwtfCCI0D5ZGfmtK62w231E9BSrqzq5gdkrX0OfnRtp
B/4zScIZ86ZqQP1XIZ2MR5/+R0IgbTCd3btSsizLTbbRuRjtfW969ZubpKw5qZ7y5zIr7RN3X3+n
C2JgrfJrbWzkqKwjvW7PKA69dZ2YBgfPFyQVxgMitE7UJeyUkGyopdLLY6MtSB0ar3SbVZIzr1oZ
hAfd6MhDTzOq+a2QbvrNFSyp11MYlRuMB+FzKtgDk9lZbKYiAaqaqbRJ6LsnS60R0Uyk3+o6ZK3o
GyTybhMG/9si1aZNj1r1bibQ/2Ygm6ZcDZE1bbqEFLyFUmzPRBmLlk2GwLptPKKPdTN/niknvreD
ax400xzSIOp6jmpb8XficbrjAGoB6maSb9k2EXBZ2TjFe14S491MGGwZzXeCLORnewjnbG+T3a0c
49F8dYn/AuBe6UhxHGK8u8omDdmc+R5qL+cFwbNABiUeudzMYzGvp76o32KuP1pU3Bn46JFNQcIl
vJl8p/y5NgDLzg1qswSa1M5gTfLDnhAlhUNV3369s5SIB482z+DlcyHc+4hoZrJoWyCxZhh7979i
irW++JmrbX9pl8NjR75mUDkz1ppEffAvtRNGoP7JnQr+IlFf4mCP3ETWZD3MG93v8JxLK/32daal
8PqW1YJnelgZM6KXZJI+aCofPCjRiujZohShLCq9Z3b+gs2PEsP3heXeg5+3DlVG2rmBMGDdtkhb
RDS41r4mTXQ7DFZ51AplrBOhrLe5JNO6d+PkptQr5xYSwnxqiES7hnpKHBPl0ibmjCRe1beBMQvE
ltIuYjSKDA6O2ujxG0F1Zts8irWHasE6vzhIJ5oISU8F4GXz9W0VsqgeEhgUHludsOwDAys/kdtc
vbMi0tHxWuHK+QLVOREvP0jcUW4+cdYv/AsjwZvHGDAQX6S7dLnpyvhmbOY7grUexwbBx2hX31jt
raKC/CPfu4h+QBwW3cXElK3yPt4XafvThrPnm8haemQVpXCvUwcFeIx3BJw9Ry14PluB+hyF7KtD
e0OG7krUcxV4CuvX8xwbCIglnENNAq+s0J86BQJ0Ru7hmQEc0HHBBBouFvqkmG+SyV/LKV13DBxN
hRY0eiCDxkSX6lURkn+pQIROlaUrzx+tDWsilHmYk/b0QfCkvyiGGjzDMiIADb5ho0CHjUIepgvw
w1JhEMlq+GjhIpaefc9jkvZqHEzEDcATtUi8dpr3AVeWtDAFWMxHUh2LmYG3pvCLLE/QIgla0qB2
nOphUKBGKFLLZwG7USiIozKvbWu4jmU60GC62Q4zcRzY9sIXrDCQUzOEq1ShITPHeHJmlB8oH5jU
gI/UPWHupUJK6t5QbyaFmdThTeLjqLdaVb01Ohu2icDi85yBp2QFqSTwjr62R9iPRtEEGjTLwZh/
mnN9rRXmMlHAS0uCvnRRfq4NaJg9rvj3+QuQmY6dSuH0AtD2DIoUSBPCnNWsxmXhfqBAm1G6mCgg
PPCbC0W1Hz40UDljhefUS2++wZEDs9P84neWzJbnVbkQTstkjSBoSJ859/x7TisWfgoDaiogqPxi
gxaDlu6zMqvXrEDHVWcAEe1s5gJLIQ5zARLWrOv3QSFHG6/z16kxvjK/gvGlwKS+QpRqzvBBvs9b
E5s7fQZiKo2agBYFNrVNhH9s6rRLa9lP0Mj1wOEyRJ4DEtVLeQ6zR1r3eN7OUnFTKRK8T8u1x6uL
UOcpU3zVylWo1U5RV+UXgHUUIDmxQ6ZPqTugvOqgtHaK14rokui7lvDeMupCPD4aujYHwmvW8bNR
YW5ozfQbV7FgGaTiVY0bKitT2Qvr1rupx1p+K1k5fJMC4Kyj0LO2gtC2CkebcxVxJ/+i1MYKWBt+
sWtZPkXnEb0928ovum2sQLckEg5bL1L0WwSwz70C4jpGC1rbRHXLl1jpUD8B6Y5ZOpwx7FqcMSUz
USLLa7GyFsljkEXMTUV65tFSqN5QQXvDX/heQL6IFGH6Lp3i+/Z+qd30kWcfqBSynaFXzSaZcgJo
pV1ZmxjscFkIcWsoHLFkLLqvY7d5cZoeb4/CFqMtQiDlMqXTrDoJMO0eMoU5RoqsHXWFPq4VBLlS
OORagZHTL0QyRgDeFmG55JF8dztAyp1CKmdfcGWFWSZlG+CywCM8KAgzNcNlwtpFCsIuInwdX8/y
ln5Rm9NyxAUlmzZYFNQ5UXjnQoGeqzazoOAuF2Dw846UOx4DCgxts7q5WxQsOiNRmicXAOlZoaQb
tph7z8y0N7P3bwwFnCYilwLEmfutr2jULGxUpCaE6rZNkjVoRC7xL341DiueoNVt6aKnqP1hXnW6
tJ/NetpNcorWHQHFs2O6N0woDNbVHgue0tg56JSC3Gg31VhFP5pp3pmKrj02Vb4ZFXF70qfpmIxQ
uIcUHrdswnMSNVemGfbaDb30MC/OdApTIhDQx2txZmzQBl/9jLurcXIHzUlUWFScG/UOnlAa3ZtO
2gArGzoZ4QuR1ghOQNNACURRA02BpPloRm0m83k6TNS/y9mmVMmCNCoyezN3KSHMHrNHfGDZlNJE
j8NQrQvWP8TcE8o9f8SZh5ydrXFYCYZvxQuCrHtN90fG7L7SDQ7yIXSXZWPMS3cTpSwZ09G2LqjT
XpvFTNgMOteEbMMgXXqYdlhf1rlvp7eNW9vfSdmfg5RN5XdEEv1FFgQ9Jsb4o41mHB22GC8eOpY1
eETraE10P+i/ujvUguKMaq+5RpQqGxGi25019xt5aSGqhyF9J7l6RlLfWigIwvBYaAyAo1TXyXrv
YBWMyRSEiNR4VNY5oUAWVCDPf/S1flrZEGAWk0IbbdmnK4DpWU3R3jhMkPLK+ohzSN9hn/jHOVqQ
0aTG1wSYjeV33UKZ6WZ2epay7KjjO2tvgg89tKn/oJPMpK8aahkNw1WfHZYl9DqKBGs+W1i47slF
X17yVs8vXVx80ICyo6hEw2CSDbJ9msuwWidl/NEUBU99rSk+3ZHQzpUM+347EFK/bQ02FpQvzkYg
X7/2IdoTaqCrmaT2rZkuDJMNkZtHdFTNmjhqrrShlM/OIIdTU5vleclHj9Siuc9vs7KBnb54Zvwd
V6EerULELdvCiHkU6H6LbYHWsKIOyH3v04t0bhxjZBtXBOveS08gyBvQkfL7EuPkQeNtWhq3fDLt
g0GX5WOpPGGEQ3qnUPnEgKwSA2ssh0R5yGrlJquUryyJcJgZymvmfNnObHI6cSaksloJfvltE1GU
pF8WtVK51VB5KecaqfZfRjaqZ+Vrm3653EzleENqOP6MlQvOVX64FvfJfsIilymvXKdcc0izz1k7
FPRZOOqcQh/vIuWyM5XfLlPOu0V58GzlxiORk9xQ5dDjjT3R+IWMDONqqxGjfsi/LH3/3Y7+f6B7
aOpU4sI/n/rsgasmyV+GPr9+5A/loG2B3EM+46KyZTjqsGv9Qzno6L+hMLfIrPN+QVT/MfQRREwr
uzbDGXzpDuEP/xgCGd5vPrg9la+HGV/FQvwnUyBbLT//VzhoEQPk2RYdkgBXBiLJ+9sQSCd4bElJ
TX7oWOvxzFmKbl6NBsMphfnwz7WFMS1O8vYD0r14jONMu1JczDtmpHONgtCzg7xDtrLSw1yymjGC
3tdqioexfut0ndfhdEQhp41Vcpe2U52tNOTihwqNEqEFQmy+nGpC0+EgKWPil/eNzWV2xXK27Alj
h+luaMOPctEWVqSWtG41Hsa3U5knYL+7Xr77UT2/u2Y8J9RUHLYgjkba3jZrly0dcHNEWVh/J7o5
fe8jOd9pGTppVO/z29wubeDXUebSFC/9DzQHDNjr3DpEhCreR7GDhUhLkhWYOfGkpj7Zr4HqP036
MzkD/v4VqBAHvlWW3h77jb/O4YrFslItxNG5tKZ/sE1ygGsxQbjwq0mj/hVNz5pHFP5d5dbiXErB
R6sdr7KDJNPpHuN03rBmx7azDONlCe34RmBL/zSSTHspG7u7xjODCTtJ0wsNNWEwnurkaam9XRS3
RCh1ZnXree1Tn5vkNykKSSTFI2vbnRv7n2njNN//dJHc/TrB/kzj8v+6lOe8s3RXncAERcIm/D8B
MjUZE1Go1+WDVRXhm6G+/aiqjFdDWAA9WDWwcjKZlaey31gx1SOZ5P2y7XiaXKZh0r/XmaGGL7ac
biOYo0dZmfZDOPN/DaFxP0DDG6dIE/I2HhzjbEYNLEkvfGYYI8j6ZFSSlXIMnCzX90kpSRPRWm2X
4btazxXW+kUvOKfNXh9P+mJ+lg4bglYY+34I7f3stUqKTv5MMs3ZZrKl2OhMGVD3v+W1nx4tq5If
SVyZtNGm/Ki5X8OzgmvS9ixjwpiCFKHmtk/kdOWizG7cUeNi6gghy0xACknKbjtsHRA2KY9gCNtF
kNB1DOskwbpcYUTY6UvLnCJhOuOWGK2mkm9JLZzTSxEr8wpCtpeZTIsfXk4ZgSGFXn1l24CUMUEY
2zLuuj1mjOSU971+CbG933mlMV5sKhV2nuYA0KuJl3Q/k9HgB4sViauW9NNt1xscUKGGXou37KWt
rk0tW+4LzH0vVtw1330MJmeLPWigMyn7dxDNv96zCGv1BLB2KmIy9vkuv4jRfwpVFOSzhCAxtGuM
CuEeX1+504yOKdokvXXrDlBCfHXutNXygckaXUff1XPA7j/+TAHG3NSOCI9NrzcvbmPVa9Y7+q7x
asKtMSQ3g1M8oVPwmQq0Nj7+EY5wznd/rkKcT3qPB5ko9mlDdyquSDwzC20XH3UetPlCFFAScLua
t6NFxcsNtcro0eve2Ni9JjYJE3Vecxqnmzarlvuv07ZOcTEniTNf2sY2zkYNU7fKPf3V04ruRelu
X0ptaW4YIrIuKzCFx2s6reR7qWc7BFFaEQyTP8REhw1EJswLLOLMi71bTwfosvnXl+5XwNH/PjLU
4VfJrgRbfdFFPVdd2n86/LIxOgr9FjMqcm6N7tk1VnPbaA/p4vMJjBRlh9N02mM6JyPwjKn2a2gx
ZTztPD3h8WJyDTIUypvw6GVj/Y5Ek7gLn5IIYLDRhm+MrfgwauZ7aJJB2/7nHwAZokrMETyXxVdq
yp8+QAlbsjVIFYI4B/t6So3ppqmjaNs4IV6lruQ+EzaS+4VwuMWUsa1tQGzV73qo2ydDOiG2XBTC
ppird3NyEQtJ7G+xwCa6bXIvfMzdBgNKXEZ0pP/6vX89j/928C3XctFtC9cXxND+7eAXbdIulrSv
1WBjCpbQmH5yNofevsVX/2wA5LmgTZ9uc3csdz2eOFYbZekcvDoZjySFJIFkJnnIbYnVDLj4Y+8U
WAklwp2gbYbydvG65Ez7Md1JWAB4kjrZ/Rx5TPAVJdb3LpTDQV8Wj3ALZW8eCFEoSVSD71KneIgn
NfDscYC/CLIP9pqHAbUjLWwTkky8zTsz2pKWP70RTrDsWjmG1N6kyy+lW3pBL8T0wwCR3a5EYYG0
7mphbBaz9rdmlX3H/LrvYrNsVia8nkNuMfEqXS51aoLp7uvSI/4/+mxDLR43EDV5e8zPjsvUiivt
E6PyIjXHgLERuJq6W7apHodvnHnjDysv1B1EHZrUDY/kdS8XS1cGKKvgzlcnJPPNosge9VosEa2Z
k7y6RfphVpjzmiieDhn67aBVg0ENH+kZl1m3thnI3oCv51nyr08EisS/lA1chr6J7USlgtlf5eDf
ygbu1cXQZWNzpSvv3WDGFjutvu7NuZwYiZDME7ix2lCg6ILEplf1u4NuljUQ96RNVHSHWGtc0OFp
jjuXER3KKz3JghGbZIFXvtz2DZOrFVeS/n2Wev7E7b//Lmj2fwyJa2lrVuyFS5KEpyTUlGOXsezt
TeHqM+eBBV1zlZt5mG9zI0TZ4S/FsPfonNbzUrsH8hGemLcD1nCJosgDDUwhjn7tnknITD7FoA+f
JEJwi8xKQocqHL6TsRD8qCBFbp6oklN9r6hK+pcOi5qtgXpbTwAyN745vxh1DSa98swV7ycuVowc
yp0fgSpwU9FZAXYd9wNRY7FGnZAdKzxZ+8XPZ42Rw9LsFsZG1UXA7MFNOGTxM8+B5LnTEFgBdpQm
kPakSF86VgxsObLGifYxdQsWMLTmGSbDOv5Ec2BckRSqAgeH6VH3Jh5VXeGsW+JPkOrFQ79h/1Lo
fFxk7BAVlB2zky3/H/aDcrTFxFQpHqplrfPlf9g7k91GknRLv0rjrtsTPps7cG8v6JxJUSI1hbRx
KEIRPo/m89P3Z6qsRmaiugq1r0UCmYhUSCKdZv9wzncQSEVRJw8h5Ax7tRip9T22QhCdEcDT7KQB
Saf88edr1CWVtlmYxXwvSJuMgq4pwMlwsuuBVi7GOXLG7IioPmP8P7II0+w5ZtqIweibUS3wSWed
CCyYOyH7FJFOt5bact9pbDZJgFuWX6abeQds+tom74sM8TWD3WiFdXfc2MPgB550kxi+FJ0tYmye
wqShylxNMPk6H77oyiFdZY0nOP+FqO9G60xoqEPZiqwe5zijw6y4CFHED2YhxoDLgCmG9Ofl+vVB
+o+e4Wmuf/7Pf318FiQLJOwLkx/dn9pULhEuj/9/Z3v4/Iirf/AVf29sDRIWEF8RfUB28ZeD7f81
toagfbUMx6ZO8/4QyvDPDHHGb6S/k5MLhJ/zjIb532lrSdr9y+mo/gYMEViXcK2SW/8XSiM2raZ3
ROhesG1qhygsp+ZUggAALuPBJBEoZDjMLdaouu/mjwSjO/53IPo/Y5Cgj7bILCcwKuvJdY3pNRNa
cnIsMWHfND385HXpegUHmvSrtcY2o7vhQooQHkVE+T3rZRNqq5IINKs4ZX4id+ym0vQiSIVgGUiJ
sIXQUR4KQlQDkfZNQABTtC6LHBEY5/0WkBl9cer316z2O6Sm+hiecxYhZ9mb3W52h+Zo+u34ieDo
3Sa/9BNZof6Wj5XY6STIvpPbpwdM7d2Da8kPi7hdfl+ssSmk1jY+LXM87fW6srcIprVLSfsJ5UMM
2xiWeRsGrU+N3QaiRu88bB2kx5RryZjea3Fsvg6Y4si2qNfAtutAJrF+myEr37q+KdcAG19zJ/Gf
J2eaadHx19UY7abJczcDzr3QGoor/S7RjH1rXtqioNNjzR7oaZKcC2XbQ/mY3Pla/uF3DctDgIAb
B+jLqSHSdJdX2vBdZiI8zKFjbcnKzn8WeUIBoSyBqnBtOHraau+byc9e2QYx7U/fHMMby1WUkFbZ
KGthU+Teu2n2kGlFit7Zq16LpHhtNL512dTg/+JxAGyqORsK7WoDHloETo3ebCXGkoVZzrYPnXHi
F49imeCtgimoD+qJfG4G6W7BPWBWR1uR7dnRN1zCQpBnUQ1iXX45JHVazRmK3oQHzM2M6GZnRvYw
z3K5D8dYD2LlsYwtU2M5p08O38WqEH+Q32enOeVyoVnJ4+jK/OwoY2bMWuDOJA9s68bh+DC2Tbst
pZx+dJ6dox7WrS7oM63+hdMp7TnzbWNXiHQ8s3xIcDOV8tx9GUEnd4w+4y93aA12gySHEklrX4uT
QYdbrZJO6BckLPoK982CYq409TJo3MFfRR6kG2ua0cliRDcBOGUNU1BdJCTdxsN2UH7U7MuaWhWm
fxqKgkV1VyszB7uKdutj8EgafijRuPVRLrN8jpj4FqshM+NfFaqUjefl/l4ok0jraJ/u4sBLjuM0
JZE4gtXRaiOWuYV22QLdtBXKaILUAvFxK061MqAUHlSCHMr298E18q2p/CmZcqosX6YVV/lXuLBw
BCpPi6/cLVoWCkCyXrglTsiPglJZYKovN4ynjDGem431uqDo3MxQDB8grVWbBe124LqAnbvJwgUL
neCW4wXeefnYvwCDqnCFleAlU+KaWf9G6PhqC4Bd4SO+9Hx+Jbdir0CfhGSYKxBmk/LyGMuQsjgI
502inD6D8vwM9GTb2NGBCfgzb0lnh3ex8ga5Lj6j0GufmAS5N9/q9y0Zl/cjs/CgmsTR6flYo5ky
p0MSFqytRpe8ssLUNsaXE8lTpqRM2ZMKiVGJsLP0PVHmJc1lLd2j/0YPrGxNpe6LxyltzAA1ZGBN
tX7HRoXlMD6oyMYRNStvFIenfpE9bzcClhgJNPapQW/8dWSN+mFpjE9UZO6ltpvyAB3TPBSyd1fI
ZYsAEAkmON7kHQFN8TpM6idN1DO6U1xoj6wP55+FXtdYcMW8n1NWRWJuCkaAyuFFRRkTyexkO4Eq
d52EHOS6uXSnJO6n5zLX7W1TlxElIY4xJN8akiUOIl/5yUKIPm9Wpcf7WTnNtCmH2G53s4YSwHHf
uASXve372k8jbTSyiXGsza7d/0pDrbrYTlLdZMNQtIbiTY2jf0RLESH1zIlvq4aBeA+p0TlRrL/R
VnRn9LGoz6v+GPtE41nKMAfjp3tYlIluVHY6XRnrJPZC1WaFy8aOXDTbNjtSdi/eWmbesO5FbP+M
lGZhxK3X58ybMs7MfBUSORe08FLOscaGv6qd8bX+svop0x/xHz7Cm8p9gzDMZ8Nya1iAHpSqJJvu
SmUWrJVtEAid/Z4pK6GnTIVGWJa7hfi2jxEnAAoiAgCVAdFUVkRncHElksLqPCaJMYHuWrwDjeVt
wcVI9UBf0FqGu8l05XIsTcdfi2S4jth/X7XJATTcF3gRlC8yzeVcrrQmGl/0yG2OvjJPRl6Mj5LH
0d9zbkLQ6fSzFJp1W5b+oUfnTOwtID1wZ1ng8OwxlTALRexb8ZFQzk8DltZCsLLvabcMXRRb4Lby
0A+EUQBD09snk9tvI6/LN9LqianzwjPUi2xXAfaiEk89xA4wl8Ya/hMfqHjbK0tp1PXpypxyaJBe
WFBvtxzfYzh+YOGrdxpa3tMySPHDEHn+vZW1dnFke5VW4TzC/HzWZ0TUGWH2rPQscWg7bdl5veg3
jSOGZ4lx8+i4xUeqfK8xGYbbJktUCAvqr37JYQhOWiSPCRtKJIuRfZNRWT0s9FNrbDrOAF/+Cl/K
fIMGNp6h3TCoQbQ0vBpJou3xBTrnok7SI/b1baWsujqeXbQML5M22isdiOYmKa0QbMCQP5G1WO96
0G338HuMYJI1NMUm/OkhfwvQJsU7lBtsE9mp7yUpJ+fYtsdTrazEg68CtOVQresFmJPtOssvuKtP
cVGWgZml4hFjo7PtjAwVIsi5lZtadwOn6qaOjfdQshArKuwyjPXO+cj8bXKn80yY9DP54Ej/lPHZ
JphuR+yKv02ULbrF1L+zp6R9Z//Gctbv8RBgATuIMe23uSvfR4NzxVfW6oglbKb2oTmOa6130OMR
pYizFDu2j6tDZKRMTt1JVOR3QAsuhoudgwEHhQ+kSBf5M7HO5SNFVXYqG2X3dpTzG2cUJvBK+cHJ
SKkvQLy2hYtP3GOceAdgDx7thIscq3mx1WMzOgs6sU0LtwCTg/KcD9jbH5BqAGuwcwRFHsbZOSWR
cbTHd2lw1oI+dOodi+vlvkbfGGROaxyrpS23mHynj/7L6i6V6z38MsBneYTLyEXZt3aqZfpRZnH9
7hJAoCu/fBGRP84P8qvoi2absoGvgrnU2sMsdS8o0kzbMxLM3EA0WUEmp52Vd/VkojTMbHczDgXD
CFBcn4DJTAA6y8iV5sJOcXwlTMzSe+reoEv0fDtCndnqYc0NOobGcVEYAC7heo1PSt+Hlqb/8oTn
rDrFC+g7BHuV20UbIMHtitKj3QDgvzqgOy20EzOihlAqUasJuoW3+h0wf7Snqw834gtNgMCO+awk
TBg1nlw3f+MXKJRBE+utvzV6TK3Jol9FzYW0QmOXQu7sjB9TLfJ7KMMcCIOZo2skezMsF0jEj94U
9ik5PYMXVz+SvsCBvirK3C+exBRnmX0MHS/JTt3k+dXTiHOZlLHuc9I0JmwllfIqbQGYYuXL8XwF
JTyaNcTQTKznOMKgCxagI4Vhnn7WkCg/R5+fkBrB+cbXVO8aYMztbA5Y3+ZwalfGQFQHfL7k2A9e
c9fU/N+VdKs3i0+elc3tlu8IvtlnNQ8/1dwlwqmxNtZTyRxNN+6qZPIOLpgyPsEI1S+id58WmJWr
Bj3np53X2P0XsWDsdvxxg8atvbVFY61St2jRTdakoI5xDJSHmPRVFY/93s47T50G85qqDxCHTQlj
jlLNnJJs77a5vQF0ZZ70UoLa0tmEJY5O7g1jw7XjzgUTHY3vp2d1RX7SYL9KmErMvpIa6ZU0NGwb
ep4FOq/cjUENa7K8m99Ij76PUjKeVnruT4/IQ6P1kEZJGHT9ot8RbGoGaSflurXIoV9Jx3N7TEQ1
U3RuYeTdqPagcDE8W8m6LI5TkaZPkZd3bx2lJz2THC5zuUSPhbPIrade7LCI053md3RfjlkQUxQO
YwthamI42df6YU5l8xiGhd6tSalNdz2S0QPD6fLWRT5U3sZoXtq4ZSsG3vBbWUUvIcO1s20y80Kc
qGt7y1Rb29JH69AP+kn4Rf0I6hMfd0gmtbiDbGVfy7j5EAvMDbYREzmaWqwvgQcCOAmSJSKQVAcw
dZ/lc/6aEtb77KVjuGMHY0TsNAwTZsXQPSNNGD8HQLlBDfINtlNU47VnSJi2yCLwkZULOrXOQa3W
AEvsGma+a9xd4/eFqo98X82Rq7aa5odGeDiQSMtObm0EXFBvFkbGICHNjfQ0Y2MKeONoxBNANEt6
JmwhORSWLy7Az2hgJ5eHSde+5161PMcRGqaVa7j8csgdq43uZPNrxlFh8uSPOqHlYrnXcEOtc9Jf
dp055Ddss94aH5S7YpQOwKXRyWExM0RmVL7sYfxqT8y6ASuQUAT6T1XIGk57xnQHCq3UFQJsQYk/
N6MASJakRfOt6vBM3RtZKi1IvS7NGGwBqne0YbEX9LGLkAsunrt8aqgQxwfDR/fo4lHkLxy0+bUr
p3p6WkYNSfNK62h4u4del6wvNn0vTFGvfKudxhMvSevBDY6aGDG1NCoUiP+7sAcZ2whlL0s07UJN
NE95Xkwvfxj//IOdrfHXvZunM3V2CKWiKmO6o4QRf1z81M00khdrjBeC75y15ptEsmKdRp990DxE
4tG7WVi7ITWPVuZsNbvdOrGx8UR4V/fszKpuw6+6w+gKtTbZ/fMfTukU/rgX+frZ2OfgJReEWP01
aK0whqbUQ3O81HV7ETW1YrhPhn+1efwH3wSvDJkUKJV08dcXwEm7iaZ3GC+JSawc/7havsVh+rcF
1X9Gkv9yJOmptJx/MpLM86TEr/vnqeTXF/0+lfTEbwi2TTJHHXwXTB/5+36X2/jGbw7GIgQvv1MF
WJggY+ni//kv2+SPcDN4BAQJemo1TeQqU39kub+pdDkyL3wlw4Fh8O/MJYlp/PMjBIyALFpkPbi9
BBPDL13EH3aPiZswvsHPd5wafCPofivlfwX1WTeCUc88GTZoe2R7ddawKFZZHszGBs9BLSxpIPet
URBi5VW5e1wWYYcbUFfLuOqwKl/Rohf2zgDho10zP21fG3iPTgBlNkqDOVScngHGEJUyMderPKRb
waBLfDPs8t4949sWXG5juxzYEXX2qkzJmKebsNrNoNJJA+KYgcLLsEab6Gns+dNZ/PiyIHSeD0l0
ASO0iuu8k8HsOaazNhg0mWff7GCp+IV7NyILWRVDf5MQwLdCElq0opDTLS52I3ms03S+TrHeXdrI
LG7KT1NuxFRp0ES8KXJWpaNHdHtpfcudGvdJNDZMRKp5HxGheDSVG5Jjd4c8FoNkXCXV1ilxnYCA
UAbKLzPl5MAitZXDMldey8Rq80fDJG/Cj+33CHDwvVPN/hohn/XQK7/mUM32OjbMh1h5OWGti40G
7mg11Vr+YAktv1jleHN0alrnyxBaTyL+AUe33tkCvygTrOxkFAXgXHdqbuAgMJb2cRLdUXbalzFW
izJqkP6sj5vGrKpLWLfFrxRX53YghnErHfYxDMLkzXT9H06IHtMIwcm6yuvqKtcrMNFXH0/bqlWO
2Dp3joPyyArllk2Vb9ZSDlpLeWkT5aqts/h7qny2TuWOay6NE6Opee0oNy7bZJubvNauQzUVj7ly
7ZZZLi+mcvIqB2sQ+tm1zdPuok2QGBI+sc/oGEOk8OZ0mZUvuFYOYcPhJ8VjHK31IYyeFk9gJc69
BupnWlZ02mWa4gioa+NkxaSjs3L6hHAw3ke9nV/ZX4PmxLHn34RyL3sAERmBKUszXojlYkMpCNKa
GyUDHLxbvlzQJk+0UM5oM7Pt08z6um4te0vpLu+qyVremAOSjsOiLAbLFhvY9jOc7ZbyXzdZNu4o
3KOt1vQn4CTyqMfuHdZlZdxWHm6s8CkgqIm668viLXkGASfNkDdDbHKoCV40bgQU+DeyefRtKE72
AKITkTw6/z59iPGSa0ivDGUu93P7Ru2Rb0p857IWGNBxos9flnRTvheizbdgKfGrF4l5cmymT5ha
Tvn8qSlre6VM7nj8X+3ex+oy++G+Vlb4ERbKJlT2eILl3zgM5b2prPOaMtHnWeQcZmWst78s9qmQ
DC5ZbWuWycdKOwplyIfG+gZMutn0omh3qBlMCt/jgou/K7DzNx3WR1xgpTL6Y1ddIXcuiCtNi804
1sk2+x0MgOs6tPJrrbABJK4RuUBXdoDUMl0LhRcoFWgADna7W7LJvbOhEMwtOIJ2tsNszQByvCJL
eMHKou21ZnYuDK3jEsd1Je1Rx13Dnt1fNwZ98cP8RUAABYrN3PvOstjZuO7iP6VUhVsijzNA8Un4
MFteco+S+6O0a6Y1DU6ZJTE+3HpwyCpu9e5dtvzKhAfU67bOzVOUl7TgpsMjrUeATQo7p76L84eZ
Y3cVT5x3BJyDJBbl/L70PmFQIeczavbunMzT/O7PE0yIItGbx6bFEqSj0oLbVNxXWN8IS/GpSx8i
J8SVVNMTsS2xKfZyBxaHXNLqUGeQwCgSOwJi69K/dan4VVfMbyMTFOsYezlDBc/AYEAshYcusCyq
MLCTop9onHuHYX+duNrWWAhv8Myu2M4xtFwOd8aZU/8S57M07P3M6v5YlHrcc7dozY9MSytAcHZK
AtAU05TfZ61X4RmtJm+f9QxAzpPduteJC/vRakM+ItnIo8ekanC+ScByx3gpZrkiXhfIGk9/AuMR
nURgaKGwCRWoxa0hU4YmAfX4sTIJE27mUNt2flpG+7DpDjPRQ/dx3ueP4P8tsWoHQnDiDIBY4C9j
/FZ7toRCZhd7A5Dlh0fVD33CQ6eN07ezz5HVGkyX7Jpx2DISZDzUdLqjNQzDCiEnyneO9l9lZlOa
E3M33nWDlA9oQBoIDO5M88zCvcbf4KD7XBHg17/qcKE/mlZP3riTMXdCbr3DlFHch4Pj/9KnuCcb
JQ8ttv7Z8Kpl+XIpdHFAisSaqrDcT6f0YYElKPR6eOIDCBdibg5ONRwKTttAUj/Ma5SCar0Y8ioy
qIu9l36YnTOjqfxTS/UUW0Fvkhbl1sl4DRvbfeEe8Tc1e49tz4oT1BYox5CsZVROhzaZph8ZXY3N
YRSFL6QdDQ+ToOnB1RZrD0nqSuJlraJ9I0klu1g5Wiie4s4WgekXC67uJvuEG5YhtYChLPPRpG8s
wwMLqwIzWcyHta665n5pLPC9yIW8eWUSrFNsZtPX75D7jG/OOI8/Qy9u3lEhD9tSS2lwtciPiB1u
Zu2IbGx4KB3Om5UlW+2Hrc/yfgbbTXwiYP59L0ix2AttrN/9aEIqNC9hf6gN5JXrNEkbRieocV4b
OGH2yqusDoQc2zcI5laDk6rOD3zmAP2CHUIKONt0+Pzk/sYSrf4W+l1ob2CvZNPaGDRn1+d2cgv9
Glkg/KOgZGWBn9azsdtYMQNfxxjYMGWmOM9j1xyNuHPXbm3r63noJU4tHjiR10tA1qgNRw2zlpua
3YaEJx9SjqyvRi+7tWQTfs61Ac2/wI6wnkRaH6Sw23JV5GX7lrWpUv5GvTTQ98nqWzZjbd50AKMb
Uima5SdxVtYd0Ix6bZnudzuK/WeBWPajimS1tWKsi+sJNVMBnSPDCDP6GScii1n9kAhd3PmLLd4H
p83xY9W4R83IWWCgWrP1XYzsibvQsF58rETJyiusCbBny+qzrMxqD6yYf82WPvP2gNbnm5eFzRBM
iL4+Bn8AJV869TvdeXd1fPxhQTqZ+lu/UECC/Bl7niVd9itM2can37BX2oSFG2lH3BXhNywV5TNq
bFcCW4ynUy/7mb5S0+Dqt5J1OVFAhzTKHmCsJt+aUlyieQAyUAyQp7QNVj6WS3PnX+3O1y89jpZ1
5BesIR1M8fcAybWVZ0Rih4bLqVdOO9jfibY2CXJEKvNS2jMMzLQYGS4bmmXAi5GJDm0/ii6yM5fN
iCTnYIJS3C22062X2sqBaun92WAD6PZt8TNOzZ6gtd4VJJcxel4NmG/Xmdu1zxGqhO8uMpftUOkk
GvFuLsrUZvd3sTnBYaXMwoUZOox0khaiKOFMdvpZY3wqVzSf2FS0OOdosYDCsjZ6zcMpf2JAFu/0
xNHoD8L+3LLTYQpLnvspaws/iHRqxGKEjrqQObYtEfrtvcRvCGkzo+yb9OAxrtgbswWIEwdXZ12b
7oat6HLKNKM+jrgYzvyG+dm0k+RHuCTAzhCDkc7TDNvIt8pDk0cWuJXltUaG2weGabQfEQuaB6tp
WI7pSXv4av3+0yX/yy6ZTPB/2iVX48efO+SvL/i9Q/b13wxHCEMBSARTlL93x+5vrCgYlJnkjQvz
y/Xy9+7YUt2xgdON1lmR+sCg/N4d2xBJXAX/g2+PBkd91f/57z85H+Rf/vuPpgA49H/ujpE0Evxo
uaZSNtInfwUX/6E7nouuG0qREFnSFNNJSyXpQpmZ3SbLyT6LclgOmM64lxgPc0dlX9fV18X1dYeF
QmoPfK652TjOhgfb6sKXbKGfOTXqEow79B+H6uuWCsve0gLyALgyjZCCmYzul9npxmsPDINJ5Vzk
ZAelXv45qMt3aHrvJcY8SlHwdTt3Xzd1qS5t7qBDrK5xFmv5Jv26292ve75UVz6EgPxnSRUQka9w
Sf1peO2Sxr5RyFAt9EMd/upUCRFpw13GookTGBX/26JKDRuh++sUwZ81Zxn/gg5BPUJgDJiLdhIP
NbIL2IOzJUEORdPdIlpjZKFqk15TaNq1KlM2WGIoosugmeHB/aqFIqoMRg+VZZ9xxGQp2pvF4B4e
WXItpBbvczeUG+zk8ZsBXnsKLK/wdlLNM1Y08fnjbBCABbqMuqWvon0y5tEOC693dOjRdno11dZ6
KQr3sYgjEmaICs0FaG3ON7oWs6duRreD4Mmu/M/Z0FER4agQaF7ygcbLb7vADLPm2IdZumHiTsoT
XTFu3WbyT0o5+TUxQf7p197FBhwIOGYQ/W0QRbOP0DHuCXiR4BBDrwv8BAFkYMPZfmzysTsawqM+
IqThWvk5zn6tLvN7g4WPDj92Se9R4Ve4S9myfst7jOxApjuPoULFqDde5kkFLggf/p0LCDzCC7vJ
QfjfsxznwJ8SChG25mwyR4jc8Kxld+zSwopXbjxFD15X/yJEbe73erc0yVoDZfELUHZur+DN5CMI
1qX7UbaWq+3RdOcvZNGkBwwIzQZtfapSztzhozZ86IZjy5XHLbv1NasVsA8ba2tUPgOViUzu+6WT
UfrS6HAthit5EwleYGOh8d0JY0hu4yziB0Q4s5F/8u4i6g2Imkt4bRHusgk7I3GfKygpLozvSwSy
fF0YFUN1uxtYpYwIymfF0/X4HpjC1yRPP9pyijZjyeg4wCIylPuwNBSzgPqDTt8NBuj6RwrzbEtq
RsHHm1RhzDakzmTjSpRcQbaPckbqdRE0nRFu0zibV5rosE1gb1i1kVWs88w4mZ3PXko3oJNU9o1Z
7T4fdee81HaIbrWlY9HLec+whde9J90GAZE9h+vSa3kC7bLRLxozHnctZW+hsQjZDKdLdzSLttgk
jLTIr/PHc0860npEdbZDhtZ3K1DazcmVTX9kD1vcZqO0y1VSuc7OTUsUgL68LjEfzKxKf+Fffcaz
tnJzL/v02spepy6hWlWSyietN/MLGm0RyJIbOJkc45HEKE4tjy0hgETaQt2FrcdKERL2GHkBTQ4r
vz57YDX84tttHkRkfa20ytqnXXRzUUdADTHSIMSOH6SJPjgrQJiYAhYXQUPmqle7Gp/w1MQMY2b/
ICp72Zi5iwLFTM2bW6u6NV+yzWy3zgEFU7Fx0WlOq8iW/Z0DMG/TTCm7dbZbr1Zu299E4aTrmDgA
BmExkMa+E0+40PpTPbr5xCElOVOYf9HJJE6o/dAJHoG2mkXLvQ7jnJY2Sh+WgbMxY8m2r7DB7XuI
6ufR0PwJtGU0bUNz6YOu1IuAZDqyn5OsuRQ9bBrRFqq0MT90lzU8Mo9hO4WkVWFv6jZolQCYWLwo
V9JdYLcujGsQIuS82qaV8kGFBuf/SMhp5TW3BnrnZOqmALF8eU6YDtyn0mPZpWP8GMpsgYho6hvd
Q0+e2qLfttIrvjEL8h7iLqKbiHj7v6XoNk2nR8ZBusG9MfQJbVykP6HJy3/J2e7ehBHZj6KZymvT
kJA6M/vZ5ojf7oal8w4MayTUFRCrG8hfOYdunPSPiW2hL4ul9WFJHmnLasCim0155xm1xEDsGPdS
OkSVdvAeZDHOj5FRuB7qQCMhBc0HEQg18iwd1iF67KTBkMqMjavHkZlH94ZPOFGCRwCNWy88UAae
oHe2ojXEEpitYRcvRz2v420Bu5a1Rx4+x2zvY0xIjnyHQ0c00qINydkcMrkHQNHgLDem70XXZ8Fi
1cuTNVg0A2EqWnztSRetRCOfkfCY54WC80xDADogd/WU562Jb47bG4+oT024VmkN5ath/gU5IX6t
QcpDDnGxicoKUgUHU7PnRp8+YkKnnqzYxiiK14+8g9Fi+2vaCxSpvjuS0XLtepADgEIto+u+6Y2r
Jr8zLMVM/zaDJCv3qOHa5BXLlkLtdJXbcxNlOiqNpYrZ+5cofza9gZxutoYJdpI+LZ9eBzc8zGZ4
nLhyBKGYNu6+th3DVRTP/W7Ui6dxwouRZCMBvayaD7yV+Zq8m/xqKaQtFP5jH2n1uiFW5j9A67+R
9f5FfUz5+M+3SK8/Zfe/XuidkvLPuL7fv/L3QlmAoTaJV/ctw3CoSP+I6zN/cx0TD6tLwCdB5SZ1
9N+LZf0319IJgsHQ61qeK3D7/n2VJH7jYnZBXrNqspHG+/9OsUyEzJ+LZduj9P5yjuMGw9D41/z3
iJyxvExRrslC9KfKKx2YE2YtT9ZcYBaxgeKush4MA5IIrD3E0ekUKMQJGOOe7CyNljvsxbYla/UR
X7LGhjn3XxKEbrsYFxXi5t6vTtXkNNveBQrLPRI7BxlSZG77FOlh4Gj2iE3Zc3JnZWeOux78OVs7
TJv3TQjXy8t6Pg9EZoOY8qJnQht8cpkcFOa+m5LsPb5g2wxpu0kXf166YQn4leYt5Gt93TF6vGJN
MY5dpXK/plKOG/Kx8kHFrADlJJLszJcYDGp1QcZFpV2TsE7lOp7Scd9aTXW3jOgF4VXpr0vbDjD9
9PkprGdrO7cAhk1fMov1F/Wb52SPbUzwI+vESPOtCwKIRdY4F49R7HCwo2gNUhwta6E3xsk3kucq
Y3OHKhBQCCsaD0hUoIHWX0eDOtBkYnePWZ2KhxCH0zXEQkHt67a2sa1mNK1kPWjL2u9DHwklGCuz
HgwlviI1GCzUGmQEGSasSAgwFGIVTtZrnxFGTKz6WdizCXYtvo+8ZejW5qzbgIXRViP4RztAbt9i
nzs0b6BfS7fDmLN0RHZ3e38su2dbIhNjIrwYG20w28BOZ6tYtbJ0eD+c/rx45r5L9beExCp6k2rY
ZGH3EqL3Pvpj+zxnsKx9vGbv7ZjODL5q1nmzF6+RXWwig7SzPI2im8T8hRdAVPmdhzrikpdwVHmV
i1is6gJqGjMt9yGDJbjWYoHQvg3N69xU6caJlIBvqX92phWBkQJMA+IniR6WkRXE5KNuTiGRswCe
GIgiQgZxSo54qYVXw+q+MfciPbMT2SHGehSdxk7Ph+tEklvz0UaRfNfHpv+VpINxdbnCTmnUWI/o
GtM17Nz+7EjEupAmC14y9JztHePC93Gy+4tWI4o2R/2nXRbvYhxRORdO2bDXsPtVnlj6PTFnkIuL
doa7FpEAwkKKvOYhzMlVCfM+wP3WF3vdZiS/Jc+NiiQvx/GdDqnS18bcJzVgy4b4h0wlAEFnMfEm
dBSkJeUMuzioKRmJDGeg4CDbJzSK16E2H0bHeMOH8qYDdGx1eMg0UkW9992kxgct4qbdDZInRo9M
99UJvSd2Rz91EEaMuJhRomVGVufkA/iiOAeLXfpYRIm0NfeMdYwbfwNXtiXji2ySE1vy8TAZsKt5
mO14CvpIjuadBOod7TzkZlFA+/xWJFrd31o4ofxIcptqffgw9GWFNCir7+bBGtYSESdDMx90kxUf
MkJgmquJUqjY96HBxMrr5/SUWXqabRLkVhSZeuXcScdCuGdV8SEmeWjT1MTzuELT1gY8hFe7LWaE
gcuJZhs9YifjXeblEGRcds1OOJOApM/jluDUZBVNefZtQtGDI7QZT14itnbZAV8JZ4OxpLTJm2xT
54pCR9H1YYm5Y4wun4UswRZFc0wza1lXfV/vBlsmwQDb6m4cnJFXIF2WJ0THzsHpPIBTeqe9sAON
e1TIehati1wSqpkojsukWWRj1ieWDd/McAKU2krzwCp12cCXqk+kDFd3Rm7hH3Fs7f+yd2bLcRvZ
Fv2V+wNwYB5eax5YRbJIUZReEBTVwjwkpgTw9XdlWe4WabfUfrcfbEdIFFQoIDPPOXuvzUBCVMKE
9NZTiu8zkFOsVI24t5BQP/qOj9/OrTEBOAYhG1M9T2iBSFBdBnmWfZrxEzHE8CSjRGilLBCfc2So
i3joMY46HonbJkN43BPDOZ+j6RsJzQO/6nlYCyIyn72k7rdj2L7a5OmC7YsDhmpuaZCkpSOEJudv
WVVhA1y0/8zG4m5kRyxuOQvOQ3lYaTNWDyndJakp3atZstusPc5sN4T1MeiOjIfIc/2dpRX6MdG9
etmUfsrwkZlxPOP7JRUQCH7grxHc0JLFRbMzm1Lf6xO8DybS8d6VkDZdxDtHt5M6ferG37S1bt70
9LyOI42l9Wjml9CFzeO19H8hQ7b+ImySb30C8I9EVx+lJhzZpTRonQMfEHsRGNQVNJvFSh+tu8ao
llo1mhMsSXs6xXWUnPHnAFbLa42hRBasHDwllLki3MheHMeiEGtqHxKuqwZsXFHLNR7S+qazKNXn
3o73zRx88YOu2CMS/yqCqF/3mfxSFOQc6cZkrPue7cZo4r3fIF7tZW4xs/XPAxnSXVtaZ4t0goXf
Dw7j0qTYNBo4rCm99Hqr3cs4Zdjj+oeQiTxvY36OPDLKRzcjxpbJJP4ZV/mV0CwSvZMFzLScoe+W
jT1OH0C8TgvZc18vok8iFCdpN/UnNL9RtTbZObFpJ6NFNLFuTQgLbVlN+tot/Vlfx4xP5gfmnoH2
LNEFTKsEmc28SpzWRNCSlR4e4QwfBGJPugXTThjRQ5aBtljNw8xRpqUrch4yg2K3wpdKvkFK5KJu
0F6fKmN0FhhUxa1ZmUwFiKWlKq378aNiZx68LjWOuNHaLaMlSUprgWoQDnA2HHS8Oiz9xGpsxiHu
dlieIYgVrJg+foAXguVgT1Z9ehiALlrINr3i4jNlOBR6AZfeciCtBBKBrR99RcigARCWzl07+WIj
fVw4FnQ6xjclyyv5C9ygbMpGfHVR9EQLAjByWnSLhhwlDh2FZe+Um39Y6bPT05Drad6xuyHnIVPM
Ojbw9+N1B2aBaClz6kkwZ+fSMeSxty38KUaN0Ho9UtAsjw+McctohXt/wJ9P+XGk9NX2mhAuB79Q
Ryeo03a9NUAZQ7VT7acNuU1o3/1gblax1burDL/wp9ZRugiSjNN7P27EJQ0IliBzYkqWFcmIWwZ7
46ahI7ybjXgcCOMYmVXrE/qUhddMHbKaAHI+8Wk3ReoXaJP58p8BsgGvb50tPdmeenumImP6Iy1+
HoVTW1nDLko01dRIiIOyCFGltefi1+MEJHLU4qa/txNb/wiEg/luTVTnMuotP9vUk11Cjsw6HXIs
5R2L97y2uEnHKjC+YOXMeLEdHRMK5y1kTzhNaE9AwV9LPBroVXvHXHbgTAmPdePiFuyYb0CGift1
58QnLDL1JgD6eiPRgu/d2KfkL5EV37d5g4Gwdcp8a5cuTkO+tIPft2JY5QyRvo7MOz8HnLk/mJPr
HUM4NsBtp8G7aXWOZggmjSg4Fbpj0d31nrvCaj/S0qa0jRx7k2skV5mjo+8bcwJS1NJC+2TVNgk1
rc8sNAE5xV5iBqc8naZ/mXijcHkjZmA9TQ6JREmLmN99xtzeTkvGQF6IsCWJ/RXUFJOUu6LZTGVn
XXp8rmvHxR9ZTV62RngLD2Is+jUMp+E4e+gdpzaSl9ZTqSelHJepQ/lcZXX8ggSWSSrdWTQ2SdW5
i9qoG0RMA0FR1YjAPOzIE3Bjd0N8q/fVLM3xpm6T+eyLuX6opQHrjfU8/YYXon0MSj1/jgw9j1bO
lAYHFOPhIQHgdNBxSG0g3ImjLiL33po7uZQ4WPfmrHOB2WFUx6B/PTFP5OxPUprjhD1z8C7OWJqL
coPgwNmmuVbuR6RyizrI5WPV5NZG05t1Vws6vxGDujTFw5F6nnlkkcBIVcS8LN5gcmBh5bMyyvRY
E/UalwOZYbZRVGBiGMdWRcu73tjpER41orxCpxUdEEgXZ3ha4BXEcp2Alvk2dJX86hYjquAaHfoJ
Di4AcNnY/6hIv5P1f1X/G/DUfjYfe1DKzv9bvRDb+2ZOpozi/OAfczL3N8hLhuv4AY50+0clqaGT
BssgzLIdVJxvZ2XOb4Ft0RqwyK76fcD2vfpHYwpdzXQB/AcGUbF/b1QG7O1t9Q8sjK6ErhsGPQhT
J1qVX/9hVBawgnRhKLSjTdPpHshbsZ5V67ZQTVyc2y2bymBerGuLVzV7DdX2BT9G+EdGK3hSTWGr
NYulITokPdeecZim5bJUjWQCY+J1Rm85qq2dnXVQq1Tb2ab/LOlDS9WQpqvlLzXVpDau7WrVuA5U
C5vTM91sAQXloVMtbqbJhG9YEUu6HNrH0gqQzXudvcKvk38lv2QBmeJDyjJg1Z1ADNHfTwGm+lQ1
14V06LPTti0udOn7Q4UX4sj0YiCtRzXnB9WmT/OSslG6aOgi2nOpaufbqrHfqRY/AaKzu4q4nefG
1ZgBSDUOGK6TAe86JaCinXazGh3oaohQO8K50Rt/l+cARtSgwVIjB4JTj+CDyR5S4wiKf3OdqRGF
EHiDOzW24IHBo6xGGUINNRIpllHGmIMvqzgiqc02nqN5B6wj7jJUg5EetddmNJG07Mbr5MRRQxR0
Qw+C8nIFsuqJGY35QRaOCzKFWrlUY5hYDWT0yarCc91MdKfzKk6aYCm02NCPQ0nU2QNjpCzrsQlX
vvaa5aPBiavKe22mndMyx6Qga8k4gNDLpou+p1t0KJEvwir9M7ocXQkpBMKnZhqE3BZm2+xMzxm3
SExh/iYkkdyOhRp8eJ3eEWKksVYu/Lm1hkUXJc4N24W+TA2CvNbQwSDZ0Y8uYF/1dnZGQGvV2kor
xjGat1Xd0KAh4zZP0DYwQAHNQvCRNbQe8JVhJFYNYWLZueSimaFzaQCw0HgO2irR0gy/c4UH5T7s
smJb0pf3olvLm4dBboIw5pS4tee66S4BZfDkfpB63+oP2jBBoFszb4ByiPAFuZy5wfzgjzAFM7dy
9PEkk5Koro0gJgZBA32zj5Vfj/fseDOKmrQUprKPp+wAWjTSOHKCcKn1bRus2eS1pzhzkmxlzh4E
ZyBL4ykzYGtRYIuvDmQWqkdhhhdErqDfGNWT2IWtNH4KnRLyiYZN1Vji7Ndv50G6A8cBT4ZLkroq
3PxdWR6m1Ih3tBG0dTJ7VrRE9TI9NGEM2sKCNvMxS9A3LxzhWp+J94J9GxXRrYgnceuKxF93A25p
NzZKCfoOu/ast6B7OACCHM/nXTKV9R3JF4ybRgGM2BMGqGN7IqtyQVO0Qf+SkqUB9QWyFLKshdPS
deFUMSL61kCnclIvPb7yGT576lgdEVj0qAilbLtLP3jlHcC1aAt/Dbjj4NwG6RA9hnk9Huu8JsxD
gBj79I9g5H9imJI1iNfhv9sqji9l+/LWVPH7j/yxFdq/sQsyu9PZRuzANJBt/MEw1c3fdMc20X+w
WQJyBCnz7074fzrfmChwVxi4riyXPfXvpZ1j6Xm/98H9o8NOy9uxfHr07+AuIux82oyjeySznKM6
m65BwAjJtyy3fatd9xA0WnAoskItkVU5MZNuHF1Ddj13jGkecrz4WoGXwcVWxQFybOxw54eMeJa9
NWBVo+iY63MWczLwNkWD8FeeOz1L6JVMpse4HF49xlM2mLxwbwZbtK9ZJO8hOnsoLylalnbsepsc
NgAKfhGtanOeHjR/Br40d+QRLOkslOiyFLRj3iKXIh2nHI3codGso1DzGkJDdrnwe3EHoCV7aEQY
fGrz2cLBzxTaYOo0qN5R2cREPU7Bs0bweMUlJnde0ymFp4WoXGfvnMpiDTzev81E6X4SngeoNajk
Z7yTjGBpl26qfsImiddQ5VWa4BEqK9Z8iAUawO+5yPcpEIHP1G/i2WwtghyNKgleq8B/zcfp7OsN
LbUhIwyIf4WnoXet28RJ9F0QeMa6S61gOZIYyO+xAnHfpyX9KX2a6PJLMgMWqFJodaMlYUZIc4me
g+HQOdLm4q5HKfkEIQvBXTPJLZaX6T5ozenAyi3AYyUoOVDLackOjlnylefBuU8z0N3rgc7ALT5y
3CCOS/+oGg0CF7vyMZ49NCl+X90xc/aWA5ZIBCJs5ifbGcyPGqRXsOPCtG4rO+pXQY1+pPCQ5w+J
MUPLdNAaJr0KoTbLfg1pDlswAJ2NJcHV5nY6Yo0OxfxZm4qaAO1c2+KFnPc2JK9XvTC9fYxB+2HW
p/Dca6K6qbSoL9ijtOl27Gd3MPBzD3Znknv7x38RyttDfNIcE7vnMtHRMgKUHwK7bA5pTXFWHkjd
k3m18rpQpMHGbDQiz4De4ECUoN3mNaA7Q3/9Z0X931ZUmuI/XVGZVPav2fRGhkfFwA99X1N9eFde
YICzUKo5NUD8vqL6wW8O6jyWWcxhvqPqhD9WVCv4zWBuyClBt2BvGirR63t1gU0Npm6As4wi5m9X
FwaKvh/dlLaPkZKGioMeD9KqeUWA/lBcWK4VN/4cRgd6jCSXwPry7qURzTzjZbdNBAKoQf+SanLc
18LGQQwLPSC6YOh2OJCGrSUMsdXx8+u/D7XfSAZ/lAgyZf3TX41bwk6kmwS9G/r7NN+xdSa6D767
94i2qm4DlCm3/gxKngzA0MkWRk9sjmFr9jqhSdZF5Ixq9cC0hiN7+NUvS+O+JVtNNOt68grvI6Hv
0RlLBG1C0LXGpyJGzN3gqqvnDeoUzV/lDkTT2wJDeKtBqOg0f0eYxLyy9azE12bk0kY3XtFoaj7E
0xChJdDgFi8DJxc4YNp8WtHmZspG4GxA2HtvqGDedD02wSOre0xQSiB962423P5DUDEbkI0oGFbk
kF8WvUzFl4I2JWkNFtz7wcaMvkzA29M/w/ZubIbQjPMD2JY8Y3Q6wSdMMQLe08YCGx8x72jCJ3Kt
tG2TzM1BRKmx7XurfU30uLkNCpyFbtoesTofapAmj16ZjNiTx2nrtX0HPyEeDqM2aPRvZ1bcHJfg
WdjWdFNG8UaD1o2ohxbSRbMZQllpqxp4VbVSPUlmGiEDQr135EkjDfYeuTheJS+e2rVMhvEm8uYH
vY/y24b5F5OHgCNjK10j2tCNtb80LSyJoI7bxUiJPrMz64l70f2svgzgR5Z0wYs7Z5gpBpFxGdkJ
nU9LIakaOSN46Nt5FmtKPXMjVLtnUo2fEn7oflTNICzS5aa+doiMxu2XzIldxSE1dqMV1mtc6NrC
Uu2lUTWaEOZJSmWaT9x1wSQsazYM0PRDZFjBgZLfP1B60bkKVRML3m/7WKnGlrj2uLJeQ3+oGl+W
aoFZqhkWebTFEMiLdUF3fdGoplk+Dc3avHbSuO/2huEJ/bVatdoy1XSzTGYIHLRRoaqWHINvecYM
PRwd2fZrXAsBobFxvgYXU8JUgK80qxZfrJp9/bXt16gOYH7tBsprZ3BWTUKHP2QJ24i91A/o/AXS
eDGjNAbtoXqLJCOdBH6llT+OzQ7rFE3ITvUj2YlpTYbEnO7NwU2bVSWtKV7OHXaoLTswAR8eQ1V/
YYrCMymPRU4PH0Il5QiDatyLofbojC2uUFvLu30wNozXawf71sh93A9wC9pFYeTxTYRo7IgVibtn
K/GBPShx6ADMazKddEGWof2KZh9BQpLL5nGWdXkT0Ivm9s0iOzlkfgORpUQz/US9XbFP7RFx3hi2
iNAseEwdGXleiYp+62WVu89Q6wexnL94wzyuQ9nae2QLeLFcKEGr2oDvxEooPxFW4jeL2ndhohXR
zEAsS5oM0T1onQmvWuN9LkMv6FcOBjBACKBOBmY2+M/gmZIoAfDLQ6w/dHFxM9GxNBfBNAz7KqIK
xSMCvZu4Gz/HloqAYDEkkXnb5jZTjIZAFzAQ8cCRtGzzW0Di9Vaafkw6BkkwGkI1A4MixbV7dlkO
jkUMdAGvYl48cRASZGZYXbUeSRY6ATwWNxqBPO3Ks8hUTlS6sscRKl8ZfWKv9Ipfd3lGGTCrTGZG
NM1JmnF8l5gy+1Cr7GYftjzqsR4vYC2RsV1Dnp02y17TCHIo4lYVA41a1b1rkynXnvElExQ9CjKj
TUvFRzO6jvhS6sZtNrZKmG5mSxymwpCf4Dxhv1NJ1EZHJjVawtWsuRrSEpVYrZsMRoBOkGMdB8Qd
enJoHhyrIuY6NNz4nl6a+bEaiuTiTWNh7FomaXc4/Wsc0VOX5UsTCO1nplfA5mxMX862UekqoUra
jkUgiH8xxuHUAU+CjWJIJ8Ym4+MpzpCmEUegcrudAcMe6dLd8I31PbgEWiw3wgMo5GoBl6ClMt+g
arE2aC7SfZOZ45rmFi5LDY5PqjLEMY0Z/IuHjnWelzwjxWox6VT5i15l6AWcH9F3OsK7Ma7x5N5k
qqjy1oCGdQ0wHxACHjvfda9fG/jl+FhQTaCDtfiQg+Gt29h9RQkjV9K3axjOo/WUYCXdpxQLd4EV
G1y1eDWFClQH1Grdjlp9k4Ys/bOT30STH77iRdoHHrYl19EYaRqFtvJ1MI11bafnyYFCaVM48APz
aN5CweY7lSrqHb+5voS6aK6KeMIDTeeKnDpd+5yqqPgGlc3RdmgbLts6JkreCYbXwSJePiMWddUw
UNiqc8mXXMXQ85QyN8GqQzq9naqk+kmF1rdA1eIF22lztHxB8L1jxcgljBav/LqfNKzcpDAGSgJE
AOAKT5/+5KZdV66FK7Iv+MIjNLABiBCUrxGpnGmrQTPu8q4YiU3wJLW0r6Kxs2TQlj2RZp9geWZP
FMV8XUCi7HS41cDzXibdfcjGkKFDWkCQsuyGgPASfPWpTSS6HBq75m2YlcRbd3H1earCbtP1WrGq
Op3vC7DYVPGypOVnyxEFf2YyfDWNMlujPCfn2oub4uSL1rhpWc54i9ppRhUMyGrBucvEQurDpVkw
ychecHx8ajWDqL7JsBhup0F9SEljp60pfQ3tOS7reEksFalfWiWKCwDK7lwpM76tbPnj1aGvzGZE
VinjPk2uSxRINmtwISdYhvFqrHjFbhIsJs6KcGQikRlG4451ChtUCgS6VahgAViDBcNuAUGgmbXg
QCwyRDrmqpA6sT8HyGJpky4aBSHwrzyCQKEJuiuloEZaAN5Rmz2axGk63AhjxsAlr3yD5so64HjS
fDRTRUAYrjQEjFnYja+MBJ1nIFwHCp0wpA07AV6mUuygP9rjapRhDAqIIRL+4tzyH0aFYqiuVAZE
Uu7RbzIW2jhQmK7KzdNTEzPaXbK0F8TM++NTYwbiYljS+yyI1NpWLrn0iwzy4qtthMrZ5olyK9oG
x4gWFbpF42tmyxBe3G+TojbuiFSIiwOg9gB9lAeqs9TtZJnrkb6v/TTX6cwPGm3RnrC/kU6g1R1d
fzJxRvxT1v0vZR22TJdK6L83yi5x9fVf/0eg8Uv59cfS7vsP/iEcNX4zTN00SHL+zgz5d3HnGb/5
gW1DbVdsEmW/+qNZRhvNNDBlXdtjvytK/xgc8cfZjs5o3aJc/DuSUQDI74snPNCWju+K0Vagw5ng
13+o60QT4U4M4BtpXlsuUqwyDyihu2Qd+QTCJqbzLIncO+VanVBE1M9wUrW9Lr2zWUGyXRZzjNW3
tYv7YCjKO/wxT06oR6TR5CLdVDbxG3OvWfsGqCFLs+ax05Fn5rfeuc6xlpijcZeOsnkJrOLkyvxk
aXIbdnW46honIKNPqQWG3ofWiiRH75NzwX1cEthGjG5ZCTCSPqoRx2Syos+M9/U712gthvnypRql
ilBrGMpOaiSQfGvzNFsVqAjXXuWfPWvcygRZEQanb3igT0h8LohiUK0kPYSA7NRP8x1v+lGPlPgo
BeYZJy9T3UGYE/OrA1o9H4zXynOfxdRuKsD2y4aolY84sJFx+O4CRytyCgSyi1Lzz1iTn7Mhf/F0
QmR1dVhvspO6A11BZgvYiW9pXcKrjLp0Y+VTtbIK0pAJv8YtKofHyJIXv0S2QgMUE3cevEpQpFsj
tndRNB2z3qz2M4r6pSZJhKFlgPwzOZhxb6LTHR9dLLmytp9jKzugdXtpRPoC2frsxRy/Fi7GeZsP
xBLN5H26s5kubCaro06qAQnY2WHmjL0YOZIqhyggy4obZcZU1CFy+gUTyXidZAFMYY141a5OUH9q
6l7GxQu8BpBiSKEArqDUUteqbX6DJuY72ep3nQlmI56PhL+yEkItqz28yZx6vlk5v80xklOWjUf0
cM7OrwKXtE6VeWNPT3PYISXrXEgqgUWaXcuFSIPDhhLYM0DgFMXA/NTYgvANZ3xEWYE3rpTLkr7m
CuTnSzkQCowe5RV22HEgMRmlY5OcM+E9J2QKMe66BReN+IO088nsdshymp0Yh0fImbskqTseVGsX
FXxHmu4jyOyYQvb9fHSrCTkJocJLRJMWma88CSOxgwsBEmtRt/pTGRmvgSWJkgWVRl8ix4k2PIqm
f7TH/FvBbr/UXUzgfTE+WqERs3N0hA2bisAD6GVpQOYkuIL7bpTuOQjsZ8LmoD3bzrl2bG/D+QQP
BN9NjNxrIS33OUGNgwmKx1Ej4QT9av0ZKG0AcTyGYwmL7t7C67bKxwjXlLCd5RR0w05403AAnzEg
K3f9/Tho2m0WT/kawQbaGK2eIFLmw6GIRbukPLBeKXU/U7a6Nwb1B379scLduEJfU6erABLgystm
+RJ65NRwtMdztE0B/JK/FD4VI+Gtq9lu4WYUZrIc45CU7+xzYwGezMYc9ATRxGiHVnU3oSuxR6RJ
DaJ98o0Rm7KndgBrPATGWnxXVsxeoTI/VRrkupZ8lPXQOy9jOTWvZUniDNCBeJ2j+fY9SOj1HLiY
mIseCXWlcoadbhGVPP5zar5WBl6lVhT0NshEd0cTZZfH5I2/BdzjmceQyGd2YdP2b23dQxdp8tBN
mffsae65N4Xch0PzTZPN0Xazww+bzl+A2N6NP2zfV81Bn34ikw2aherXf1jFATZAiJJZtbMHlQ/W
i25JNtQ5cQThX4b7i6SRP9kMuBqNSh1nro5A4v2wJbBlX7qTV+7wp1ar0sgORDniZ7RY0H/+uRBb
vO060sC0HLzmDOLNwLvuXj98Lul5o5VC/tyZXfYShKyGajlOmessceRSc/B/+ubn1/xTO1Fd02cD
RzEeqP++vZeRVdIIYMC7m9B6rZ12eARwAuYZaZ7UHIg7fF58ccemZXX7+aWvbuYfmHXqe1T9VUf3
PAMBh63uxw+fF7KpnNPJL3dt0VirlHAeMDa4BFkujoghsp0ejK+yHUkRlsNwSAeImQ2lyYKT52vs
4jIq52MfDey6xLYFQUHUKQBU05dH6bJ8+65JgUdKOML6EwK1TeEMl7GInnQnLlbuaJ97P9eWY1UF
W8ep6k+RAyvLJidg9fNP+hePEDM13XSoaXTKgHfzOjNPArKy7HIXm+3GrvQ7mLJ3haI+/uI6TBv/
9ASR9qCOVqhvmNa/vaN0rfyRX+RZBa60b8fxbjISe63nLMKlGyDt9LNTR8F6nw/THbqF4j6O2EPt
OfomBtZldVRJkWwCNhyJjwNtGsj+UQvcswVEOPZZ7p06KZYRwYBbMZrjc+SY05aEoHo9JlOCwrtp
L2U2Po2Nyo43E/vQJT5gJLerjnaZfANn7C7gafEtkjqwHbX0W1jNT37Ub7Dssnmjt4knwPtxmaAW
hqplMRQngYLyvZ/voJojhTX5s+FVf26wXSw9gzPWz2/kX6wwFpRDhnO6T0DW+/SM2aMKhK9V7mYJ
z5njxMjKRjC0u9Cktfv5tf40a+AtgC9g820hncUh/vY7Q9yIws+eyp2TDRek9AdCv3+xYF7fpHdv
mkc5bdvq34Hpv7tGEousy3Udm18w1Js2GTHLhPOrWumT2Zq2XRMeGLHtAs08yzCIgQPnB20MPyK6
/OK7eIHMYmgWTJ2t3ZCyiccBq1M9FSfDiL7NrrTWXgi7NrfwqqN2kAuare0NIUVrgm0/+IhLaXX6
0d6eCOvJHc4tBnYVRsCiZlaHgoq5qLkFTq/A9Mk3p+QRFEl2GggWy5xoIgGI7MYJfTBu4XpZqjza
Qe8uVWnGa9uaj7/4Tv7ijeW7CJhYsQ4z1jfffinYyLqxmopyZ+BuXwxxASoWSydi3IzPHHMHEo5b
q3zyzwiT6mXYwhCbjeK2S3mW6Wog+iz7jQwVmtA1qlUf688yhQvgE+6Nz9Q9K4vAkjTFc8wAfAWE
RlvWFSRZL52edFO+zi2MTY/mg8XpEFQJ8WTauM1i/WniIIZRI663Vi63QS0vEbZRqMk8nzYhbIvW
HaAg0IpBJ58HW9OZn4K6GU4/v0l/8ZKwZ6h/6PBTvb27RzISXt5JbO7SL1ccccYFvqBtYOtgg+vo
F9+IYSDZeL+2MZbDh+gQ/oaZ490iqkYulmn35a4x23JtuG218sP0QMLxDotCQqY7j+Q8USDRA2KM
n3ICjPITHql50Ve47KoyqJf0isQ6cBEwJTkxj+Xkf2kz40bD/gOgul3GAaf9sayslVW3r0U6X8Z8
Ohae2ox5zCIrewmlOqVKaMmzfiIxDjVcZS45rq6HLvU3ICvP1/JytkcCMh1+I2Lrg6t1/EQth00d
9uTooIHYj/54dy2CiOepVrLLqkPZy8eko5D0swjPlKDUc2b52HQR8WtKX2gNj2Zm3AktOQDDgOLk
EYpZZtNK/Y8Gj2YRDuqBrPthY9hNu1avUTs658qTj26kCgjSp3ifsGvkgtOSHqanUWTEaNb8bpI/
nkXq8IoxSL/BAP/adN1K9txg1GmnBBHjMhg5itu5/ZzGA4BpGxBv5ewGmNDakB7mQsE5Il7grssP
FMVbAHs0v0mtJINsfnJld8oN53PcMrXPDOc8tCRUoG5YqsJonJtkSwx9dSQz+Jx39rPZJL/aj92/
eL0564CXAojKE6X8sj+ePHL6z4JwwWLXetMr/rILA5gz5wtuHnMSJiHZy7XUrlA9brqAk971nS/j
bjPJlniXlB8ThbXKujJdQ5Va+Qprucq7SNDg9ct1MPbTLicpkgItw/sX2cla4E18FVoenOomAOUU
sS92cxzclKzlS0RsZ1NjjcFj8jRYHLf0xkKipif9cow6vPE+J+uIwpD9MEbOQpY8x2zykx67gRW0
MbtLg41mGfQE0fX9xXZ64rxzEr4Zx1ig3WcGIPIxDUlCKwzsSDAgXt12rjdN3V08qgNUsO55YBOh
yOwfLazm6jTfeX/sr/+wi36hzUaq7HNm++8dtpuqJ8T0pXwjzP7+U38oJ/zfkJCZVLiWz1eBeOLf
7bUAXTbHFt3xfNewTF8tyd8bbJZFg431k7YbiCMqmv8gfk3+wN93OhMcHcPHv5Wobb07z7Bwwwrk
uOt4aDG8P51nkqmRfZWgkHRoDfurNNWMix6L+eQPSb2pROqrMySRiq3mhY+46AhRwC900JoEti4T
NuhGZIpWultuM3se1NQmLxY+E/FHv8aE5MU1CNNK74KlEafjLVa4/l9sfsbNyGH2yTZBYNQq6JNu
cniqdHyaq9L0hlUjUCIbkd7IbVdo845Ov/vQl/34C0z2u42RO2DbiDMcboNiMb/HZFPSNEhBCOhk
mDvewRIKtkwFUdl2nfpc/L1/eET+oh5+t5pdr4cg0KKxyuGeI+vb1czUQAhF2KP3UiOWdYzyL4qO
ogKTvzMV/qv8RInqfzhHqit5lml4SBnhSyNmfHulGbzEzPwsB0OFugIJLNjBydG2BJglD8RA2Nsp
TsPL3/54HlBrFDk8TD4E9rcXTXWzlQXz3X1PU4/5qYL0tuCz8GePDklgf/9qGEDRc8IWcAFfv71a
FPjInouUzB9dOtmpbK5uQbBSt30ePP78Wsa7frS6n6RTcBHPAohN+/vtxUbiU2Ki6pK9iMccV3eM
WmYlRMHRpjHARJFTd9sjmLmRJJ3uIFF3NXZgt/3bn9nRKXQ8OjXIXFlU3v412Ka8qeiZyYo+I1qZ
UVq7cqMwfAzcmjzOn3/oPz9DNPPVvJkznG8jnX17sQYpitU1bgq8cp7vKzydq07jDQbBiId1ahM2
YK8MCOb8+XX//JbQaHANxNkwLTxXf1cDZVEqsXDW6b6UYmDszbcprV7KRZmQVPS3rmUHDn8+52Kd
8sHBLvPuWjZGPtTeQbJPUMysxIivbFHrzXSMJml9+Pm13q2312s5nIgZaVCq0GJ4ez/xU6ICYDq6
nyeq1VXFPO6AIX8wVj+/zvtOkfpMDq2FwGWR4XE1316nd/O2cfG0EfnkDCnzQib2COJLKDmcVh7i
JMHZOeJFwI+JRCtco2WIf1FyvHt21GelS8VCB6fedPX3zw7yhywRTsffYWhRFBuDwMg3a9EphPlx
qCIfwYhrTb9Yz6+38IdlT13WZAkitQJ6PnSVd1/nELnMT0OPQA6Azh8bkl0OHCunc42Qd8shrQTz
iykaHO40Rt4ylP007KVbjl9B34nmtcb4ccjCMtxFSnQdgoY9hHOq3f/8G/qrv6fDF4OomNMBrP53
r1YGHUDSu9B2jL7cL9PU281yEDlCBtj30kVRjMgB5wZMDebcMjsR3UOkh1WG4b7PKvsIqTTcj4lv
nQPNbb0NaYBVClg0ADDy87/rn59aX+du6gQVcCL5k4RdD0qkNrlMiELTJyyK8FQz1AFtt/75dd69
9Xx1PqwZtbiRssIL8m6FTTSTm6K1yZ7Ser4PEhVoXYIuOSJydh5+fq33y/n1Ypi4TXZHBzXq+xJ1
8luntceU5bxqslXkhzibcwTLJGpnsLxUvPtIdKLRj94nrSijLaKB7hc3VjUUeRPfPq7Y73RPZ2LK
F+2/l4jmTa2ZvBnhzutlM+293GQx7QKM6vuor+d7dPL6FycO6Wkk14zlOk4j/j9riBZgaHRsqdUO
Qd9Pd1iWGBy0Iq2bpaAoIGQvK+ZTHrfAIUm4ucy5FX4bxj5/8qd8PsGGpFgIROM+eILejVn4znFo
dBbclpL54vSZ++DGtb7rDN+4ibEJ9ysiWzXSDOV8j9/VAieCpOu2AEb+koeT/mXWOMbhakCGEoxl
+I1Md6c+lIWAS1BCj9zNALyhbKAjoI/E0IczQgXUeoFByX6JwUi/ln1hfZDXenkMB/rELQTwb/nQ
2XJVkE8Zk7yTxqfI4s22HZYWoxmSL33M4l21kfMtqgB1k9fIsRHBg06AqkzgFDAJcu2ttHUOQ6UH
4sD3CPEpU+F98oVs/AtOQp63/2fvvJrjRtJt+4swgYTP1/KGRU9K1AuCFEV47xL56+8Cu/uelnpO
d8w8n5iIcS0VUKhEmu/be23e/ijbZdXSW4T2boDyx0uMamnwXzT5PRsFd+DiL3+3Q0pyiWaX2LYm
WU6aPvr5R1nZ84V1Jn9umnm6+Xy8IeforVXG5l1tNzH53RqP7ZEMas8+WfDbLxnIX+LydJyi5fyc
rWhMntteM0NBjzG+lTiYQaSbikzsPBf6AIKFZzcTzkWOu2nGdOYS58sANMHAIWaWtwvxeWHA8TlT
nMQXuNLRpmv85K01oetAkgB2RMCNzLFKuSwKaWTbT0E5ttbKsHi2hW0lbxixrJ2ACfiKkMvALeli
JIe5X+g7d0JKtu6zVt2aY6NukhnZ/8Z3RPIt93qmJgJ/n8VC/NnayzgsljyOgGYQSU1x0CcbrQQb
GFzJeleOOWPJL3p9iaaZ0OKQoxdOtG7Ud4Vr0DBe+OwU5jr87ClfAJ1lOhE23jHAtiYB5q/xFJmo
mQNGr5s56hZ3maoOA6GZ155bGTSZl1K5GQHCiIw8PUFb2UqcfqRBOeqmMvJmB65eEM5Bcis2OlqM
RtUSTh4nRzNoyzPyZIeSVJ5sPKszL8Iu9WloQAvghwsfo97fVg4KvMYrs8vM1dZwkf2bQvv7LMGu
32DGhHqc2i/49qYVGZvAR2eYntlgb0xDaWR9lrUWWGR2UhGIAVobGQNP1XqWyYjju5xPqZC7OAae
Cf60IlMSnEVsDDXWoUmuyAlOT2BS2jXBbTl47yUJuaOl0rvOS4uq+xIVyU2rIO/jOVGbcQ6cNQuO
vXOb5MkLPRjoXW0BcsnXIBjcdd1juMtkYa4z8AmQTUwPhwnWukTG9108v0Gofq0Ho9umBvWV2cP7
aqHqOtJv/togl6Uaa9f5elYBq9pQW9+gSJw03S3Kfsl17CXTJnO8x3EMz1XpR197fEfb2JnVKc4L
JmBn2SMV1nztJbZ96XXX3AlKgZSuyIbU2rvK/GYO6pVTpDSxSeRsrKj7AUe0PsyiIk2gDEcoCnNk
pydBx1WsQiPyrwY354aqnGITikpLP4FHsXdqygmgpDwjzzA+mhs2Sk68mbxFmu6b+VMLdfwJUeD0
MFcu+4eqq4NoVY96vmQEHi9McLg8GQHXaQFAWlHMOcaNLLgou+hLG5n3gTtN9/40z1tbD8N2WX9g
X1b1GK+Tuiluux7Znc+blh8xBbAVsDLyEdqZvUgWIAfPSq+jyOQnTEXlRJ0qBEHvR9I/1ClHH3w+
iEjY5u2kNp39MI2IJtvaKm46s3/2c03ALlL2a6fR0DiinISQTe9B7N7hGoC6WXfZrkwz99aE4A6t
Z4i+9Gk0ne1BbfoknE7pNOCepWcnv9mpouHklrDzyexpjWMp2/gE8pEACWsCgq/HgoGZsnfgiJAb
dznQjW0xt0TDQZ80C9Csg1MGH72jcCWD5rEercL1v6hJS7033QRCzUCdmrQf9mNEoh9qreW1MhqP
PBcoEXZV1Wujb/wDJ2h5kEpYVNrF0P6orSDY1gvzq+nti1845kWGLZEkDpwPlJolW5jS3w9+Lu/y
sAkRMNqhzeE/jR3KFK14NBKCbkWfyxM/qnxQLvBjFmEQvKB8nO8KA+qd3xtUDQC3bALMsZvAYwgA
V61Xcxi5+4km2M4DuYYxOXGesrmrbqE82StYUOkxpKR54QkmCGnGdTOGYj+6LgNblhcgf+Y6LKR1
GzW5e0A/a19JcGCrttbuQ+g2YlMEU7XPTaqBue6C12Fh1jPRNOuxQ0a/DvAYExlLcuM+HksrX5UT
4uuoC+HFwwW6HsygujE1uZJAris4GJ2Rlts5Mypngbbk+xzizYubeRRxqiY6g+4MKkL6nPw4G3L+
0XMcBwk0DTgIDSIg7VpiWsExwpruQF5btH/uNSd2/HiY0TgAiOqUi7nn7erry5QW+W3tuf1NQNfz
YDddLNeJDA4FBeUjDQrqsARBnyuiPy7pgCnOicbiLSvRJ28JmW++OBGcP4QV2Yd0C4gstY/pgUwd
aknkjT/7Xf2t4KO3bVMh0JWuJvQSqdP4imE+nZgEOuMY1eTPsriadLbikpg8/PpnUluTtQnajV88
gZthfZ8MSQgzcXzYk6XdbUsETRcE8tWbL8rxpFWKnliyBiJx1PvZxauPtL2/FebYvaVtxpzd5Kwa
TAJtFoH3cUgddZ96cyj97juYcyhOplOq+CM25oZY0S6PebH7kmNSb3w0XlxeFN3M6wTi3RNhOuOb
0ybBSzRICvVlSfY8qT46QFrqzkXuF2sqIuXB8Jz5hKOBoKvCG7/MPYhVk9r2xoD+J1Zps3gDpkys
2UVhKQLpsunzhqoG0hBI2bmyuateHZwyNS/OlOSwjCfWDMTic7HOh8EjqCqr4mFFlLQ6CPosJ2hH
9QAL0aqYzmbCJQM7hT2FBA74NpAWE6spu6SMNhezT6eNR1zf5k7CvtjWLAp726z7U62T4XvN2WjR
H+ebkgj2j6YNkm8hQBYyMtjiXGK/tgi3x19y8Ew7fJ5dy341rNr4sDBXXYXBHD26pU7XouJjlaMk
PMdkXFmD234LEXixnTQBEHTJExvjEFSjZ0L7be49+znCFUH4D9NrmIcMqgIFQgkziMRlnw4nILoS
EIEf7DBBEspYgnyFIFGsFJuTje/HACbKFlQvZ2xIrE61dGDestyKy7XBOZkwLUR6sxcdMINa0A2m
H6TOyD1neWfdIMvdZdDt11nhnayucEkCH8WqcIddQP7IGtqusfFDhrOZKnGe3YIcTgEInQ+OqyHY
W3OTrQrwZnunT9RD4xEmbg1BdEnL8QPrPAgjXRCdO47WKaGwu+2oZp2Sds4P0qQ8YKkRKHjdDvs6
7s23rIeLzBmfVYeN0MkZKmeL/qnZFVMPdrtX6VUmaHQSnAw+B8Yeh2oPo6y6mTD+EcmjvIPbkqdr
FmPA0aQm2TJAnMdW8FYJmqZ9nuI77bsffWtU29qo9F54CT6TRn5rZwNA2Fx7aPaoHWikxdCdCI4z
XhPP2VVhjAxtkNcQ/k6F0bxMhb4ZshAGp/dUtyHor4qCERzfs9fqj7SJnumQ3vtWCX8zo2mW5q/S
TPDpAs9b+b18E67ZrTW60400hPtU5QmJX5X1pqRgY2VETPKxdcw9BHqI23bpUOPx8emfR973YiQ1
2gKVQ3wqgpxtNA3DF23r74pEUC8dsHX5eQLpTs7RFxMbLAmkbZAB/qhHcPMzcO7E3gu9HZvkqxpV
dwAMc+U2T2YwDljvgF/FXfIAPCE++GSjrNtmHL4aVguYj8jTw8gZ5moYWkI1iLbnNQeC6dqJ/9WD
b4lku/GIW4+n9pg0HuVR2tscJ3wZq30Fw3pL5EXm0BT3NJxS12h3caHuIcTId6DqRN4YaGJn3BYw
6My9NVqTfcZf0nUkzWDpuc2tdvk8q8nSV9j/3kThAjfmMSp6RjQNWQwWVDWdFMkAkYI7go0hzmfs
hw6+PfjGdT/0RJ50RpUi6ZQUTb1u4siZSTrpgxVCqczCjy70eAG5Ki0G6JAcRKyAg9TGCiqORRHD
fthUTC/UmZaexlwN4csQcUAIkXPuiIKBoZlodd2wxj0HTThfDHSoayshNLWfG8+8Tg03Gbe9nDl2
DD7T0tSlNrqq5XQiEjX+SLU13aTeTMKIyPRORHSL42wKX6LCoMgdOb64F53bbz2SWmrqXVhPq2ry
3Eu/sAuRTvTITGO37r405cjWITc8c18Luz2yt+ejkSIY27jigI4BAhOrL3zOVyhyvnl5YW2Slu0f
ytX61m31OhNjeST1KcXEVoG5yDoW0s4OT3bsUhTAf38J4ICdPzs1n9cba8fYznizjqFn07PJCIYx
faf4+vlHZFBY91DnvAfQdnJPU1YfiHipX7uCzMa1ai2qBIE93UyabY/BYZNejy49hNk8TCz5gO7i
vtl9ForrXNFGUVWwGTLqxnmR1IgkkljuDckt0t6k0a77cu8VbvelSnq+QALhZMU8ovG9DurWTXLx
tRhMfvUyM7nnSbXH1i3VbabY72rCgQ86G/RF1fPcr5XJ94IoFj7WLse+Zozrag2cq9mzVeNsPwy5
327GbFHrJZqqCMVLJgNig3GwQFsALuM2xyw0i4Lxb2rjSlZR/UrxL9mbWUpFMdBn2YK9XIlc9pRk
oDsQSwMVddeTKOZc5U1vXrtYrs5VqumQaZfiVaiz0+e4MxJIfkBYDbb/BOvlba7v4r6DLz8SqM39
xcRrGNgzKIpwzLrLh+WZ5ANdNoAmd/xWCmXAyGOjSLl2RK0vVinKfbWU4rqh1BefaLkbshmCTVUl
GsEtI6B3TD5bjssH5qn3EFnS2MoYJR6wAOr5PhROeJPm18Lkr+DxaY9+ufzTqudpCQ9tzVrY/nwZ
+aAtFkrp0p82zK+xcFGtZD1K76Rj3McG22tB+jtv5HLgJ9w6/ND4Bc5jymiyNR9KHmH1SimxJH+n
tManHpH5lRRTeBrjsHoFgYMMDjdpvQIOxI9pD/Qmpz48hbWoXjO/w3bZKMNezd2Ym/hy8lDcczjg
G5aYsJcQbBhG6wB30F6WiXXFuaX90svl8RYEbZ+Gisc0dpV1P2XocT9fWKvL4vdCF/UrkVxcWg3d
eMr7OTz2lFzhHgVG96rJnIpMKnJ9w9+TLaHoTL5vAzLMdSwSjh59/b00A0mKR0gCyYhMy+z5dfo+
5GVX9ErDYZZULEqJhmvst1HlzRebEvilLsbwpZ1wi6+1p8U5jyxxU9peeHJzmzvvOfm4m5LpcG/a
LsUP2qIB7GpGwVRTmnNrl5ICPBSEyAH22dUkB0aJr823yExrggcCg9S/uOadrlo33FScTneYFsIX
JLPlPiLN6lFzIPjww5ovLPtlDLYmwmbfrcHaRVaBRNOeNWYMDAEAxTn2BV48/kBwZoPFm4T6CuFI
fVNjQBeqY0PeUkqtIyA6CLRWFhFgV6Iby2v0WMNjYk7Bez064UdSKfz5Lsl+q2hiZXLAUO1m1yd/
XYKmOo6yCV9Sz3XLVdcSf7HxKwrcm7xOqvm38vP/CR3+QeiA9ceiefO/Cx2+zFVBwsWfXUS//53f
ZQ50zSDr2CiScQPRMFy8On9Ad4TgH6EARz2MzPXPNiL3X7DniT/2HN/xOGlS7v/DRmTC4FkEnSZd
B/bSaCN+iWb626imn0vs4BdoYuIjovGGSxYB58/NsHCYBKEezXQ9FO8RPds4f/vT0/g3PX0e1p9r
+H+5wC9dvVbZeVErLoAJkOhOJgz5SpklkcTUvP/9pX7tF9CDCYLFXGXbdDAcWsE/f5lZdFB3ckdc
UjefebdJz4DHB4YGwXjWuN+6VEXB97giTsjcm7XVGXpdIeJMypNpw6Ms3skbXahj0eDEdET3IYWp
PcLu4QfuVtzmV0MLLcg5m16tj3kn07B9DFJzPnsO6TiPc9PvUitxTx3c2tsUtXbCXo8oF3KQcN8w
SbR4E/DXY/VZTSB0CI7IC4reD40kKqPFYlPCWt9wE7QgsadbhPQN1qkVdfI0q3xgvWwGCHzAIaZd
MSa5XZx9YG8bV3mgOEXmTt8MBCerDGNisgKF03Iccx37xjH8Wp/TXsbGw8Sa55RbmxBJCbKsz9Je
hXs/b5Putx7O/80a/zRroFr/W1LXl9cuZtYg8eCnieO3v/bHxCGgbQlUN3+gK3m1/pg4LOdfPqvf
oozijf3Deyj/hd+Ct5h1zlsQXtzCH5OG+y9eCOStvB0+XWfu7j+YNH7uRUK/RHyF/ACVjmBO+4va
Q1e6obA9eNhx84JaRKKGpewINVZNTfft79/qpbH5P03Az4shQFhcJBKPsvWrgjlylZP7ce/cUQOq
X4gasx5nunnP6FRbDHCWid2BXfortID28F9cmknWJDUeY8mv+qfE4PzeV8K501JxadkacjvOk6+2
PgKiRztQ7I47E7/7UkFjL/L3l1+mxp+/uW85FjIoWrD8cL9e3rJpa4A1tO/ywsjYUhhj36xNAsbr
U1Itl1NFEFz9/TUXoNxfL8pQcYSPyQOR1M9zaFmX4RDV0rpzmbIgfAb2kTgNDbSXdv1z3bvBFXZw
Lg7Qq+32MYfTdw8S8J7DGs+h8aqFVhal6tAZbRRutdbOq0ejsFmH7miKM43OWWwSTVdp1dVLl0vl
pW3/g5Ts52VnGTXUi1hRETzQT7SdX5aCAHAAzenYuhODwVgZcJEwf0LwpqwqHrEnVmeVud0/rEA/
S0t+vypye+RWvBj8588PzzNMP0XKJe5SMYpHuGfJvvHL+IOCVHOHIZ6ygVOLa7YEMcnbMbLWv//1
/vpi+rZA2sFeA80OlNqfrz9KWWZgvMnEMDx1nywvzCw5K0ZjI/5JS/JvBootJG/Won/ApvOLICGc
ffK8zEHcwapR9wagh2wHWC2kmmvb3bvKHOd1ZKHk7eTMSBl64mUxUk7saQYB4z//4vihmS0BTdt/
GbUWy69sgKPfDZxAGuIywry6IiObUxCacvlfvCScKpf3kn/9VRoq6tRMDHu07tquDzYlMeJgbCJV
nQffrM5FmzpHm3PUuWkSRjldZHFNDYwcbyo/IDZFqquz4Y3qPmrchRJrWvQMMpAsokerHMcUrPhU
jtYkgpdqOknop/nu7x/ZLyKbz8HqW/x+7P9c9J2/ijzSPAqHYJbiLgxTs9lpv20Pn+NG9UX90rZI
BPJgYt6beYB0VeQ2SjQeq26W9JvmAr55kjlNvtckHnIYDk10A62p7v/+Pv/NLEhX3wkwLXKzf9nU
GcoaRkAZ4s5FEQRicHnMoiacRJihIJ6j/aeRvaygP02ByMMY1biZIDOzp/x1G1n0kZWaNKXu4FFU
Z7cv3NdQquXfbDD2g2nTQLe9zqPVH4ZUQceUqM9pmuVDMmRJjQxp7t/titJfajIDmAYvQWI7TJzL
mPh8RB2rhkfVDM18x47vDM4juOIc7hwtkj+vNSEW/+A7+c2F+OflhMUaTbRvM3KJnkcX+vPkoINM
+k0yR3cVf2stkaG0m9Q30psG13p/KMcY+ggAlpQsItfIIdyPRRjvZBwl0HD4bJNmdU3ZKrVGNHHA
JkcdGf0h9joYluSAzvYKchtANdPWMqLaNRlPtVFE/cb0K5CQUzTHLn1GCD0bJHG8GWk3QV8sYo8u
fQpQyiGa745WVXwOIIZdIbqprsc09BvaiC12HEzHxleBCPFGVHP+3cw6saGGDSUMfBU6gpkoiHe4
NbN36ue43CQ96/cJfRG2wcZO69vGJAcGd7LEdOlUHQksPvioFdkoRv08lHk6bezQ9x+gTcUQPUgL
oY2BBmmkzRC16HZIKWSb3lvBG4qPNkBK0/XZQWMRt1bNgE7taDUQlI9hIAhljaha0QWn2OFJ+TBP
oxjWPuHt7R32O+HgMOtLl1aLlQHoiqO6vvWjIm/XSjpxuAnSST6TQMSymzFG/HlYIgUAhG4bCoQR
6SOkBPkgerm7ynVfO+mwTSC0Q1yzBWQiHmtWgS6Z+WuzT+9sE9oY23HJElOqiMfyr4LMzwZWZhGL
oF7rcjD9+mRTF5kvnl01V4YiUGwXcQaOEX4miuiGKIlJ85D996AEr7yKrJizVAIxDBZEdN1aTrtr
cYFzkqpfJtPUX0UXwDMYA0UbOLDe5r6i8Jg03R51f7iztF19K2Tnfq1sA1ywV8fvDBT1IxpCKuI6
jsqNSRW8JtWRemgb1S6mD39cM7BgrxAKVCrarLNhgNGr+ncH1QlttSSqH+nMUogay6DLyDArsUU9
+mNY0dxSlFQqf1P4KGSw98x4EYB00v0OF1insCYL4xD5CQbKjgTWkFdgYxKy/gokFAxzIbO0bDdz
MxfBjoRaNj/aVfdVlvGkaYJXoCcCNkPM4A5ls8m3t0gE6xmqWJg/KaPjF5vDnkVhnu1hPfqSeUVW
zBUoWqqOYzJ4oB35pnwGBJL6RbYdvyyadX7UJMVGZ5ptsJnkxPAqo46fPhuZshMnuhvIZunXGr3J
a4iigmq/yX61zxeHVjHhog+1fJ4sq3vvdOwcvcFj4nGYhyh0y23RQgNYSDZdQLyPzcfPjcvNceKo
wDtE4fPgUanM5qI6Z2VmPTZYkPlDVS6v+n5kfmY6C7FmOUjFNkL0/D+RVnwnPBPi2jKXcquGypbt
AkLnXluLlZpGl82faGORXg9lwxSDjjW4ippCXkm/UveW67GoJwYz6uccyR4uuApdFlEfduwhrILu
vZHLo5StIx67buC/ft4tUV3Y4Gx4A7cV205QVW4y3wJ7479mueeQ91tkLSCOUVxDAxCYhtgZztYk
Hkeh5ZYu8Xw/JBw37Dy1sBxZLM+9qqfNvOweOaC7r6KY+VK8klwpi8fuPUECc4+lrHsf6dAhLkjZ
fZrZ6L4GOasoyqTuvc5ZbYkIal5S0MbEgCHpuv/cKGjYvvNJpbn3ain294C6+WkbbkZZQfru2Dla
hsS3bQKwDfPajHmlvSo0r7s2zyqq8qge1tZyt4BWWHi6CmZuyB2ZqckmvKrolrkiq1/CYaGOzJll
tNvQkuzSO00lc6TyWh2bruXOR/7OuKJHM6urxmjLYv25wRmWrUpGhtD7b4cfoqV5aOTLkOrrzqgK
HCNraBvW3uBcqNwGV3HhomD07Tbfs+xwg7WlUr0KjJLcZZhzISwwTC50MpZXSIRuqnajapdtECtP
v2mnu8CZuvdcdvxGdRiwueN/ykiwAJeOy9xGQK19zOIi2YtZsDEwPfvo8Utflx0ZW3yd6myPhndP
QBQdRfD03C3hru1hmlhx+2V4EgAjrs0oZWXKwKa023Rku+oE6Txc6iky4kNBtCy7NK9k1II+Cewt
oB5uJnQZwKQC8MzQg8pnGpv+Y5oFDQTHxkz2JE0wRvI4d1/jYuKZkmXM9/+cBLCQq3tqUDyVPEvk
lYdq8og2ihfOWy5POzlYE5nEdqwX9UsqqupMDl57YLvfkM9o86smVgcMkoWc5zCxBaW8Hz4b8axu
1Rx5ry2qF1JQ86KASUlrfhO5vPE0a7iTz5GI2Ep05ylhCnAFe/QtaU1MPk7URN2tVKE1HYNq+YHS
BqzHzqrC5lC0gpTJXisJXlojdNMe/Rrajsgv6WJHxQM1OPfVTlPxaBkBZwBIzyxNKhAYFloesm2B
AQRjmJIGOCeyfvGimhe9EZO6/fyGrETskbslPahFtrP/PPDqyahftLB5RSOOqAlTt7maONI+DgQ1
Aeuk3rolyErd6mDid/rcMX4um7M2GVF1DtnIDmK+O9AxTItWYABJsopNOwycZJanRuNZyU06iVxv
sMzw0nt8CwKOHDR9Pe9rGUfyCikQr5WebSrvtrZ3Q5eLAIB+xHSUZLxc2ICYHeOudYGEMeQR3RHj
fR8nNBi30+g3hzmhArh1sTq696qdSvRBUGj1mv6h+0p0F6OGPy2fS2VybM0H55g1FWoAib0nPxUA
L4stUfNW80A5eWKIhBkPGr6OuE7Sz7lPWamxryLBJM9WJFqO5E7PeSUuGBOfD+C3uWg5uI+pxbyw
TKxt5LPifI7dMMLeA0KIqCLlJ/Mbhp7w7nN8OqQP7lMKAfuxbJzsQvtjaYWYsHYcIACnOJpRYv82
IIqpCD5qGnTjGgh7e0BVBcFnrt3XyKOW8jkq6GDzUmRWKK6phPIiN6W4xoXPQ8g6KH9rD+ov7Ba3
ZCaCS2Ss/caiCIGDPUF4uXwhY6KVunjaYTo5E/9sZiPUbpjvxbVw+AoMOfHoxl41AfyNeLP8sGGF
wf5m76qaQTOkFbO9nYgb17dQ2seaQW0awiLAemLS/pwBkTJmAP6wqBRrskyX5btPeUq2P/HaLAsQ
OpnInqd1jaqLkMWIGM9dY6CG2pbDcrcpTX21tZuZ60b1rO4LAruRm3FUI6lhZuPnRnxvDBgBo5uU
FgO9cqvEqmUvpB9GESTq0A9jGd+ILjUrWt2FuEagzl24KIg1K3/FaDdFqNvH3h3YhERGJp/NqU72
Za2W70sC2q0zWP7DEKjiBgfg99gIjXUm044oycaEXc/MPmE5+ojsrkJVBBzH9jhSr8fK5gVWLI8p
WplmPSeoknpKnpIdyuw9Z+nMc05qftDKnbTaG0Nq78wyIL0xairIC6MqjkldpxckNEKsWTWLIyd7
dSBsvgSuUNfovCq7+pAqZ7/gWVBA6GAwwmgy90g7VNebJ3hHZKalIYSNtYxj9lSDA33Jysv8aFQW
VRgqRQOa/3AyHqLU4udBisW/Q+3nIdmuRkJgmsDN7Kk92ODC8lUzsscpli1dEwfqHmkaOzz6qOuh
mXhnloNyljPLTrbkVZUx8mW6jtxeqH2KTVbF/sAJJ+5UfS4mYcy8rd2kyn5U7DFZXWQtt+myhgsj
DZ9D/P90B5azc2SCLgJUQ3cQ9hlzWuUpPzxTT2sPflzJK+T6znGqpbiOlCufhdF375aeg41nZ86R
Mxi/a+lZrJ+g/BmtRcRspb3Eehy58vpz3pRpxuRI08kmWazknciX/WYdyuCqQE1WbMKa8tWknPqF
uBlC7HrmvbbhFerpLe7JGc9ORuXuvGiZmbWuWIE428UHy42TH87omd3ZRToAOs0wLSTnjbwyftth
NNRIDFbmIisD5+jThfWPHNhUvzjYyetEpbOvyPohb8GyAs4qvftqorB+DAJByc6VzErUeXgkfmqw
bIQhgNN94bGweCTBPMZUrDcaWeiRti/vg46W6eBzy0xy3IcXERpElawwdxHyy2BLIrm148rxI/hu
9QSmSl8hsk6e6iHKCBAkz2DrctrROxbEwV/5+Eqs9ezUxm1r4CJbs50ug63d2upgAdn7PtS2+05C
p/6Rs6v8QC3Ysd2eAICzr7KoXJAOIdiUQa0Opq/Adrx2M4QhwsYGDFizbSrVIE5SpFEu4oMo9ZIv
Rd1HDx57fHJaCyjkWecubSl3vpZ2TZC74Wffq2bmk1Dj4XlIjFJGt7o0OLFCnQT9AiEHHVcrR+/l
szrzfx2ef+jw4N5basr/e1/48pqUP/7c3Pn9b/ze3PHo7dgecWQ2h5cAXQLVmN+bO7Al6Zpi04MP
4qNnpDz1R4PH/5cDVgvhFpiSwLZM+38aPNji3SXZxQcwiVEMW/x/3eBxMWD6VL/4HLZK5AYsMM0/
YyVmaTsE/SzO8hCG7tadSX+++dPTuP2t7vRTAMBPRbblEksmm7uAV7hl+g0/XwJr4SIalPowhvYq
08HKIOI78Hik//+Z/xdXWUp9fyJzERymIENyFb/81hnfKvWjd/+j0vNfv8gvNX8/qRwk3Vxi0He+
eTcnm0a//f23oGHxcxWUqwTQxB3Mf0vFFm7ML4+rg+SZUsVvD65Rtt9hV5rEEJqTtUXvqA9umOX3
5LJQaMoHpFudOexUZxOimyqxpyo27ZO6bZ+tWNustLpLN23v31luMbobFuLpSrZegmq0NTd2D6dM
jGH4AH0YVZ5fDOnjvFgs/NRPzyB5sF1V9bciqDdpEHQklonxMKTtGig8RTOETgSQGn58YQVfwlPJ
4/WStkJoOiATM3P/bJLzgG/QL1HBunN8MRvDQ9ezsENMzhGx4Y7nfknyWmWqJ0l9yIarQRb6KYHE
sonrGACN33z3rMLHg1pwCDOI6ux8TfqK1V05mdU/QQt07iZygNh4+Pm2YmVH/mZCHxmEs+s4mq18
VYtLgPJ7m9qOWgEBG+9tkrr3DkKhKx+k27bSgTXjg+nEJSSK7VClCI2jaojvwnScvsu+mO9GbQ9o
gEPlrymecr1E/5hKL/wa1zj8NwWn+idMq669mbT40bYKApjbOf2HQVkiXnPS75+llQTxTnm0OcfR
5IOWB4y7/1Ih3wY1SUV+zbnQ2xR12JOXHtroAxxo1ISMATnl/jKKJr0P+zk1rtPI+dGjU8DG2w/v
qVZPjrZ+yFK6L8pyo7UzGMnXPlPp0ZwxBFF5acSec8ePRSkpV/HU6EPakLGQYvoExhrq/nkw+bxC
cR+p8rNTId3umQaTv2Zj5J+LYCBgtZjCrU37az/Agr6bcis9RiUZ4bKt2x08e3NfQTzDLOB50VqG
c7gNFGfEtc6D6EThwCKJFuRPamlYsU3a7zkzZIfUTccHgv+GBwCz/OFWLtnqQeLe5RQmVyZHnhM9
MWdFE2jYcih2bgLJ46TiK8JNgcdnYzF3XveTTNNjin1vV+ck+awUIasksbWo5DjtR5g2E/MhLekS
roilc2/YFqX7OEICIoggfAvpPElGiRFeW5PEe5TFWB0XyjzIKgwgN3PcWps5mqk/6sg5zXXbUDVZ
RK+FHo+erL3b0LBJGq5j+9YnZ/yKU+tzWDTo5qi4gf6mQXrArOlZx6btqTAMKlcAmeLwrceZSoLG
xMbZNgYOdNgEPxwqDB/YHvp1Z3TTuSUd+y0mb3IbDY0jUL0E5tbo2JGHBDzxPEIzAyev1XuOh4/I
4REwJ1Vn84BwZj4U8COv2LQ4j2hK9TacAw7n1GTFHhBfu3eJZPgaWOFICIIb35lFYx7GBAroxhkU
ck8/GTHw4H75LrKuPzXFUFwPtppeW9suL+UQyRtiEuxHxKF4DYmSMLaqEe55sqL5Fgal5hjUBrds
WstX+gTTXTsv5Ys07q9V1wAlVcgsu0a656xGnSsad1zXc+891LNNFC7QgAPKy2Bcu6bFBRoObDGR
xWF/17LJLFfaDDMfeKDnbvCFV6StTOaHk3hkxceELj40hHCR5+d1BzEyCWVGwcEyBIKuPOnuagp5
exJfo2LT1Um3YVUBQ286zTmfPNIC4qqJHzVKwGgVjTDmeWn+H3tnshw3knXpV2nrPcowOBzAojcx
R3AeRCq1gZEaME+OGU/fH5hZ1WIwjNGq9b+oMqsyZUJAOBzX7z3nO6FcxR4ZYlhNpwN/2+DRNIrp
MCZjdYGnbMbH+VG1jGWux9DVY0I9qRg20NolTtHA29u1h3YWjem61OfUlzCJoPhKizWBewT5s6c3
a31Uav+32jis3HED/FyDYTd3r0w99Zad3/AchmIaFibq2ds8VdVrXzUN21iX3KWFwAiFhGnJFKX6
FkXetC4Yh+waghh+Ejo2bUxoBBdvWtq+iFKXph2qyTopjFfCQTCipmg6f9V0MJ7GesDUa+gIoWfp
rZlL+4GwEdTmA1ZZui3OrI6GdFO7+J06NynGNWt44ukyRhVGMDv25kviCUVxjzq/W7ajiabTSmfD
RdLUz87Q1Cs0kfxRoSwyE5FJXb3JvM06MO9xCyGJFGHx1EVZtm28Nt+i1PbJVjT0Razp2bKvmADo
wywCLdoXxoDNnoG6S+ZhG9ug2BJ9B5Q1YfNU3bWHGQkVc2hrxGV4ERQ20iM4dAXeAhflsCvwfJkL
F5H6HhlIR6fc7bJDXBtoRJ1CNu3snZp2DadzVP6otHZehITcICnl65uDNxKzYv8N82OXbr51esmx
fypbLhshnj8Mk1svDIXQGe689lhGkq6+NvDTuxYRdAVN1X0LyPXHm1I4mVXMmZL2hW9AAw1kDd6m
CohSqHzNpQ9pq71VaslT7xExk+eVfPAqqa1tQeio2zBhCd58BfPHrvZwxr1N7HuJC8AykNQWHja9
EK/BraVGQe+bDieakenAiBbYNCt6CdyjWeMrzH/GfMP3JhnZj3UipycWUnArQy0ALth6D3mMvQ+o
NAppVeZbl5nq14aCFBBzZPqXaZ+DS3xTBJu+Ntw2TTLdTZre/SQVVfuSOaWPsh+h3cqF7fX375Qg
ZPs16vxlB2H1G/1NbBFhPA/8hE3Gmh1nHOPWmj1Ef+Vt7d55jGkZ4bT2s9WO4rlTmniGGjde86WS
m7AKtdUYRQSclgJvie8XV8w81T290Hxt0hAnEdUart+eemOjZSlq170xE51OR17w4avjC1vhra0K
sunylpSUgoW4GexCv3Dw1q1R+DT7bGysdVllMDqVLniJHW88tOirb5gjBnsmpNjx3tby5Br0pDRB
f4ITysVEF+gaBLy/xt4WLA1BpMoCPXByo1dxtpc4jr56Psk4ja8Le+FGfAz1SfDzT4CskrpAiV5h
jAh6Gisk+aH1tidjlqtjhU/G4ZpNYdybpZ/fOGqaVjRpWoaJOM2fdJgP9iKfaOBPLRx1x0AmkHoA
mdvEiW8sRB6b1sIUIdoMbwktoFvD6fGbqHK4qZyaT7cTEkLm0M8E9jRlDhmrhvKRLRohOiuyKvae
wr5KYHGNMbJJc6bMTl48thBKNi0bDjUQRsEL5t3NTYWdBDuM7KBlIewfe6M8VLAFNmCgGA1WSa49
1rqO8trNOipmAYk47XCH6EHNq9nYZUwU08zscTvIrORaoE438vRpHj6usxLHguVFxuubSV5kGJ9F
3+uvI9LSdjFEBbNvMbMkal7MCGrQYcKse6cSxznIXoxrF+L0npAHJPQwsQEoZJ4khqLpIDwsGFFM
d7rEJkdQSIqnwOd/PAqtCkC0o/i/bBstJmc4EbexRa9mgQLP39VGLLYRw/Y9GSAS2CBdKu7oxgnB
oiKKD6+NicHAso2yB3OAqI+nOV9PZahtG7toFM2v0fw2go6EC59XD1ZnAVFJIu0CJ+VtS6zaoiCE
ipgR7adbMe83RP7VarFIElTvX3IbyYo2GDunHdRq47qqXxfI87e+j58wpy65AAqhwIZUurOmQgwx
MNo0TMPx1kSjvkxqmX2H1/cdL8jNYNbWxhz6bK7bqj0RLebCmaLHvginpXK1YMduteVBdEsk1/kq
wN+NP9L9quXQ0IimLHBt1hVj8z4IiL7BiKa7Dd5ruxTr1Cm5X+KABFWVKQU7NtbR0r8qaeQT/B7k
axmlEH8Kq2sJp4zDb0Hb2Tu0VCAgxnbo1oM7FQ8lvDR6KoHOlDQzw4swluVtnidMhoOEIAZzzAho
KTFpdg7kEAN8wip1y2TfduN0MCMv2Yo0bHcamcLDqggqwXhJTbdxINVDGZCwjDPcwRc6KMDOk5Tr
wVH+0ldhuE29Kd50VcKRXE+jA/FvNMyMpnr11JRdGJ5m4fdJbY9ud0HoANbBdkiSizp/pbw3/hpk
7l4ZXtvoS2XaxV1XxXDcyYPoaVsy8UMw4W1jLaw3jYtV3swyHVUG2Uc0IhW/4ooInFcRiqpfduE0
3gijie9yuyk2bTSqv6SivkJVEJrXI/BGGoehc2CEnj+jFNNBV+et9aTPX0hpQGPXQzckKDtvL8LI
FVchMopnAs7s3dBU/SG1g+6i18bkeyNiLOghM68FafD+beeU2Y+sdvRlJw3xgsmuIN2IcLqDAff3
UjXYrCQcOUwwXS4469bke45aI75YuZOt8X0b+JuIFroutPFn0jnuV7NwcszekwsMOp02QDziZdyR
9UyNN2GxCzOcvK02kEw7KnayOI13cdmlC8ZzOj8vX9vDyKkCvJA1kXhK064upxVpPo9ail8xb6Bm
sssvaNwgFvOYPiZG+aysGOymxO+Dm9ipSBWjMt4Sk5A9FklWXDZTau6VwtlLPZ/hm2ccl5Ruq+2s
uteyHcclqf0cmxSSQE9evMEk/6nRqpxJE2ZXTjH9wtQi/wsumeaSj2J6S6kYvwyGVXyJq6T6Wrbl
4GxLjTChReQzsSLozfbtRZJQ0gitye+EZfT58s27kihJIlGr+vjQme3PoHfxdtLeuUQhkl9YVLbf
8xLpxeg7MNe05HoqOhQ9taWl2wYUxRK3YHGJTKEPweqUzTXu7uA6phhaxCKNawapdgUIQsItUbF5
z/v/A4EheVd807xFS/wRLtpmOnhF3d4mOk0GAXTuaVC1xYeLdFojz/y7GsnWq0VCgkBb9E2Mw8PU
wvnYOPhxVkybjW1cTezspWYtedXSB9jZJEbCDVH3tp7W2dKX4B3CVt9MXdfiGyKnQ3MLsQ1D6Vya
icR8k6iW8FdUILs4NoNXrEno9NkJF4yqSDwMBueRow7fE8g13/zM0Vdl4D2LQfQXemmYW/4tJjC1
qnkQkfjhpK666UjveA0mv9t0CVAEntsYX3ne1G87RUiFR5L6lsTHQdFf4aEgUnp2ulA8Rl1BfGE7
55ODYl30OTXVGEpvY2v2trFC85YzyBMbcnIzlJM8VBX+0aZv5LpMc/+lmAcYqerdnYY+6noOmSDp
SeMUYyqq26G26ex3fX6fE1NIhavdZVnW7Bt3zO78SJO3TqUHxE5K89oIO+uXEeT5soj7cq3aKDj4
edje5PYQXsLqtR9ECfICEeTka+1fcU5GYZjQvGe7XXelRQ5cM+ioEVu5Qy3TLgs4wtuxs9KHhh13
0Q4kk3lep29V2j4GLUT1wdElcqUC8HevvoVe7uziIOSLRSF4YCPVdpnldZeUcg4RKciT6qBKqH+L
/FfbxF0E57Z8tYBC/VW7TYs7PMCM8VrocazTqW/9CwbI8YpuCfOcoDYfW1MbxqXmIf29jlIVmMsi
r6phYamitDdVPkwczUKF7XpU6WOeeTm6sdHbhtFMeaOF9Qge5+cwAJ/RCQjGp2ypgz713x2bU4Od
mtmSoopDUoXTfDKwVWaRZ5COaOw0pCgH3n/7q5PJpwzSAuTzIthRFaYr2h3fazPC4auPPvZ3vq9j
3+/aQb44HEGQWlzaSr+jhpJ0zmgTaa1rfBde2l+IwrbWsrJopCS5ugl8A12B5v8K0cPfErRt3tWD
96sahPYU8Op9MREohiu7Lip8k2rwIfEbzkLL7WJLykGLvqDKV+RpdwtsM9kZ0fHHLihgV8eWHtpb
42PIgyThMO80F82GmFV7Gs24qCxYk9WW83j2R2rquec6Xw0Lhu5Cp8VR8b557Az2QJ3kqN1YBJh3
4WcxY2ZomwZluvq8wzv3of+fNvPvS+FbQppgm7bN1vf+UnotS9qPBjcWusHjEAs+GXFnXOnN2XCO
98r4f1+KeTZGEY8rHvWr8QjpY2pxqVzl7WWSIl+UitAan8W7qIIh2xYdi+vP7880LMOiD2djFDi6
qB35JKkXUb1Di2gvTBglC6lo2XEmFYvPL/Veg//3/fFCM8JwMKgIefQoEzb/qSw1tcvG0EKJxnSe
zc2N94lJRzOl/XFbjgYdxHQKr9p0GM5cf14Vxz8lYgHmN5KMLvMYzzkGogz1JKh3bqbRgGfMuZBV
/+Xzm5xv4vgilsnCRA/NrOg4/2sw+Fw0nql2TUPr1ulDqojAsfzr1NSn3TQy5exab1gXiiL580uf
Wj+WKW1TR/o5m4DeL1WMd4MRmJaamyQjbBK7Ceir0Ah2ND2tFjAYbKwNjb/+/LKnXn1sHNTm/LIm
VOj3l7VqTxZOxGWdKiZyKeu+IMWddoFk1XpEDfwXC9ZijwF56grXOLbBBKrSDTgRXI4J9GNlVlsO
/8R8+o5+Zpf5AFuctxkMmCYCd5uN5lhu7k3TP7+lnNr+e/22Nke//TE0rE0NSREcPTgI0p30l9Cf
m0lkI/0XixYPKi4nYSFK+vDSOFYzwYhDAOEE4s4mifWqDNhiP/8NT+1y/ITz+Ar1nXlMXRawCluR
sfW87QIIuxlFeOOwMERcnvn9Tr2FYnZOEbNgMWKc/yq/Df6Soc1nkyQbal+RCNwX36RbnHGmnbvG
0aYW2Y0p+VCrnWE2V5NUW+Fmd58/sZOLg/WHc4+laGOCe38fnhe7vTIbtSupXa+CVjcPZoE6Zur6
6GuoscOArtBvAsWYhfRMfQ/Y9dyO9vHVwwNnM0Lh/fNoXczP4bdnKZByWLO/ZhegCkTr18hlbyTV
ZarFECFKL199ftMfnyvXI7TGo46C0X387lUcq9yxtFAY4n0hdmu8c0LDOVNKfFyLFjN027Bp7eKz
Pg79QDnaTCpJq13UkE9Rl8QQwJq7dGJmGZ/fzokrcRMunhIiU0njOVomXh1F0zi6xY6tDZqFVl9Y
o/NYqvjp8+uc+JnInsJizm/FziXmjfu3n0mWWWJ5yil2U6SvVfqiEX8VJ/kM4jgTw2N+/MZa7y51
9I2lRyVnoh8Iyc6jcZ+LYJH1Dil5g9eB6uzy6ctoU4/h0vPVqhJ093UFq0ByZCUpwmzWMdPfLabA
mgEdDnEGR4BAbDcuD401ACDrw+nKR8R8T8KcBUSIaRHnqobMvyZuDk6XDtd90dLBHuE5L2mzEZUt
o+nMjc6m3aPvLF9w5noowHDPEpz2/pkSGKZZXt7yTOuwefayXL82Ovd+lDJ6yabWOaChZn6aQqhA
JLlxkpGeySD3El5kZDOZNaoyATL1JfM5GDUyBP+W3Ze9S8AbjSUSkqp1nfT0GyPLATsaW/B5+gJ2
R2c6By3WiMwQhUAcNfWrpoHdynXiFS085zIRaBnihPjbgf165QU90RvBsBLcocfTMgkf9qZaf3Vm
4McfrzX0WgYKDr5ZlPxHa80nfIbqY+S5xFp92RkeiuUuH3ZBrICnDb7V7z6/4MeCxwKhgKlZQI+a
0wje/xCw6rquL7Ni57kNVs6oyNYVsbyX0iqbre8GzWVI6/URL+K5wJ4Try/VnC4xOqNZAePw/soE
wHRa2Mp8R5tr/NqRKPmtYt7zCMA8/vnHN4nAg92IXgf/OS4dmYty3hxJBiKjiqkIoD9Fu7aFJoTd
ZI8ALHKXNQP2EUEoTfvPL37iPmfLLIZpWCgeOpP39+kQ00PbKSfEjoDNbdXnj8HMAEf8rv64DMBz
yPvkoDAinOrY10wPqA4ACqc7UJTPI7meK9NFGq1Sy/rjZUq5gWAKYRSnjw8c8bIuCmL12hRdQduv
Jknj1Ypv+t6WGxpPP/70AQo8cMis8U4zRT7+bAVRWuYirbgt7GY7rRzzghkiM506tZJzSQcfN3su
RmlDaWAz0D7+fFVoQ0KJGHA3aeIxtLRnsKU/4sF6BBRzpgaZ3+X3Zw0uxbFUcmt8Xo5NxbiAopEc
3GQHrnZt0Sv1CjtdOGk3LaaZ8pia56rR01ckFwYZ2/zSHX9eROm4gKqTXWV0B7SyLwVaYkslFZ4L
mS7C1jxj6P249oVO4Q1rnKqDKx694zYpHFCZnWSnte1hTLudEMlNJPUzl/lY2MyX4WiIYZrq47ih
gJKbwCn+1btOM2dQOJHx5cAX8fN1+HGr5CroRg12ZnyFx75eyIlDjuci2SmLjhadHlhD7S8nl3dx
1TBQd6elhcnp84secQPmYzdXZePAck8a1QcOvp9NkOFCmgmePdIFT9FiL/MyAT/mMaWfMOEtMA6D
nwOkitvRmTysa7XubJuhCvZQUNJNT1k0jXZ1D6AJ6nxZUhzMZUE1w+mQxckvngn8H1KsfeZvf/KH
IRCCFYc7BxDO+70PSUKYMtlId3Sn83U8evFBG+hzfv6MTq4ydJW0lIAKfSg5M1HxGQmKdJc3Dtn0
RbfTE4TNTnOuajnxwsIeoLZlH5KcYd/fje2kFvG3ORvRUFoIWfxwP0h92Hx+N6d2IEkJ4JLGJGl2
fHhmujkErZYgHoJ02Dl8pgDDwlqr01c4bn9eRXNmRCbKJ2POzjk+oeJokCRL84qOif9jfnYqkneZ
8p8/v6tTL4/L2+4gyeVgcJw8MdRJbkwFL08a2e5tMhqM2Hz7B8OWYqMC2/3epySv0C38B5Xz/5tI
9Pb+oIgFu8HH9+Ohh9apHlqiS/AimjdNrkHWCzZl/ISB4oHt+syH8dSC59hjsthn9NTx0wSSj4QU
pPWuDMpkm0nbuetNaL2fP8wjxMDfmwIP0TH5HFnInI/2Va/F8mTTct+5ba8/RaFebDQUxws/trqU
2ZzTf4kNt1i2RdPdVGOeXNupY23BRFnrCbgpg+W4XBkV7HG4fegx2jY+d7o1Tn1tXGdm4+j86tQ/
718X5de63WcZX5tBMCZoqhej8YolqrJ6HznuczvQnXDKkCFGbkVPSd/Ve98rvoUoOiY5U3n7TOzp
InkLOWrlwgu5j88f5Il3jZk2JajjWDDnjz+IqcPfIRoot/t8+lFORrPRS8SUfop+ZXz5/FonHofx
pjG250YtVff7x2GSSqAL/II7Iqh/6DQcVpmtv9Rjmu8cj5BAWuXNmQrjxEtnGEzsqGj4Yn0osTuV
joSAF9xebH8No4CUBuiWzDHwL+ARrL5Uqq9WqDG63Z/fq2HQxaQjRYF4vFMKzUNu6NbFjrPaNexX
RVc6vaMbH0A8Dp6wWARnat9TvyQlG20A0+D0exyUxbsCHFhUxU7TA0xTRocqIbeaux5D3S6THKQ/
v8MT3xxukBoKLgz92rc39LemAImVIowKHu3QBUwuhMIRVhXVykIR+99cyptZdZKCkRin9wundETU
ZDlHNMMr8lvsY1B8nUZeRK1hnNm+Tq1RgBksT8G28qH93SGJyyc6A7s6ax9Je/hp29VjWvP7RUF1
50KQ+OPDERsYpgtgQqZJhTiv4N8eozEwazPriRxlc0Lj5/T3qlWrkj7AmQud2JhpqcMLhGZDppg3
/56/XaicoLjqPkfANLCfg2HYulP1eGZJWPw7jgr6d9c43pW1OInFHECLoN9YiCgqD7Vd2/dmCxXD
T2HTRQGGOLtX5Wr23n4peuUgFmJW27oqofnXoobMIya9YkABZxnGugfKu4usRh0mIcI70wuGZT5C
7vRLPd9mEA9wmrvjEhmsvw9tlyGFjmHONuaUm5jx/f3kZYitcoOchSKr1VbvKt/jADUEN3GqUx0W
MzQ8idRNCNhpa6h63KeAhK87K8yuOk11Owgnj5js6iVPONlk9IrUIkQouEOcmC2KfirXfhvaiIWT
/rIQVkT6TdxuPn+8p9YmX3HHYJ1Yc3rl+1+QSIyqGSVrE5nwSzU0L1iAb4SlbaysALbcF//Fa0fN
TbFH+/4j88kOx7yyAmK3myqce07XvZns+yY/U7x+bPnNSZgMtqhNaNN5R7dFEEVoqcHLd4jI78oy
UmgG3e9V8oUh9BWClGVrm98ClZ85Mlmnr0uXlifK4fq4IPNK4pHK3qYnUozT13DQcQkpod1hdNHT
NZoZzjiVncGpT7pqlWIQZrids5FXZrcHM7Kw417bW3qrbYxG5EsfYSgLrtwy72SC7cWvttFxUMep
uSSqJFh5jSHpvTjTCrjAg5nAd3cnu1pAxBWwQiawrTF/HyIByp94PuA8uum0JQ+r2uDo4v/HOLoM
IUCuHZj2T5Vln/spTu3pkmBS+Ci0GSxjfmS/7RGRXttZnpBXTbDUyHRpMfb6NjGa7szKOrUX/Xad
48KoK7ssLYhD2rl2quN4ly2QmnD9+ety6oMIqI3Tqsm87QOVSK/Mkoh6RWp8W7jLcUbZ6uZzkYRo
6uvxjOns5MXoV3Jm8XC3HZe9UrEZ5SnvihbKjJPotCUFZoMCFC11cw7fd2ojkLT9+Vpg2ftQ/Kaw
XWSMimqnYnVn1o5ckqDxXKTqZxOhWQjlmSdpnFoX88ybAywSAtiB79fFVJcpz5c6LR5SUiYm0zi4
k+r3Jr148BjgK0RZQQIvPes+0v1wNwaYGoIiyq/cwE02XiHGLw6WIOwZfkCU0ee/9Mm/HhsibST6
t97xxtgPfq0lIWVOX5U/LS94Cs3uIbXQkfwX13FcToocf2fL3PvHUHfaCGtBkokNOYVuTvOSj1q/
Klp15kN6qmydI09pscz/5Ry9h1bv4eBAe7lr8IyENRLXPr9ThX2IXeMmLarHLPXONCpOLeDfLnlc
sMaTSNHo6dlO64dt0BY/PZEibpcHVXRnzhzWqfU7BzTTiwZ/RC/p/XNseleU0+BkbDPm+K0Jy19k
xcklESnukvZtsJy58cuMHXkdVbPXQDNmZaZC9EfkzbOgqfLsV6QdtSaOBVxt+IzCRj0Ek0csbJ6m
y8yv3c3g9O6Ta7NrEnRUI5jS6mE1JXNrszB/6b2JnQVO/lDq3+KivUaKU64bSr7I7fpFNlrRus1G
86FEdM3H3rTPrKZTT8Gbnbq0OFi3xwPYNC3rOsefsJtA/k7NZCwaXTzbpX1Bz/S5icb+zAVP/cSz
MwuhjEOz9fixlzEgNWg/2S6qYNF3ZavKzRu13gIeRfL8rEn//IV5004cFYQoZkxukNeFY+bRLx1o
Y8qUNM12MpvgMvetfBCh0S1za7QvwiJNn8jJgk8vUE6+2QXcEER/1k6EFiHp22o9kWtnHsOJ506x
MVugiRrnOHFUcXtydMnHsNJdAvBgHapRXuUhZeMYF/VzDINkhy7y9cyD+DjuE6gS6PrMuzb4BfP9
koeoMJV+xxtdTz5SVisQGwSp1qb2IYmQxWstWCkoJ23i8QIVLkdmMjgvxLmIWuvEXjn7wpFjzJhJ
cdze15FGyKyJMnzLscVoZPY1RBaRCGirc/uCJ+Psmxg1MhYrAFMpTWRDy5ijkjPR3fZWr2/G0SeG
QMy5482kf6Uszrdhz5LCMZVsEPXZWyT5P0fE2GzZ3VrIOFyjFRYrpeUz1a9y1kPYOis3uDCLxHpI
rHy44bXFhDbyIjyHbusdUt35Sycs6szB/NT9MwHDg+7ME/rjxhHttjitG4v7T5PhgfhKtKhyiJ4j
Qws3n//opy6F8BqtAW50PhtHX02GTuRUz58lwinDVVm5s5tvKBOgm2nw/Pm13n634zdt7v5CKKfL
iIzx/QLLNZm2EGo4HHSEtCwaBsaYvSZhbP2y6MjeTI0Lo9D922Yw+2vT1II7s9HIs7DSclvmxHy8
/YX+B99wBt9gCsZZv/12q5fm5X/9zJuoGa9fsp//53/fqJ/Bezj3P//Ib3BuAbQRnL/HgYhO6n/4
DfSS/mWTsMwQF34CVSZ1wb8BDvJfb/vszDxwdFjcLMZ/E7qNGevP/vsf5v+fABwQ5LGSfltpzGLo
ZTL2ZDhoER18/BlJ6pZDbutF0HbBlnpL3vGhWiiAljfYJYS4E7JiUytSnUxN32fR2ou+i+Qy8bui
JyCGs225cMAJL+omShrrPiSPJx2ebbfTEn0pE4VtsctpWE+53t+SkKb/wDLS0znAkMakWhkh6CKz
NQoCsIqQ7N4Oe4MgdC2s4kMW58YvK8iJOvLqyn3VTMgug8QI7gCVZToSTMuBOcm9zUx8S4rMtLK8
VL9JkqiYv0yybRfAn7JkMaWlsheTJTSKV+3VHWRIy1KLSRjznGt0/6SXIzG/hEgc7Z3Obr/1MQm1
Qi+9OaNMhvfKcZMQ2Msw3nbIyr1VafaZWlsldwySZgI2VFdpuUJ5H15UfrIJuihYNoxaX6O+a77U
nQzja9scNFwfpXMTYeIj5SkawmiZYttfYu8OCVL0kMdwvKFoeHBsvJYrfonxqz8W+ULTUc4sxsEP
Hhgf0vioi9FP+MCE3T6SfnhBY2j4Sq/GsLdSDPqbsX7tSXb1pW7EmbGh1YZVB4lk+TyqgeN5UMUc
XR2E5VqdY04Ah4moPvMn98ZNepzrVipYEjEeMVh9Q1hPq9iua7WSqTP+1bSEPt1yJ6a+NJMuG1Ze
Gg6rSG+BWeqQqjItDn85KuXjjG9pV0ei3fSBJVcEprartgidu2oSA0BMWqkrE+znXSIzdRgLUldx
jxt3mu3167wjzc0X5GjNNiP5Y0YbrQZemms6qBPwtL/ZowFGOwOFvVZeijc8qf43q5TzeQ+51LPB
57lrHgSpnlkX5uWtSKqw2E95BGdVt+DeYoxxI6kWbVaLy95n0ANbLef0BtnUEJaA+MTTu2uJ3woR
33fOQ1bmKP8dIKglgUTg2hZg/vQVRikaZeoNJWsNw+x3IVq1OMTwM8D3lQGBOZUzAjJIHSznKWYJ
7bIDSVovfXcormvNjS67mXIr/bx/Mf/m384o3LHMs3E/vHFy68KkjQGHV+eghmsV6Ysu8N41ZEUa
y/4NvaurzNnkQRTdMh0wYLoR6xQvCuXjXSflwgHWVY4R+EQqZ1BkYJ26y4kMwWplasJaFiG/5opj
fmcs9TdaUPxGDsKRPicn4+B3rjBm9tfpDBxCZNWuwoBeEytOYMOLZ0BRqjnRtQZSGOfKG8ZoHk2r
VTbTjcyZc0RedxUchF7fT0MTY15tte/aGzSpfgMouXY82tdNYdXThhZW1myCdiy+DoBasenNZKYJ
CEexFX6piHPSxQxbo0JpduxE44OoCATeU0zNhNA0NSXZnyG4Qif2ofwVpfqFWvaLjTnq0orsGnJa
ggdz1yd4yvbKH6HSlppxYUFkRpMVm3eEx/I++gKa5Tp+64O29Jww7cfbabDcQ4wsOMFkqA3D5WDA
A3MsmtErrpRsXdeHh2IEMNQifqsCpMEUr0wSdO/Qg+jdxmqJbZRebF4UEv6d5QKxWmtRiXNYhIPx
WE4iWulWavI7JyKIX1XlxC+x3mhfYGd2f9X60Km1KoTgXRMDlqaYdN3MkFqzV6AbloSx4aWSYR2o
C/6AYHzJMS1dEFdHRO8CEXEWHsgwsbGagL21iR2Lx1R0q6FFnGbWUgcfJ1VgzYnkHcJ5ZdG1bLIe
JyqAtlZcFTn2MswdfvpogLh76vrpWbCEMePWMyjQy3VzJ4He3kk7MlZB44+rxgyrPdMjMhVzSMnr
VLPR/hZDP9znfi2uSW9rgRgrJzOuelVgsm4mGW/dqrC+Vs3wlUY4HrAGgZ+xMiI/dZdQUpp60Xbx
0F5lM/luGo36PosLODTwSofgzhg6n7huzGXjBNwCsItjx5BJ/cA/VDW7xrWA6ft3Mfk/9dS5eor2
M4el/6CZPtRTV1HNnq2i34lYTMDmf+ifisolvYToBAZjTBDnwugfHJZn/wsaFYfTdyQs/V+SuZbU
0VEwM6SS+k8hZUlSUNAp0VI0iEhiuv0nhRSKqqNCyqODxLiEw4FrMR/Wj0p2hcyvaqsgBG4wV1Bp
GsiuWWBLBQxUStH9pQeZc63ZdnFP7Hx+PXHGWlRupuNW99p4bTgzVQZ4wbhWuLBvQhdSJB7VnKA0
R20HL7IOTd4SZAoiuVrZ7uBai8KHAL7w+UxvYKGEF13aF5d6QDm6KMz0sgxVcutAvN1muhdufcd3
gBalAqhHpmHJahO5naJQ7RPmZ1dtTfDuhIJVWwI5YCaS9a55MbJXPkctBuClk5nxEsxgsLTCtsME
bJKZmRf+PZ1ZCpmIZtO+nfkbU/HiJCni1YRM6IUa3GbNHwjWfSeHDWRTedP7gxsAyKVUA9hd6Htj
9MUuwTn4vS9U9cspI+/GinN3X+Df/hkMpl+BIi2N2wjbKo5FS90L3s5DnFBAL0YwktmSqNyfIC71
JSigCWAt2nBwYYG8DvQ8uMBsq33PJWrQhVEW5rU2Vfl+jKqvHV+e+7jnk5CEbvclLJsGsHszZItU
m9Sr8ElVV1qSeMwuBDHbMiAVfcq9adG6+T7VEydamIR/Mq/yEmdpQid4qcahb5em6J9pI5g86Tx9
hUDf7LwpajDIR9H3iayGy0hXN9oU2IdENeVBYdu4KP2UwtV2QCUMbm2uIG6N4UIfW1PxowbJV4gc
FZWyqlr+bbTBNmZtpRejAUNGFZnkRgcvpgHktxAEbQ0wkh5uh4qNuMhF+Jw0UchwLi/REI9DURBu
bEPHAMmPkTskqpK5HgsQtJBor1qBNBjdhW4lgExgk4ZzoAxAJb3GqUtKYQopjE+BN/S/oths1RJi
aM4ALq0ZdhB4cBtJe1iIanQuA0VxbpNZgGnUza5KWAWXJlPBkaTeXmhABEZnpHQqgyffmUy58NpA
vFZDLxBLl7aco6f4UyVtTZpsgbPqwN+sChf465TZ3l3gj1g6UYCXIe7WcOxWUtn4L73ue+5YyV5X
8CeBFGjhqqvbcSvycLjAVYORN/aa/ItXxP5XLSPH7+Dj5InXfIiMH1Wv1+0i1Pv2vpvI3F13Y2L8
1Xipny+DvGpJjskrcnbBPcJdMl4SZalu2Y3NeF/3eHZ3wkoYlSrXQz5gjvXCy6wBR1sThmBbfcN6
sjqd44IeitdWVtQQFE3kJMLRQGcW5O63mEPiFRyA/8vemSzHjWTp+lWu3T3SMA+Lu4k5gsEgGaIo
khsYNQGO2TG64+n7A5V1OyV1Z1rta1ELVYoCATjcz/nPP2jzqCJGl/OY1wS7Z0FckmJajAWy4a7e
hWlVvnlJGn3E4P2zgX/rxm9a5xbBt/7mNa2WrAmrrrbYiFbPWTJ0FpLerMfsqKjalz5guoL/f9ag
DcEZtTTGocTvwovOqa36TdO3D1YHCAUHne+5NZH8akZs27Bo5nUJW2M1jwu5y20ERUo0bGc4Mif8
f4KTZ3akkTlpFvIc3GxfDwPbWou+AZEsDJWxcMXVHpEi18LM1caIcBLdukFrvhB5EOFEzI462mZD
HkVVimwf9E2xmJjKS+7iT47u2emvWJK6PNigzD7lIpOYeVi9A513jocj5sQVNqHG1LyOlNwYDxsg
zjj8JPEKoWN353at8aX2Ajw+8MsY7zHtN9hc5jRa1UYWtSumKSOsJMyP/ElP32SRTi/araxbpxNx
ucVmPCT12dPYMESxI+9SHcXUf3aDQUM6Mcy2jcleW2bzIcm7hpyACCcuvwUZL3K58avg5GJvtBkZ
PGEmTMTemIj4mOVsm7Xlyr0yy8ek8oZ9107xipwQXLe6VjBxN3JdraN+9LfSVPPX2cExdztavmSY
M5SkL6ejjb8n1oyYQxfjcAP72If6AMmjEZ9mI2EUpAP8us1nSlY/t1dp61h9/zzg15LdxSrG/yHK
/Dsrm+LdbBXt1S8L80osVHLPtqj29MXzcUymJ8+tqqsEtr4OVhfbKwIf4qep9fEDMdoQW+ugmk6p
TvKncDGfXXUgwlfcZqp7c1DlPXCI3HUJkd1ACe4lSspuXY+zvc28lsLS4shbq1KLy2BHw06GaPw2
TleWlwyLq+fBzxnekl/Bg8EHkU89gnIMAcA/S4tfn77CvsX0JoZwMvfxBxw1/CPOAhMicSOUOA3H
6TdnNvRdZSQDplCGrDFE0PElqpvmw8waJ4y5ML80Qs5HbJ+8PS4UOCjGcn7NmWPA85KYYSZWoXeZ
izmCsnpkLj20tLz32I8GYc03wKy4AghYYeWU3ctiaFceCQ53cV10LptsHl+nOT7WfmbfYquc4Ac0
uwHf2lDfJ7Se++V5PiK7J/Q1m1GVuUaAW0FrgHmMo7O17QnLu2hOv8a9Kw5CGRM9s1TER3tmr096
DvSDnbfTPtJRdBytoXtq47q8Hy1vPPA9EYSIlAXblyaISl4RKMYKZZK56YmlndaDE8mHCRdJ3Acy
BzcosNlt6gnssGThkh5exrf4G6tjx8EoyGLBWj8Kv5i1iL5YnWNjf4BdwLMYivTVpL8+drXR7Csn
NUIcN9hqWH4ph7RbEIq6KMB2Yszye6h002sTBBNpuZb/YtcCAyWNs1KfLpsmQzZb7Gc4+/O2bW27
/lDp6FnY2MtsR0xEmhsIF8PSv4bEuY/lFL0II84/eBaw0r3fdoiOUUFLY4WbSu6ty8yS5hm6t+Ac
i6zKlCvdp2IJP4l48rU96w+tTDbQlnFTc1I/2IETBeu0wtJxnSXTw2zZdXbTE3hXHobeSJ89RLDi
zfb5xNca7ydv204kpZPC6Cs5+7eWRfuCtUeSg56cWLI2wdjBWPkk58p4fqH2VZ/y3Ki+ZKOyn6J+
CB4tmeBfJMWjrAK9LR2JN7bs4CEOY4k7pLr6xfzCBoiDXfqW9f5LMEzDZ2I0qCDcFtpa5w0vQYT2
2Q/C4l5axRYDBOPMy8GurMWRpsp7+d2ZvRFD9UYufmfSwXhCDKI4tLXuHxwPge+aTJtUrpo2SpLH
0B/abQkF6iGdqXeQAk5eaaz+A0m/A8v/1ELBqmQI9jct1Furi7fq608t1I8f+rOFCkiNBUFe2Pcw
nOCrAQr/y1Q4+oOBOFJY1CIL9Zz+6k9M2on+CGBEkHflLmwSmqn/bqWCPxhvw/iB/+u+I9b/Tiv1
CyLN5WFtL3J1OIIwV34dtFQmHrHECOHFm1jevIpHtzojMdIfS1p14Ervn5x5l8nNXyDw5YKkXZFw
a9Mq/E5y7tEg9Mbs64NSMDBMY8Ruzp/+KXNvmfL/chV2wsVOgdBN2IG/DE97xCOj9FJ10D0GXJOt
5ENeUymKwG22pjEVK4uTfePKzFgKR/XxL2vg/seFfvJRjn4dWi48B2ZJqHNDm3v+lZnFYU4wtw76
Q134hdoppJM7EjNx50S7d1Z22pImg03OHmue0lo1sRNTtjaC4X1nOt6HGpUs7uRxqOFxsROuEguX
rHCe8h27GX8XQzJiDhyapiW3BL9KzC27BdUOtf4O2S2/OlmYb2Ycsg6piy1nHPjyRPchnzG41Pt4
LOktmsTSkPAk47YVHOD5YEoALyYrzaWd0EHgvovJn4N98eR3zRt5IcLEemjU39OOOxqrYnwqhkrv
SfGtzrGFiy5mcSFQKEDpOY1NGNlCNy9WYvKDkyJJpSNZnF7Uj6/RGJTUYF1DUAKPiviIBPDAAo91
XWdP9i63aQYddsqg4Y+6xk8/UHV652EWBFMwQveMsRmWT4FoH8A6yZ0aF98gquxw1fmIVWcs2+HG
lUuAmGhP+WDLh64knB2VqNr7bMBHifJ1azn9+JSZ5fgks9n/wNuxt4g07W1lk1kxcGJ80fXE9xAw
gBdTpT/ipVC/DCTJNSvJCPDgL47PwUSEutNX4M2WIQ5Spvr7hGXbR7PlRzQt0Scfz6BzrIgLwEbO
ehyKmcF5P1VnesPoXJbM1zcksrjZiogZo1z5w2ziilE0245WlUZytLe1tPNr41MsD1aCd4xdt1/c
mD8mOZr1NXkKc3IwaGdXlTvIL6rjcw6NXu99yoBjTZV80QFpCGrIiKbpHDxHtqbfFccGuB4ynZdj
dWoQDmHF+TVBVb7zqcQvLprcdREl47fc1OYKsHehc5omm4ZVvwolxyfKhvk2kiP/lJPqfVMyTqWO
DM/RZDSXmIpp7RvSuzMSc8RlgHvx3QwMMUrL9YjDVbliSjB+s3Kh91rY7l3i8iZi9Mwrt2o0bZLj
EmfUDDzXPGnegiLy1go7oGzTK0NUuH3F8dU3Y/kFPdR8W02p/sjYiGwNHPE22IzkOyOv+q9m5luP
guh2sHPsxSyDZ9slvMdsWB71skSLSo3fdMvdz1hvJSs58yZcImv2NAP6e7uEexVJEJ+KLn+ZSN49
paIt75LwuzlEJhGXNLcpnK3SPqad94r/rXy28VF6SgB0ycYjPXZvY9S3cd3iFdhj/Na7QXNpiMk+
cv2RPDReFB6f/S6WbnPXlI57F/WTdzdoMhYr0TUvg+fXr/iosVoDHFtbO65fHcyNbjIsgj+oUIcN
XqEhZSP4+VsSMgOEscBUJ2qjfPN+c2HKR9DVnXFVDDr6jRLZfAtxuPvUwAy76ronPQd+cLG2egvj
UxKa1v5kikNf2wHWmLESe4w72y/w3ExeU5mThY0Psny2BN6TmNiScUIIrbz0DGRC+xO9mJX7L2Nd
Tf0X0Q7ui8AkLE8OozNXLsr/2SAG2wQCuNVyir0T86vBvWITSo9J+M5HC5/ade0P5DtankLJTjm3
Yx165qq3bdydCK5gaxqqy1BHNgFQWXQi++q+NzvjoTaLq+ENFxd8miY+8B7mFnqjFyjnQoX2gajE
S4nt1saEdnpI7Dk9lnb+sfNcazsU9BaDqz+LsBy27jh8zVO7PBpV8kVTkB3TGYlCZQ3NuS7HaVt4
REPA2eu/Ei0hyensbuhg4h0GGBYGsnm0sXSLVXfgJejqEnFxZ1ff0qKPet3ibOln4cnIQR9FISsQ
tiiWRyBWjDMM5a6x+PJWpcihyZZF8Z2ZRh/SEVcBPt8unbtbXXUViK1dGtFNhqH0LazxCRM1Plhc
SK0bobFOGaIwOc4wvde2NZpH5k3joQzwumx6J9zWk2GvG4d8+LFaXLdNtPO2UZo3kyeiw5BYHwh+
iXbw/bqzVUVOsbV59l+6Zpr8tQdTCjH9zDuEC9OPB9wlg51vTa+AmO156OxiXdnmgK0Aw0XqAkL+
vJg+WsfdF6eehj1hO5x5HODhDnPDEbgMr4Gs8uWVKbuFy2LeMfQdUoUuhMlyFKrX0BvxHHBydVOp
xe2qyPMXjLPqYO0rX+8jMYppjcgq3EReiOBxdB0qRAd5gmWHO3cgxvYI9dVmnsgmgj9v3tgdXRUW
s27RNTf0ilgx26Z9RMbXbZw05avqtkmCDLaCA0jbYnmnxm/Vx3lysnW72OmiizhMxYags/pktf78
1hSmBwG0nB+brKlxiO2ig5q96FgOsb4XuTNvxngAzikbd+3bBQZkfj6uiinJtx1D0Yegg/W8ZOcN
q6TFnNNsQnKMRmj/+NqvJs/RG0J5sufAT3BuNfW0c2ONUWA0GjuJsTbeDeVDYRmc5eQVHIVwlLNC
zL9JjCR6wvjd2heCFe87dXoMRxVvoylmygQZldSnybiWvQovlpxpcMMW10XXi7Deln5bfiOe7IIj
TnCOQAD8tTtNbbIq4ESgG03z26abrSOYIeaDIvXbm2KOnZchC7S7CrwJxwhiWbqbBbUgX83KzG8N
5nbFxkUqqzZL8t1xljJaN6XR7ger8F6mYhACbqLIzm6fdF9KJ/PNW6tzCUJdWSSgei/Y05mYeOUd
ro51hTDSUETrBKk3fq5Jblv3xbTUBY18wAWOUSCuCfUWy2hxY6jFSgKzzCxg+ZXpEUuX9hzJrnbX
rYLLuppqT+CZyYxxnYnau9N2LA4zs+7PdhMaDGwbnS/vxqR/p0TKModzCKkfQHFXnQnb9Nicm/5r
KOKpgb4Pq2tHhCoHTsMu/B1qV4ikxYivxI0u30BOmRDEZhMTFzdQEKWiXMu08e5mHJGvBtgJtyuc
dEfqbY7rJeKEdUmRxyzTV81n1QwILlL0f/jQcjrj1CFPP4ovKQhmwr+UHEQyJcINuUHcn1UuBEel
tb2lDPU/qFxSli0FI17Lo5tvstQujnDJq3OBGfGBmfK0Kcm7W/VtRvgisU7Yv6Zex+FOfJ5xrZJo
eBK2k9wBPeWbyvObSzK//xaRBLlanLZjKZdNeS719544i5WISEo9RlJa92yD1Ven8SFmGQx9OLVJ
cvUTNiJGlfw6iw3yPrWM4SkVJu/OkkYIG6Ns9T4pfX1DMDD3P4zTJlksCmuKrResD8p1p5fyF0Or
l6BXBQ7Z3AJcQ7TApdLf8b4RezXH9bbKRERI8ITJuvZikpQIKCvwMQOn+fsmwvqfeggLnSb9EgO1
36TJrR3ldbKE+SaGLU8Mn4qlHA6qtQSAwiR+Ke8dGW5GXsxrpwkfraaKhz303j81NNYvAzdamB+/
iRNgucLob+kj/yJvGIj8Khuk6gegjS5d44rl3QU+U+Okxw5duxSEacST7RNTkZeLE0jWeXjf9vVr
ElcszMqRp84Z9U01NRKw03XvRiYfHycq7h/z3v9VtfsbdXb5ZRd7MGRoCIZ/M7aDUJgHo+F0B0M4
5mrsKv+DbvjQ4OSkd8bAquMoYoFZIyse/3qMcDinTgQH1m9ZQ90c4A9/+/dv873l/LkldZDquEgO
Qhr332QOCU6WdgTd5ECEqyRCNiKgsAsHeSY6cdy37ZBu2JrnrXYcDp54oILKGprXIF0+U0TITM1c
ecLlh1Qboi2/NqIIHkI/wX+zJxskNtparmTv/ZNgGHrvb900fk/hYsWA8f6iZ/r55XuDgcuExrdL
4Ue61gEBcqQdR3pXa8XuJDALiVIn+D7aejyQ45DsSOZ7wzfoE3bxDvonyiXDm5LNgFnM7dja7su4
BMmJ2clvTLN0Xm3sBxTuZk013mCrHB5j38o3piuIHVB80CVbySGJyP8wrRQfU1VSrxZE0VJAzrtK
OfoGSeW0YUyHqGDZYWzyVK6EOvsfDC/Q38swMfE4rFxGX063JNe5PnXvVBfHYWADW8aiNNIhzFw3
yflLoMCskJaIBGxXl1pdVbN8qLASYU/B+XXjwj55jkqYvq4p4GY7ebO1VdxcclSf52yQ1KAWkEMy
puNTAvCP8Y9nF6+twyD4RNhjMJ5lPCU8JCESjqSuV1svyVNzPTROXGAp7GQDLtpkzRidu+GGKvup
jskQ6aQDVhj4c5Ecc0qaTTwv/0dMQR9vzA79wDoWeBCMSLUZKkNR6jC0dVTDaUxND0kqqzZxnHLH
SRXVW8UmTCyHopQPFIkMhqbIp502MdqjEelCt/tk4oa9xvbYW3eegWF7GTXYSLQ0bmHqNp91NuS7
VpDJN4xUV2Y+sSLnnoYirfzhqRfFa9DSP87Kal5IyXTEptVipKnk2UWLu+5pnhdatJca1zazCeHj
4HjInVHsYywGqnXo9cWx98L6jQDO+s3VFrWhXdj2is823zl92N7TiYZnLU38xCeafr+ouk+Qt7pP
CoPlo6nYjfqlt6vSqFiyNslWd+dCEfxcTMPOmpPySDgAXQsjzBW1U/BQOu3wZFpQE+3Krt88hkB7
POH0TWPRPW/aauYE6Gur+2RnAEoSRuKlDwTuwLHLbtLHVbhxwp7OKHZdPF5rRrLjoTMHYpaUxX/s
zVl+qSvFUynnYkVcRrfyhDsfkHbJk2wkqJyNxmOlouUITUmo3Xk6AAAqbfmMO0d4tgiXfSW/Jjon
VtOehA6qs88cYY8MRu9h/nhr5rbjE+oc2vtJi324IECIZ5pLmYMPBYI2GZ3M/D3kK523IpwJGfQZ
Uqig+dwPPe226SV3VuXisD6liKZc/tHKWArn5bdWJEtbqxBNM0QfpChn7UzF0Vo+VbXs72aeE/EK
WPLqScUMpy0zHKaRkWyHUYCMLM2rUCYNfKpc+QD7lTdTZ5Qi72dxUyWEOYL16Jscpm66FL3gOg6u
yQCr3B3cyJs5IXNEjaBr78sQ41YKCWbG5kENhr51ExAPp9Py4R3xqRyWD/Zoxdon2ICgaLpgsgzE
geFouS6Q3pyH2EczuMADRmLwGHAKCdYAjjz6BcibBaOIvAEQmtL0exvO+nbmc6vWSicUI9OSKBUm
oFdmo/KrbFDlMkDOoyUByGPIH6h7ORB6QNwCrziZzOKoCLpZISUjCDOZ+QTR+QHBxT5xtQkTjHUz
LCGzGUuQbBULmiYRRmvMYUlFykl1oeAxGaj66HyQIYAIkikhn+HgApR5/SS/4F5rwxPt9ccKN/ZV
bLfEcS7gCiZrbGt09PHpHamBTWeuQkoNkm9nwb9U2oA9cmaLcywu/47fvB+SKge7rerUPRqm8Y1k
+aVcDgxeX1FSLMkOze+PpSmALhsXaKiqrfjKbLQ6QwzJN7gmheew7+RzbYGhWd0SDomjRHWecDm6
G106rXVi9mzuBgHp2KjVryqh2GlNEiyngH22nlIeYerJ9otJtBVO0/lgYeFWAuXAdzv0Gd/0sp6Z
27EN46XV3RRdASIZiYCaN2/5cQ5RfbNMeh/TBfWmLllOARq0V1JdS/aJofs6yLh+S604uQuGBtio
XdYPDGYM8sEhC5/biRf06728DUmpJdCyyq/lNIIiwWHc+CiUH9/PBqsHAh7CJL0L2PLBnQBRmcm7
d0FieBwVE7mfkpHjrSQM/HFq9biOSqJ3/JpK2KUdXr+nHzc+kRli4EXiClscNczxM9Fn1Rnic3Es
l3cA9QErbXT4za6dSdgtJ4vdzE3GJz1RJjc5+JxZF/ajURLvG7OPPROY0rzg6hSfwC/89TskOPaA
liGpIyf44dMmU5SfHbtJw6AfeXgSKlZIrShOepqdkg97IQ6BgtYFHwU8y/q1sA0A6gnM2BExrUJP
4ezgw7uxAZe3HPYsnvdtVgU8DZAjfQOrMvlEV6/Js7fLpZ/oFChUSyZwC2jzkRnlfDCgiuj12I08
TJPtLR35jmDYc2r5Y0OP57DWDDO+qgm8zC5UKY7kk8vTBG3pLVi2SjzE7G2bO/kdvFby6HzhgXoR
OeVAZaXtAjLhm2xBp/EJ0re4CWF+JYPhW1DFas/cslhVFHjOWkQ0IU1RN59JMKHkkN1cHIlVpolp
RHpH7tTrOHo8tTkg8doOUz6VMecZ9HCbNtU4yWeqksxdDUoTsoCBPRoAe/DEZSInyWIgSDlR1zEV
pB71ZoQHe9YwAm5zG0j9/Y/vH6ZeuPwrwxraL97EmdpwqBzheap7wtL0rkwzsa+nmg9aUFUmgccm
g/wluXObANUfwbjzbePPdGRToMktzL8P7lz727SjgX0HioOueXUJXrtOSxWglaQla+x52AMkcMew
fYsMu/PQfWHumm7mZRLTA6hsBy/gYnk9hKc+7v+U3v+H7flPo0rH+nv1zOXb9H9e6jb/aVT544f+
Naq0/mCshDdfuOjYf3A7/3tUGTDQchcjmBAz9L/qZxhwYmuGVRu7F8fvou2FVtqn/+//uiYDzgjX
psWu3cPY3Pt3ZpWMQ5u/dlAhAh6qbgSIpoct8q+KSGsEmDHNpD6OIQX5Oq8S786BVnN5V2L+fbv2
61x0uRaGrWiIF6UfeoOfW56xM2EshlZ1DJwJxtuoyTyHi/GkeQJnEOdo+/fX+7W/5nqu6WLaicsP
MuxfNcStgdFmE5pcr7Tga08ms5NVpmbSnUnNOlb9Ek7vqNB6xFHV/gfN9G+yTg+Ha2SNVB4QDxA3
/nyz0jA7VXdtdZzbvv+KYpFw9cIaKeOsWV2Jn4ieYpzH/+GW/4dHDJbAhNQnzvZ3v5i+o0iZwoCS
m1nzPdE0/dcRvhknsWjVfWKScfv3z/i3C/oWi5TLsXqZof5qcZmZhgLNbaMDeeooBEL6FMzxom0Z
OsarE49/xjD/7zjEb8+V6F/afYIncGJDMfuLipEAUHNOYkUQK/nR+Qonl86+m2dJ3xVOLvNODUfp
EhZYDgbwHK9y9KqnqmmCicM9J/QjAe659tomzapFIzWumiYFaleRetZ2+A+rgGTiXz8wwB2Ecu8u
wvjq/EYGIL0sycp+OHgByBf1gO3FN11SwBNLaoCmUlJ1nqw61SRnY8EOeEIc3BXQmbhyM/X9k+hC
YsR1470lTtf6K2oI1hLktPqmnEProgTBPafRBNPeUuQTDG+bPAeZE3C2IROGA95ohY3DjD2Hu8ZT
1sVoA6PdDgHR7o2h1dXqybmLxZLYPrfo7j+HI3oa2KczeVBhLu3spnU8de+zS/ikSo55dAA2Nj4x
7Iziq2zRp6ExyaRToYnTRlKvmPJY1jdWqaIRt4TI1G3PdNJ9IK92OpN3U4g1tF308vASUS8sG0Gr
mVmt1Nipe2PiVI1y2YaMwyRTucwmWb41nSPueChg1MioEPe08d6Ej1+uIwppZHVmRty81Xpv7xnz
dVtYNnTzuHlx0l5dDWlYj14PxCtm4b15YAfVEZaVevHr3h7I6LNq3BtjT10Hl9TzDeGMSO8R6Epo
myJ+srM8J8U8nLy3YuA5Am3w3Frq2yHipc2hjJ7IlPXefMNXV4CpaCsdRgc7XYs+XEfK4JDuxlhd
f6zVNGMOt04dwWBO5Kr7WhDgLkD+uVlwH0wrumks5rWBeVB6wmNalMdcGrLsYRZE4bBlTJl+otyJ
nkJGXIx8mBSqbald1gm8K/ftR9WZNHz8oEvnSLfRU1MA/TD8FawMlTcG6Iyqb1p4ggWUuVrdw7Sg
sRspvcWar7t5gVcCMSKp81kyBGwX8UtK8z9Q8JDJ1Cz3OrmE1IdJTVzC8vxdEkUg4YeI5kiG20Qh
eVtrWUXm5f3v9DHk45JIXPaNOT0Y3OtDGvTjZkqiaDfIjgVM0mi48ft8ajC4IHf2xupGs6EknYZN
LlUYEQQdWK2z6pFXD6u+CM3s0kvKXvL/ytxWHxr0XQxK4loRN1QwNl3FsDhR/BTCMo+T1QcE0yEk
qNJTh/bT2GuoOwAO+AQwG2gq3F9TYmrw70yJ5Drbc6Rf6CSnr6Mmhxl6ZjeL+0kb9vSp4/Gn+66q
xn1np9W0ms0cJSIS0nVt5gJN4ujxnLtHYKh0qxZCfExC1o4BH6MGqY6TI91dE2bOBThmQPYzHWIi
A4iHrtWjXw71Om2IDPQpNC+ul/vrDq/4Z/gUEpNs7a96raw7w0/765TKLln18ei99m4euayvbqL7
jYS6GWkjD25YJ+UKw7sa8LueL2E7JF9lx7bplyI4VcyQLvjHRPFqYHrKFHIqeeHK6OoVXo1Lozz3
XyORUmB3xpCIDYubcXDcK4Se7tgB5QdB/ORUHcpPC1Fan+J0J1r5VllBdsHkynMPcnLYsvFgYtG1
5siS0rnXfU0t/kDRPKgrxxxr2SZaSRx8g/E8XEOx113fvHgYFz4RezKg50zC0lt546iQ3aXxk0qp
LRoXREx3uSpWpEy9qTpMnjLm+jcl3fEj4agZzgozH1akPecYm53YC1wSjmGzZE5FjEM2HKP1o++V
21kA7HXcRrKznDL0SC+azegTJjTWa9kaBmYZqTuER6dsZ2daW02ndk5rwXxkQu98npPR8zERy09F
1MRnOBvJPXhYekzC6BG1rHwq+vZNl+hHWYLWU1dGwyYbeE5oINjnvcYSJ+i79utgxGgbYW2bt000
BR+IhsmDjRino+cMxrhxJmmt+S4DwgjrNtxFlV3dqQFnSvpk+6lMyTGvVYfdzVjSbELvlVCvC3hM
q9KJq0sVGO7nwnL4+w0nVvvRSxmlfY7CSbQrKZu43s0hwbgrJByDu8673DiXhRh4dGXcrObeS56B
zhAJuFVINqNjbjJuaR8AoCHwtePupVYhtUgD4nh2JmGsc2vktcooarcC7jCbhVsk7QWnQn3UcK0u
htIcC2WdlRsEot1XswB1ILqN7Y2gVRaNHFgpHRO5TaIgnGAgQSe9SdLaumC6zF4qfZs9PYMp/DTa
/DZ+D6bXTbyadVFE7IOkvvM7BSH+JqJZNJdpXrEElZNAOSoaUW4SO2e/b8f2oNORfXAkBRKXDA88
K2oKY52FGFSuMg4TyGNBqO6JZuNb8gjk2Aeac7xuubATz+7brHG5AMJimwzSJbo4IE6RpQ9Sld5D
WSI3YWgmVLvDYKIW8ZhOtiDVXytSRpuV5bSsCHuWHiwdzkdSPNmnSywk240GE0DM0nsBFYOmRdn/
+LWsymuLvSS/EfWxYXB8BXCyb2TRtoeRvMf7npHRYxlO0daai0qfbHREFYpDXbrq1vIT+m+zjeqX
yZYNvbaH2HArEAyTLzzOXLJqAUdJL2iKjtPC790a2VGKFypz3NAkYRk0zfVPQ95ljKelpz/ERu29
+KnFxqpbJDRT0ypG4AWCTo4MK3mcghnsAVqJf3Zn3EnZFwPrQ1Eb5qkZUuN730qixoYpIlGFr9ja
CCOInojUZFmERctJLjE3e3RayfGUtMtgug1cAuASJZYnKmveeOHBY2QsEHocmC1bFTwV3ijDZF7T
ULLiio7XaFiSrqG3Z7M1SQNrDLEtQmaUT4St4k7Fc6K0/OA7whg+IA4riHUXU5qk4bXIMWLmqGoi
JgkcjVKLnSZ0NLE+ZiHVcrJXU++t8AVRVyAJbytMFyV8XJRiA6AD3Olrew/VhBoksFOTkMk2vTgg
7GthpHrL/+RGwRI4Fdnc3PL65ZXg0/SYj6nxrIxInIhvjpnVpRw9uMxAvYHioVVg7DDn8LgP6W8q
/LEYgUY3ru7itSydB8KLxcZpE8B7M7E27WyVKOCUPNbAVaukL6wrI5+4BuBFYpeNrVhZORVJ75f5
d0O43i4c6xhlV13CnJZjveELnNAJV98rhHFGoe8i5U5H1jWFwSBNGFiNeeeV6AtGYqt9MHnwZU9u
qY3jD8ofECNwiG4ymU5bxZDTNXv3VtlD9cDb5lyuVHHi5Cv3MKWMFRhQT/atv02i4nbA1m6FI5i+
M3WTfGwMf3hpa9u51CMa2jXzGApIJfdFVJDmNt47pXWl8mMOb5Ca7vlwpRxnRO0GXBtl0PSrYHLj
8IAc+ZsHNyO9MBNL8p3nORNuDFj1LV74xtisDU7gDi4A8dzsRyY7BOcVu2Gf1TeDtI2j72gJgygv
WKRlym6DZp8VOY8LOSDG2ay71/mUifVI2b35+7Zt6ZJ+avuhO9NwYJxhL5zaX9v+ebQzYFqnOTTe
e9E/KkYu7VL4/v11fut+oFvDjwTLoO3HLHVpH/8y4ibStx+yum8OBSIA1GJ4Hz5KhEqwW4j2uvHd
pXV53w7//rq/tf5cFwsr7KnpTH/37KYlL5ysVs1BZYX/1hslKWmdgjQ8MfolH7is9NX3U/ZiOS5V
7t9f/VemNBfHZoeumA+cX+JXL1o0R6Anlo/Nr0cc3GoOW/sxXHbdLOjY7XusqPFWbVrakqXyZsDN
5v7+K/wHsftHxA4U4i9v6zd99uXb+Pb17We87v1H/r/fjfuHyZpBVBD64PsmS/ZPvM5a+Af/Mrix
EV8vJBLfdmnwg8Wb8k+AzgG7Y+Ux2w8BnwD//H8HoCMc8edv1USFtlwGBItu2SYU8udvKO2xP6ja
xrkN4i5gvuB61EaWgRhqLhaPjlJyDDT1ybciaa1qS45bIJJuO+F0tqf/lxRM5mA/E/KbX2okqGg1
1ei4a7uRytsMratRcLrjc5+X7aZPNGOfRttqHY0hKcYNOUQbrGbobIZJW9eBUf9LNcbj3dxGMTGg
hM0Oq3xug3kl43baiZLghwCW3ppOEa+XAFXg3o/4FVdNmqkcBUTtZhtDM29wtQ5wO1dEWR/ADGci
PPPM/Axj+L/YO5PluJGsSz8R0uCYYdbWi5gZpDhJoiRuYMyUiHlyTA48/f95KLOLDFZTreptWS0q
02RKBCbH9XvP+Q5SoGLO8++tb7Q3aeyO5WqaSnVDMj27Gz4MnDt6Uw3VVWnuX9SzdBa8fYNq9t1s
8ad25zaWHgfNty1zrPkiJrwz25TlrIxjwA+sKZQX9OB1i3zkzgoI2AwpAO+XLB9v2mJaodkq+s2U
IHRYRyj099kk/UPJp6JdZ06NmDVVlGH4AvNqYzhS9c0HO7c+903T+0uzmdDq9+0hEi5VchlZse3v
AzLryU+SqbmY5JWWsjLpugbq2vaXEqZrTwrPhdOJeoDWErfMhTOPOK0qZ4J8whJ1TeF09v3IEAwD
qmYXBaROjuo6b0cnjKC0pTJcIYGUJXVTE8SrwXZsL167RpJFN5GYDQAmTNentdv1NlIMRqZ+f0V3
dqRybulI1wcEZyK6tGRSRJvW6Ub94DAUWlTmMrpVJCKu8tJj6nTs+2FoCItiNtLbciW7Dk5GiaDR
mjrxNY4Sy1q+qRQWqfzOvLQvy5WbL0sR/VR2/XfB+9WCx2aZFeM9N1XXPf2VDN2Pvu9erXs//+bf
654X/kE3FZSET6niCzOkZPhnTmH/4RJj6LosZriZXBst07+WQW2cIriPtqzOkeVD/M+cQvxh0e4n
xgJ51s+F9H//r1d93u7s31+5f14vgvynBSlKVCyC0TW/jnnIq0LCnj1020ZzCNLiOUGNtCerGhdx
AIXrxdW5/VkE/epIFi1tmkd4ct5grWkcV86CouYQWAvNP7N5bKparaYoGX5RJvBdOivCWNlp1ENA
92kMB/rPXxRHcW9ECwbFhpzLfFhHg3nTUZQCdF4efvuU0DpasD04nMmxXh9oBLYX1nJpDrREnvMi
f46M9Dnj//+Tw7h60MUdf3OPwHKB3nApuoB/h9swwP/U0axe5yr9Dy4dzypYQWK1mK6cV1gxCAWn
TjijEbjGlTJZLOHWB1eyyn5xUvrr+rpSFoH++AJtZtNMRurrawdVDJtPSA8ymVj02Ivcz7HSm7+H
ZvxlWf62bOVgNkUr+WtoLM8/9YZwa97NujmghkaHzLT7kAVthIE/fTIDBLWpQ/sS0sjvY/858ClB
1Ndc1PPXy5M1gj0E1gfUkfXHgbhuiBhG/kDwpf2L9+vt1oNDodpkVaBC561+fUGXIRtmUu0aIqha
qnKsXNvMMqOPv/8svjyKll++eLe0CXQ08B0djFC5fMjUA47p6ljJ/+zSvTifs5VpysukxrPHA1IM
jExU9rTUyJT+H14v8+2CAeSHeSJUxVDPNfWz+uKkAMm4QVk35aEZrXrTMICBadJQgSxOOW9Dqo2N
CCX0OMyxB5MNxyYrbOBbrVMdsW6S4TAhkdoGxBkBWqlIY9dK9xNADHCB2A1+/jwHjEZjqHAfGr8D
/tYsuuUUIoOFWyKA9ICKQIlo4eCz3YOv2vKOmYL1Jfet+sKNsugRytq8oVRzD0BQsFTMVbinVR5s
cl9RhnTzQM2FLhiRdYv8pe9JohryotrCeq0+wlRxjma4TH+1Eas8kyl+uyc4ChXX5RR0Y7ZO/CCp
t7NTUCnmCa1l+nlrAwrpUxlx0vnYN7s6jJsbvEb1pncxtCK9jKJsJYaCplFr9+HeixDvtCaGHbBH
wcaQDEJKk7NbKKhXJenxa/yTFh5PFhfIf9WWDeOwrlBz7mBE1/16ZER/dKAZ7Wkm15fC7ME9lygy
grA01n5hWl/iZHQvVSyyxzioiwdvQvTadnbzrfVK60vEuYOenGhWN6UzLPwmNv+rxG/Cfm3bM++6
8hz2zdSWxUM3Be4luqDyzjDS/jHi0lwmWdvceEP2bAru6ZB51pcySJ9VN0Ufe2+pLya9NCaMyDQG
CUmnRBGjaTcwDm+zlMEN1bNzwYrer3GvpvsxLmwKSi9FJkOD5ZjGtOFXDl3+69huwpvMi6tnzwjF
tagBIntDQUIAvRIMBafHvuhi57iYUXCVeFwyQACcJnOi9eIk87psm/hTsFicUuyn+WO4KD6x7VRv
IjfRHbd+rJd1vUiv2KcYmRrYL2MTwh+Jxq9J1MCQw1PVBYSL5rTwPESNV6StL1/YhLif6POVz5af
1EfOcd5WGMNWbNLag5OJ8KGm+fXJrmqeH1eabrqWdL5zBlnJWO9gd4RXkhQxmv8Wt6CPVO6ulNUw
yaS9YxDR44UPXSt57RxzMdajwydugdWIIKthk+MWU5M8EGcVs00KquwphOdNC573iHoa23EajsX+
NPqbZDh+XeSS78kb7sn7MKSV7rLGBvyw4C8GXtrFbKk8lYs/l7DpvlsL7xZANwZ8xeR2nynXm29x
5riXp/ZyiVbXpfNt2Ef88ik+Jd1bR/LgHN0kzh/b2KqOADcrNN6dtc5l9oxGKsRa7NlHfojYibic
2ZB1THQSHJbXMUyU7RAXIYgs7tBg8+kbbFa1JEAkyFwg+kjfb8g3SaOSH1UTuocq95D8eom3XDli
+Np087gnCAQaTTjwICxTUB0nJ33ucEqvWqPHJiWKfSjjH/0g/U3SqY9Va+GAHP8ckjk9luBVtkPU
eGAvAv8uGXgp8cOprSbAfBh7GW7jnPecBKdoZTV+/iUQzXJphmoH3rJAWKaaHkAJY4oVPqZ0ZfcF
DzWrorpNCobb1ZAB6KKoxEnEW58PBcqvsYEk2WXzdmHefSinftwL/d1tHM7bKrOnFKblTUB801Oh
uuDOHnsBqX1C8OhE9lENPFFE9EaPA221tVnMNTwcTh8eI69RyXyYyLOB8HNDFnIV005eJ04e3AlP
tmjeiyfXZaGUkvXDI/r2bkkV8j0p503kt+h1mfQEd1GdSwTKxN6vTpXWEEoamGbJ3GjOWMSsod54
E4cGMCgPyAd6nIhi+ishoKMBlbSKw87kCcaLLdPixm76epdMdsBNKJubrtV1dY26oBAND9PU0rZc
lYKJj8/VSaOQkYOHFvS06uKj/9bngfhhTqxWo35GXBOFTR716XXmqnjHXJQp3UQlsTKM3r3OYnfX
4QVZj7W01q69sCL2tVqPi1d/xvEc3iw+8zdl+hKIIbvUgTucIdpjYBHzNfg0NnG0DryqOkb06e+6
gbXHQGOxmUJeegiuXPOwHnZ2RphJXI3ptY3S5s9QDP0lalDq0XoADNsVByCQ7OkTkP5lGBsfepne
2Kk9fjWyrLuZVdJ/iLLlS2raEw5bnPIBY/y9swj3sITpguK9LW8aQ0a3Rf7Nb2W5wSP2XMc67b1P
P/M+P8jRjA8WGZ+wY8t23Zs2ETkzNk0+i/T/PTBXbg1OzOejp/nvF0aaFA9txcoLsDd8MEvUSakJ
7m29cEuZsunawnM6UPncgx17r0nTVzRdh8yXcS7UcEBi4sg9evyVhVp8WvVdmAHGAuhX6ylV0PKI
ZGG5BiAAHWWCIbUK8PuTOSRpAM1ju8gV6Lm0xKvV9iYO0qkFgVxan7vSKo9Ta5fH2u+ZxdcBjkq7
6MDgCrIJCpS6iry9y3myVAlhyGRq9sEr/QmNCIJ7IrnyLDH2TsoE8gjdyGb+bpXRGBxx/moYqTfY
vr2mFpcDNK5Q+s/dnCVQOMe8/NG4eIFFGvsXKvAbeAhzKLWY1DXRRCvW9TnQmPF1j+LqtvL8eCUz
ZwgJPUeCs+1hCTqYuwYBWKYT3WOQmzmmZ1V8nDKbSXHDsIsKAYwfDAd/Ho9VkeWbtDH/dILh0GQZ
OprZRnBOI2VnebxfLBzjnetmxgdhVwZ+eb9UfKutec97agE3zOhiDUXQH6yWwEgIdk954uZbf7Ly
raV96rXfiq9A7tX1wDca+0LMlKlyrMFYh4W9XPO6xn/FhY8pNRedgUpehZSWhnGRKtcMdj6AqRwH
Pcu3E1OdsFtiWqS1GO4GXZM85Jg2sJPM7rh/v8DW4MnXGyOoI6cme+jiCiMK+HUx2i1L7AydWRwQ
z7LeWNP4gYB509fQHVY5SsvrmcELrvyFuiIPZX3JC+9e9naJgVaEv9qovRk16N9DhwClFWzLN0Ir
P7Zi3gF+D9K3h8FE5pyzpk5++lQVw30085l7/wq82RmGOqbJ4kiCepx28dkFcEa3jFE7H0aG4zdV
NER8oJj2VqC+Lw1nri/eP97b2Bt9QB+ZJmQZ236jZ6z0INPxcuJOgxYiFqtEvUk78LUbeDMMOepw
m3cJ9aAbTLenz85ULwyCE2sSO5AExjrKC/epXtpxrzq+6+//Pt1nP38imPNYeqoEmufNprwhrNwI
nCE/JGXpHIexK59ru+WdmmDLmeUqdii2i6LgRUoy0V+PHrWmYLB90wgKbUgPT5Qy1TGwEP7MFjtP
IOPMmYt5cC8dC85JJTOJ6QBZVT/q2W6Pae8Q6xhvW7FxBbhXRh9tRKFPtkcgBMi7ZdwHhvDvwDvw
AYaCTPQaYrTH01exqswwgDCdW78K9RB6F/uqbcC9cqkoEfB66MjOta7xAECDr1d+6MmVW7laO9Mr
omQm2/napr5BPneDYhGj786VADeAev5uOG6oJaDoJFHZ2zymZ48n0WyTR1ZMegjZb+9dNHmXjTP9
ahl407HgKDQqyFNHY8v07mxLOqTDGHlVjULHoXj24NARhuz16xajLRTmvAZtimboGpPO+PX95816
e40pUTCABjrXEhXz2bEBzTmjLCbSnropjnAZYeM2IPw/lgOlcQezi0kz7PWHiglHHs7Mnht32tJh
d4Ha1+iK9HoLqA2EXWDjum0oJ51cHqi/8avhav/eRiLqL4yIoMyfzb//9qt/1a8WQhud3+lXp3+R
fPpUvWpV//xLf7eqA+sP+FOsudC9yKJxPT5Nf7eqQ8Tx4IxC16F5Rn/7paQ++INkUPhRHn5bJn76
Uf1Xq9oLkRW/0Oiftabfa1Wf5+zS2RI2IxXE34RivB16t8qASVJ04rLCm8VEf4zLVB2kS6MAf2jl
MXFK5rK+ynJhTJS8SJXx4ybgDbsQla+fjpUlgGVkujxyM2+ZyU51Cie7jK2W0TnyNN6ttupAXb24
0rdve9/6jXmxaqGm5gcHXFqThcNl2Xj9SQu6Ad2JXOQlughUwUllrF3KtKt59E28Mlog+v4B+TC/
OaRjMnRw8D/Q2OKavT6kkRZ2Ywx1fElX8qrufSNbFyPflj3JnQyjVlruekAUCIIBoVir1oMDNfeA
sgaWL7BY4PaRD+ILdqvPVYFdSB/F6tEzBxUKh21doXFKtAUN1ny/QNevmMPDFpbQYyq+EeAqkQ21
si2XtasGtELxVHGtDQ9JYYFhYUM8g/vUV43WkbUBhwppR8Rb6Ud603Ea8U8gDgOUKxJAb9l3w7Aj
A27+MGtfgRQ2D8Fk8+mVNqXQ7Bjo3Za+EQjd6GOs/ZjQhi1+VEipJyU2JF0UXW0SW58EjstllZ50
A52Eq4CUBS2vN/EzlJUGaks6F2LhcULe5NVWm9yopER0cFI2UvQk6rOE2gbEsDVw5ltZIjpijphI
XJObghTI82ev+Wrhb0uOvex4/uJOS46ZRI/3i6ysTwaYfvWlCYRC0m/1Wv91AuCTdEEigWwCrYmT
OX8p8jCps3fQcs5myPl1Vob/YK1O+nxkl1mi/cR0FGtZaXwGWJl0neWV+5SxhD8MM3uevwXGk2BD
1abeXUKTaVmbXctFSmeHu+A5jLq+JoC7moOzmGW55Tqi5XBTm8uSGgV9DOVi4P84I0Jip2m5lrgk
jq1Ijou+Jb6WfYZtmnP/EOtdQs2kt5IWvQHlF+nthySeljsjMOHg0CBTBw2tCHAip4LcdznzEhYQ
l9hgeP7kb+rRKraasr0pXKiXeIvV/AmQQw8tPWRvVmYRKqSF4MenOOvdDzNI7wdj9MX1NDbFrW3n
8ZNFc+TA5s4J1jA//acqzscvjW1mCg81jyyyT3U7TiMy8iTTNX1ZRDlqPeWhX3Nr9G8Giaz9nZUu
CNfd0eexGaXP5Z3S0pM3Zq/QoXcuQ3Dy6IbWFgsEhCBZbLoGjmH9RceWe5faFAnPczYPiFMap8ye
CfxE3l2atDg8MrHWdcwz0mEpRLheh+IT6DxuT5Ebrbcyool7i08dK8Li1803rgwvl59VvJR5U0Pf
ZczcdF9PGnuqeV4EAyKsAizdaHw5OrhLF+tAgwCqY78/ZvQsIdCjFLDd9jAky6yu7Grg0vv1wFFo
kkFKF7xt4fanSt0PNbdkcNlvEMhiyU9Mmw3jwRj8pb3qLWnI21mB3tkVbE+mz6R+zOHn1DHL/D4a
M3gMUHBamqHIgZdRF5HLrA007Cm5lsqcKDvDMOZCMIOSByIaUBUhh+PtaVofseTpQc6VwY2rtYsD
VZl+KXqJF3OlJq13rpza+pQOBmC5QASJ91UVwWDdZBF+WcShIq//OlmkEi+geAwQBIIcy+NMHUDX
y+wRdTGMg5U7wMGyo6DPv0hWCJFglVhceYO6qfICahsjCrd+EWP1sHJyDFcmj9Oxa33ueV9I3Ff9
YqsvwRC1+Q/XryyLHtSMtGJbmqNl3eCu4MVdWQOYgouosoISMEuN4gkUtE2PwBW6v2+QoQypbsEy
m8bBdUXU2Vd3HCLauOKjTxg3muiyHj7DGjS2gEGSDQ+GFnrGyYVdhBEYwSjNVyVCZgSuYnY3iV+6
Bzo/ns4uzlojpY3OVnPn0ACAul03c1SxyNQXDe6uB63yWNul+WjQ6ln1FX5XcNKEdCSTCg4it+I/
iy7yf6jYjiCJyeqmR1c6TLKdt3kh1Z1X+/Gja4/VtuQjtaHss+8ZulWPAnXazqpM2k1oM9yV2fvy
Fp9HvvabnN2JteTFh7SJi89W1vmr0Oz63WL0tABGRSi0xPXP0Km5wcFRXrl0OLYD5vg7lvXmMQuH
5OPoFLeTb6psL9vO2bVzq1Ymded+TOv0Y9x5xeepdLp4J/sKrhEfsA2o7eVYGGG+wwSWrsZ2Qqtb
+HRv0tGuP/HRab5Wbtkkm2zpql2QmvUXTET60pYAD5jMDdXa8wd1jWvDXsV0YjZx5HfPcLjlpgAh
c7AQ+e8mIBDX6Jx9Z5OYbjVDK6Ic2HTSGmnIlvU+KNpZT7ns+sJPlLWLXXGXRXWzN1UybCTn+BUP
ON0nsHseJptIjNu59Ifrtneij2GTeHujWxBOGkRtGpmBNWkmZfzaSPr2kgV7PpBgO19MhghJo8yn
7dxJue4hdqzbYcY3UnXepzEdl+8movDLMAiXS1nJsNi8X6GctRUoiUgq43+nPT4hG2fbqLYuya4p
cGgj7qGdQhrM2pzAD68ceOCbDAv2ZcRbfnj/qGdD0tNRdUwf9Fhh+fjcXldF6JISP5mQ9ra4nr8B
VWRhaHqLGuP945xt2U/HQQOKk45qT6seXh9nTGpv6EDIHx365KypJprEEzjDVRELxu8fTI98uZx4
FBnevz6Y4B02YorAY1AwPKk14OCkDzDS4TdtiZwXPRLYG9TiJgGX54P0Ng79xlCmd7Q9XKYVIty9
C2CbTmBfX3Y+nbf3T+1t4RwI9iFaB2h60GbPhtoiqHlti9I9njwoPz9BVYLxZ01el/bJpDOX9/1j
6sv1uljn5IhP5aPicPPOi/W5jJ0+lL1zBEthjsieTYofFlS+wJWiq0pbkL+1NsqRfzbpaavffkgZ
BLpcZ5PkGMs1z06aLI7WVAXgnWFI5WGa8N4rnRP1/mm+fRU4CiL40MNqipf37KkpImuqorTzjjF0
h8OcwlM4mTV+/yhsKLFha93Fm36NhxCudQ3O5aS88FImSJbCzPr+Uf7NY0Lwjw2kmd0O282zK5a3
TIcbiHZHK8LKRIQpD8U4w0reIunAltyocfnFlu7t+sWazhrGaaHy47CvX7oqHaN5KjznaNSR91Ug
h2Q8O1KKDESebyugJNbK6xYekfdP9e3KggQayQzibzu03rwRuORQODauBSCYtzuqWSd7rWNfMkwW
7x/q35wiDwfSJmpw1Cvni6UP/JNDlRYICw1NKBGWL9olVji6Aa53cEo/Ne8f9N+dn8cyoxOTaPHZ
Zyv0CFjHJh5PHAviJQ9ViWqChIpk3568bO8f69RFe/2qY672Xcdx/NDXVIDXN7HWY1eT9YRpbQf1
IhOlO61c3yzum3GR1zU2XIYnaHZv8cCwq6DW6q7HFsjkjiakw+aiZmAJBuk78d04n4KlYv4f5F5T
/OKyvH3CIV/ZvtZLoWAS51KzKnWnFLIiT3hJC3udRnBSMmXwvRwzunkYsSjrf3F13q4QiAx5q3Qr
Ep3beR8wLuiXRHzjjkZgUOuSscH+oQc7+T2QBL6cjJM87xkGx3Yo2m+wQvAM2Wmo7tvOwqTVxgPG
VqokYBogsJLffusZDqCc1E4I7t2pj/lCtmO2YL3HgLf+ZNfOTDd7FDHD+q7QQUPM337VxnnzbCIq
1G8DrRweUfi1rx+XNu100T8vx9GJnKcOzFi2mtuKx1Tpfvr7l//fHUxbO2h0A5B482yi5gjNuA3n
o4oZrWcVgGKzC9jluGbDLun9g7251ZwZ5gpHmAD8Wc7O3jrsPaLpInM+YsxhYxmnPU8WLyK7xPcP
ZOnx1atXDjkcYkm+CJyc5ki8voaFnaTKw9pFBSFx4pjs4YY1kTt9/hn/2tJdNpl2wjkxpKUEibhi
R+LbGCUL/RmsW3WfpDl9AmNis8S8EfrX4jPCNg2PVhZdL3tnFrr7MbU5m+OJ6dVtX0GDLX93IfZc
QXlHw5RBHeMj/ca+ePrSCmC1X3bd0VoYYU8MjS7BjaX734dBIB92Bc+AwyiAlt6bARWcSqsfFQwm
iZwYrlHG+bd1G24NSyG2r9Qv+4f66/XiLtHzZz20dHo29RdZEGd3qVpKW7TSdY5eq5wfnmeNR+lE
4cOpIeL5HV2ddincz7VS1i9WOlLPzg/O64VY0+bIeujl2q+vrFOgcUBqkx0FWO5y2ZhZQEztfgbk
aVvrSUXBnxAXc2cz1sybCQNCjVFhrEsPVj8j5rCsbL43T1bDhaQZ7BPS1xsL0gWX1QllJEuvy0Dy
ivTW72ej4r80pe4hRJLEpDoP7PrOxYT+IPXjRWIQ1QOxd6I5jnJuupXlQVJwJ0VrrIuYH1/mNI6Q
cLQj2WNBzBT6g2tqS6iJge8Ov0h2Lb3e2Csn9W7rWRjLvvaxGdDFBpZt+jCciRPCBbfufHcIV4kj
myviO0Fd+2RoQYmcWwJCwZsdgQ+KNWQyl2yrQSQtCPGhTd2e3rc5wk23l0yrqguR0TwaGlGI75MM
cpriRsb7gltEN0MhFie3I0l0MUbZFjkbnAaa3iHGk+TwEwRRtQt/urT+38XnmEd0XsJC1zVtw7uW
VDg9n+mWQ6nORaylrbMkhgwDtqHuG0VOKK6/uqiv8rgd+7sO/U+5QVGkfWKibPL7ekHRspFDL1os
kWjmchOpcex5dX6PDqH7rhiDL3R4MUf8sL1qcD7IVtCi86eC2wyDj7/IqUOcgCW7fGwQNjOqtTLn
atT0ZToaQLJ3ZE/nakd6KYenD0Lnqoeh4e2DcoZTg36R/yLZpRGisMmuLlqVDcZHhSF7gfWhnbih
iXKAFKjCBolSTaPb3wucot0m53FJbtmvghIUsw8TGQWhczGOsvPzDWwxY700FVZiz2IJd5eYJwiS
ARsJy59S/8oZIzFdJND3cMIqgaLmJ1kjaAZC8lTBHnbFeJYuIwIAJT/99BwHqcsDViXIq6+NVPJt
ONUB9Ox5+iAL0mpIPKZwRyi5sEYjGiFkWC1zrZ7DfoluT3CNny04txj4MXaixCcns9ynNEqSaNsN
Hbrsn6+Vp1V7psZ/TT7G8afqZIpmAig+CSUgCNDtpTdvAcxA++q5PEVtoDFpSeFyXa1O98ztrBv+
RJw8jTuFNpKsYT2aEYHzFLm2LiRih4I9qH2EpiLTnVhJex6bENsfJUw68KfPn+8NNBkTelf+lesz
j1jlZqqyHXBhs7tEasRrWjYGk4ZidriwDgkxNgl+VpzedVXLDxEmvZNdU1jdfbWIVj0OyrcNaOW+
m+f3QR2q4YOrCvHJy7LKwWcVpfMPAE48sujFLeduFjhdN8lMbWzz/k1+yfeYMQAh5AntCp4Vh2kO
ylCnt/0vFOY51l5X9nCXV0U6NqDfowjdxpol3M2Ohezo1s+FjZCADtoS0JJA8HYsTVPRaqND3msK
w0JM7fTzi//fOekv5qRUihbVzf99TvrwA+5B1b8ck/79d/4ek/riDwdoBZUgCgDmm9q28y9HD0h7
uFi0lzyECnqC+o+j50QeQy5A0gRuB40X+z9jUosApZAvPMM6PDjsKn/H2HheyrHLFgjZ+YUchDHp
2ac7EOOwpETyHAKKKgzQqLyymMX5xTW5/VkKvHTznBcIuEQohOlvBTolin7J6290NIytZSPJOwxZ
BbtvpJuxCojcfqyoVG5LVp4LZnx8AmsGct/eP7a+X6+qE31wxtC0orhsbMHPThHvS6FsKACH2Amp
UH0Jxn1UgLlK1wQ9TbzaUxyWTbjqqtTedMuc/lAGrd6tJz2bZBU9omHbsu/HoFjbDEKhKJDV0wUZ
g9msgL7dzxIeZxwvZN/60X3pFdPmPzgJzU+jA2NSRXpnV9CUCDvKfgkP7QLlV2F73JVG6Vyk/jR/
boG4rCORM2g18O+vhQl0dwrR07t1rJOT2GTdehUb07pDpmmOqD1DzfAcgxw2awjDMxhRz5bp0O9m
UIpo7DQx8/1zONuiMFim30ipCHKOdq53vh/qHHsY+OyFB6ZbIE8BqgKZkvPer38lQjvb/v48UoC6
ADcXcL7zbrHLbLNsBEc6kZ4BTHDzvKA9yh6sL7jfX22+zl6i0/G0w87RLVzaLfoJfFHcWwLiUGkU
HC9OSf6yLMaMA+KV375+DOmZsGlkPt3Gs/1kSBohLVsjOEi6Ont6nc+NHaaHvPsVLu0kSnpZz3On
GMXirObFw4R9vihkMdsY+CMBQwjgwYsP6jchgG8/ayDVXBINvxIJINK67vN7dDzBFRE5+QaBf3Sf
DNVyyQinvZOYBUEljWCFoedQYI3CXg6x7uLXIE72Kc/mZ2rgal7biwmSNs5gC61OOGPVkPwjAis9
dJTPXyZvSQ/vX82f+6BXZ4k3XPcCfMvXZh7Xf33XImoVJplSHRCeEocd13A946i7IIQ+39UEVawI
CXlWhAVvXEZUMEb87AC0a4B+3vQAkqW8bvJ00uMue0MUqvlFQDG4dsPZefSp8b+ApthKMVkfRVi2
UHGmQlD1EKBsmXlIBDJU6H5EGpDElbWp0B/sMSWLbIwfWc7yg0dqLrWc5R6YRAEo8MLkUDaRtbVj
Lz0YgKuAbqflNgF8t+/sOvgEOyK7oHYvN5VoEyRVcfRXwodnjT41vnCaZbxpCjERgrv4zhVC+GKP
cMzd4mQijsVpgK8NXl2sexHXh1zW+UNPrhIhPUxLy9m4ccNm/j7PpA8HQA219N/eu5GTIcnwEmsN
RdnbGP7i3LmJbX6iLi2/+HGSPzciYZuRm+FMfo9MKMcnoqBXlJ3qqx9UpHKVljxoP8wF4nl1tbSh
d+OBbtn0QVqFK6Zm083QV+2fVYaAg17O1gDMROR3/sPIjeAD43QD7W0abw1fHsvS41d7oqW8Dy/U
aFTXdYRq3lIkM4GiIf7Z8Ku92WRX+npu6iJr1rQ8jBVytY5gEPubmzCtc1RiXsR5WV45EVlnRpH3
VIWluVwLMFCgRMYECDbfl3VWTuS61WFwAazLfpKR191mXKfqojeHcN36nf0pd3ZV0vBEjAxHGf3b
TzVOlh1JS8bGbhRZRCTLyc/V3A3rOlcTt0YRbUt062Gah12S4I6PyBtgbRsvelLyVjMSJ6KQE+u7
jdGfhG/RYANjGoqPZ22AZib8t0AVHuUSvHpPyW3C7rH0DDom4jgLVfyxyuIPkJAfE3KhD0nfm/eR
IDs+k96Xuc+fLKbYmwlUFtNBVCG9GwVwtaS48tUwHSsX6jfJugrPFhl1A2PiVT+a0Yoo0IQlClKW
KKts7UABuTQCnGR5p0AmG0H0zQCYxo+hOZpYOXi03K5rGGQtuBY+Rv6Gz1C+Y5btVZuMHIHNEHvW
XnadcekudX2F0NYkqMad0ax05t2QdkTjVTPDvJVpZc3NUmvYi+hEeznPwrlIwNMchJ1C/q95XTxj
BmazClvGx8MW2lKC4Yvk0aVPIg0wrP6SoxN/zSIxfNcdjK/2KKdjGQQjYJ+wh6DcOFcSFQW2iTxa
w3YYLwbB+2XMOZDvAnGJzRQZPcBFRcbL0m4EZjNG+jDflLGoz85oVjvbtJILbFIgogtyd9B7RKvQ
hk8jvLa6SkGXrioTqI9b86/IN/Jmw46oPYYNIB6vHua94RHq0WoWeZSR3YYjZ6qvzTnGBNBQFIB3
NVdSw8gbqwS4GPPlOKXjWOZAXOQIp54zlkcfncwWFHe+AXEEcb43uy9LODk39KzN6zk1WxBKEd5i
gCk1MXbwTTdhYS6HOcvkX4mPw8SrU59kmr66InRefDJMnQtZA6uCkE91omHstQ7P8eKQeIGoUFiJ
BoH7hQFhfl/EDqkgOkIoN2lhpAzvbw2XfIwiB3FIPAiIdR1+UfcdIXIpjLrFSMxDkSHpyUhNp8tA
+eUVNQmI6I0P82w313ZC2Jivgw3midnyGq8k/KK6IldEwouHVZnchDpD0aVVtD3R84FJxVhfmgjM
trPo9LCw6L7QZQBsLxGj4BEPCRofwT9FhoejjJ3bgo41z9ytHSbujdCBewt9jj2TYmJ3kOusQ5+Y
SWoVOPeRF66oIyVuSp5XQZbgMzXw+JCOxAHaKMeO2UwU+4raxtoLs2z3ZMwg15fkC80cIDkR2FYL
RiR+9py4jwTJabqiZg6SYsY/5fFwL02IhFKzCemJX3boTvb+2NaEWWo7PfWifekqE2g1i4KQg309
nsCHGoEIsxGfZpElu1pDElHufRKRQSet71OgERCr/NS8lVEVjqs8wWgnT9BFLr+f/yWdoE2u2KcC
ZsxmFxyVqoZ51QMM30jbAhMVYp9tWFln+CFkKDvJtfppUzl93v+7Yf3FhtUStHleVEJvyDsf0qr6
0dX908st699/6x9lL+G9gc2eE/2udtu/gO+E/gknYXrBSbz7assa/kHqLeUUXFQ9a/TZovyj7LX/
f2DZgpTb11s6k31cYFK2sRG2WSJOuv8XBbeNjr3sncq8rEyjTlqeYcczNqSORKQsCtVsc8cGvz7b
YyN3ykAIsfWa3v6hVEG+SEnhhTBy7j4AomdPyPuAwUwtheM8iJBxwGbqxJ/ky8SfS0UyRhp77peR
kJMPRBP2t8tE7t4urTNir2vsgR/iiT+ED6bCZm9kSX6QJJxf+jCuD/iv7wq2HX8a8MrmS+STiiRJ
z+qvxowgw892Hg3+Vbe0C9k4hTcNGJtKe/iendTGVqcQc/4Pe2ey3DiSZutXaes90jAPZrd6AZDg
JFKzQooNTFJEAHBM7piBp++PUVXdOdyb2bW4uzbrTXZFBCWCdP+Hc77T6CH5U/G60LeuRbdsrFa3
cF9bwxsOyAlx5EDi7bmwcrIe8L95Mi54to/AeSo3skxcultZJvmzAaouTBFsrlGbC/RAtss56rWN
enTtwTx0Xp/tzFl8K1kkbXNS16NOV7kIR3RoO2HmTwsxAneuQHK7549YZyripCKglDAEamA4dLh5
rW1vaO9zYc8hKNhqInfGY7JJiOJW0TxhMfSzcYOyRjnblb3og6GXznkMEFAa/eAZhyEIFGvqNUhe
1sr3HqXnJE9tDxYauHFvafAspVMSc2EzSvTgHb+OcPq3V854VGCK4T2QY6iGuT66QVOeeumh3B4q
CnV6iQQx87JMp37oUz/SUplxnrnrg6pTO9d3SYqcsDBIbOxbWJRmP3HFTWu9Qe0wZpGdKBH7S5Ls
ASyar3K1SK5ZO219CkqvtIGKTV6+tzXdL19yiET1cwof3NO3A0PhWdtOpEFCrUTMt+jdgTiOusLk
Xjq58Z52hAnw5EojdJwy2FYdbCgl7cuK849LMmEggZP5gNjqwc8Sd0suIS7KoplElF+vABuCUpS5
FCcMyTs/LFfNysPOMQnsXJORYsmHoat5TwW8qcoxD+nQnp3FF+E6gd7Mm4utVliMTrEj0YWLs6jj
mlXKs6Zl9zOOr7DlZeJ0nRkUjcuboU9rjOYtiZNxeUT+1R0UCVdbEu/Ejao0/SAdu4j7RJnHQGNA
WbB/2Xbwj0KglvnRRvsQT7BMT8AI14NOkcwDKs3nYDEZDPkkgRqpF4qsh43cizFuaq/vj1D0xYE1
wkfL+PvY5nZ6UkjpNuta6VsyCXfoPaOOXia2V8n7oxEzClw4SpUWaHSiIovSLPvurOrVm5EJB8jl
oL3o0NntlmhGADvUNsOSUsfMNeanhRpPrI+QiWkNmpzxFfDwyG6FccdPL07CWcCAJSjTDjgShu8k
bywbP7N4c/iy7ZUcYS4w0a3TldBspTB7Oo/KKh8KP79ZjYRFyqCTdbw+5W6/a/QuOHrp9NAFRHms
lbnx9WWbktLYpm4W+aP93Cm185f5LIhLJXlrmONWlv12TNYuTBP7xcXNG0511W2Mqvxe2kTnmPXk
gqHIhsdcq8++MmDU9nTwhKpxCOb+2ZZ4xEU1I30kPCBkMGnf6wTRbqu5rSMvGCc+W7Izap6Hu2NQ
30VaFgx7vy0/V29B1w5G/+hyXB6pk1i3JJa4ZEEviMmwsg3fCuM+zdT9KGjdfH6ptakvs28LkK6c
ZsWQeCC0BNW9lKb9kJvKPTayzyIeGDP4WQZ4e7NXXeuYv5vzj6yvjD0QeXZqOa01kWALaK0kOGKz
srYdx/p9b01wR1c3OBTCe0jc9h7dth5zTPinRmiTF3WF23/hXBk25uglMOitHjCyOYwRRX2/03lQ
sd6oAQmmkz1Y8xyc21lHjq/1DDuqNyKtzAgNKS7lKq4V4XazkF5I9ffQuTWnC75LgEIipq61+PEa
+z2zc2LUMm4HRZ9RGMEuF/1TiW8/Nqs1eZyK6SyZQESz0YtnfBjPDsjosNTG924NXgHBHohMcfkc
D5KM6pKEWHOKu6k9NK7YBaZIeBeVfTGNVO0mv/2sncXZOu3a7fXefJKJV/ABLpDeVVk5nhw16ZfM
sB6GQN6UXfbiFiapXIT16Y29hJy0WzATX+1gQitsO1FxPUul5t/5nbXrwMk/zDw6bMljClbWXf2v
RZIar6Xju9R7Hl81zabv9sYzVt7tqIoji+Q+dpgHn1pigEM1yhydd9BkUbGU/g7n9HrImn7fS3Ec
86TYkR6Tg83WJNpaLeYyo7xOAgyu+Gtpme3B/rQ1nhchT5p/WZgk3WfVNeDIa9W5HGAwLNPYbEmf
zj7k7NrRZA43c664E6by2bDHfU0GbjCuXKwiAG3R9o8jwh38gdXnONf7wF9ehVeU25HfB6V7U0S2
4+WncSHKDZtrbJNjaEap46yX2bFLsulg5W8G1oYnJ3fSeNGsJeyG1HpLmkHCSzeKOtRQE0uo/pxM
Y2XVd6k24iFuWlBzPfeaJIt9vzSQ8gzDkHE9yOHGJCsMW4LJtm3QiRK1tOdMm67XMwGEDY2F5juX
CfLUC+OQ+lZP5TgDmC6Zi4TLKoaHWmj+IeiK9TiP1rM96/JDa0ct3ScVvWXseJMFppUBEVM4uyHN
jXvW3I598Flp452Rebi67al/6Jz6bqo1jY2ndn8FgN8Cl/rStVYLwsNtjmp1v/idXT7BBDyaGm4N
lDbjxiRj8CvHq72f8He/i9Votxh32oM1a+ZWNGO2c4knCn1fFlFV2Pyy3fgWpFAUa93Xzin2mheg
LFMYjJ3/wx2Ilx7QnYdMm8r3xveWR2/ScD4M/ptVODIic957gZiXb7TE1SOgJOKJwDUdAwBqn8Ar
8dZboGpm+/ol4oGJkLhgwp4QbPO95sdLaWW2lfgGO/tj0TXvIQjq8YvVAXdEOn4B4+Jg1efK9oQ0
cHjnrZ2xxW3tUOptecKe3RCANdjUCHV6Nsxyz7SgiAhuJCxoCJoH1PyKGEY/G+7J5vb3q+eqLxpz
/gaU/NMIxyU2gjzIo4Bu9YZk+m+q8D85nUv4Qm6wYek4POfCOLm1FexkAKPCwZW0BdnBBcE2eNOb
5IZlDmkUkdYIE2uAhX3EdNSNMDoAzH233FRwVPZTY8yk7qrPMq2MaJjB899JORqPHJAdDqfBKv3Q
7aes3Nl1ihEAwiSXV6fVbwqt7Sl1Fydm1ZK/XCkUzCb90r8a8Rfrscos4wMFgPth5zXZ02ufBmHC
uEVD57VFqFHEJr0t5hzWE7B8jt6waoR/4cK3zNuERgVQ5lS3tNHkG24qKg8gKPmYZlGVGAhpTi2i
/rioxvQxADzcGmcKragiGrAN1gO2+G/oLt2dIgFqUyHw3A7MvHBTNHBhZycIuSR3PLWjI+yelBbM
3GXTkMtgD1/H3obcscohrGVibRxGDDB6Ffdf0ewzuwafncg+xJhV7i2U8WHWCqgF+rRNWusiMmHh
a3HbXSld/5RnFb63HoFk4QX4orK4HFX70GajvdONj6HMKJgQ8G9FlTwjkwDircxNotkW9B0pN53T
Mh0TCWrjpd56qtyvNZ+7CqRMiBLUiBqtBn1tjxsMMYrjhLAv1hdj2Cl8zmuRfZ2CHqC6CmLd5y0m
6/IZs3ezBfuHlSWvTpMLbUQYPq6vmdIQMxbhvKknuRPL5tA09kOAG2JHLvFnWQ/P2EAcAg/W+76i
TzF7h0QtjHuEQ/cbaZOvYEmnPWvtPMbtqpkvqEQ7QiKq6nnuOzb+puCqWzSGkQZTWYvZs8hQAIem
YMaHnOcZWBEWHoxFUd4k+beiNTbG7K0wWfiUA/oOF92uQnf2k2fPKG/ApNiX1obcNKj6B8Uvc5ys
2xpiJbpBK0we6Yg3r8vitRyq59YW+aa0hzSGzhVsbZtix1S+w2hVlGcGcyZU+KKKWcqpi+snH3rX
ppugmPHzT8V8rxa8e0HnGtFSelQ9BtAFxsqXel6Gi6k3UdWoKVq79rrk15cLxI+jZvg6HJHGirxx
RDEeeNMNMuVvDf0GyeVvpr++p9KF2N8NN7S5C29GgRVkPSR+MW6xUe3K7IfmqyE03E6/MToh9yxP
71Runeo543jMlB+httdjKWlvcX9ZO6sfGVA7BvIKcfJxB1An6CCa/Gcyy6zQytf32Rs+kyH9aJqC
z09j3Q/92WuSZwa8fUg7lX7VNEJTB5u00nyF4255N2vgv4Js3bRB0OwKLkdyCXx5SQjbC7VaN25s
W96LiepM64Qe9cNKVHlBZC1smmaiPNPuyOkefUCm88qVIBJ+XW4ChVZeZvHCWvrAUMn9urTZd6sA
uGAl0xJmltm14WSDqiIdsXorySZotnluVBeuLMIV5sYqKfAaoEZm1tb3U2/2+1Gb1ZUhVewEAPg2
kiaBscza2Tmbk4GvDLUOTY5Uz9PglyhzsvFAVV0cAi+rd3ZQkw2yrOkJnJcbtwzGlnbFAtwEt6TA
iLs614wfTt4NpzXL3aO0fMKDwOceBwLtY2ey2ye7BlgCiPqdHl6ci9qmwU91kpPSMRq7Jr2xkJhE
A5brMxoncufXed5ZBDZsxEi3NHq2FvfI8DZtzqTPqjEp1ZZ9TV2gqbpCHvKuTzfMNjT0mPotbBD8
sFJYWxOG7K2Lr3XvlcuHX6Ebq0wPl2nJO0ZRe66Hst63Yjk47YjPbhov+MUoK7oM52QRfIX7kW+U
72FUrLIxxMNfUwa162Yq+Oe7AEIQ353UnSn36Ppj2ySwo59N0C6IbjJiBA7UjYSAsQ4oy2qMOa4c
1orlwqN36m0Jk00AoaCZ8h8Godk7WmEmLtYs3gg6Cqikbb04c1VzC010C5elC051V/uhLAQhwonn
hENRRRoaLfjLpgLL1V3HzSVLxMJm89ZKEWJ90099ofpj11g/1DqcF3xD4bW3MNf8YnC6b2fScu9E
y2NsCsJcg4JVZFlObFQ0I2TM3RN842unyRZ3uYkbr2iqc+p6L40fdDvqa3KRWLKwuZnj2tB36cS8
g0gIehknW67p9fxTOA1x6vXf10ZifevPC4KzsF0SJFkWJlZFn2VahPOwhw+nPuPXIxvTtboIMyyn
sqMn+6wpMTAX5OxY83Kc+KZGwxVarw89Z6RjtBsKwI/REx9Egh98W93NWIUPOVzmDS3kiSP6RSZj
HdvDvKXV4pOMLC3qxw52DQvbCxhnc+fPE2OUlUsXkRI2Y+MButXBF8N2Hd0iUgocGI3OWn9RtsbY
ZJomPzYRRXF2PphLuvAbjf22cCc6L38CsUE72Gt6uK7sSZgIbIwkn44ZIfGhY9cfdd8E9yLVeJC+
s1OTyjZY5NZnLAB33hoAwZaGCVVaj/vO8UK7bYUbUShrZCJ7S0iDI56qJPvuG+rSreap8N13yzCR
cb33RrUbev9HOy6SNjeHU2WsIiLrZaNEHRlCig1Ulh+yJyml1IqvmdKyrbpq1a6IsMJkQVWuPrOS
VQTppq6ZBWTGStkCakw04q7NOKCjbmjdGV+q7d2SFWoeNWp6iQ+0JPxrpCkf1dLyh7jJcWhXGBal
2tasxdpN1nvhpNyTrIwTcLzIFTNiw5lMjpgpDpaRcnBgfBue4oZe1AB1b213NiCrIET30h7yUqHY
41TrQ8SurQPlOVNIemYq8v5Jg1DUxZWPPTFutWJqIwtN6JX/v/AtrJQ5AMCzA0MRPM175BAnQ/6E
tug3A9qHD4J8vKKHVxd0TCzC/y/z+t335vJefe/+z3UR8ElxwTmX9f/x2/8EE/GPPcF1+v2b/wA3
mPfL/fC9XR6+d0PJX/07DPn6J/+n/+O/ff/5r/zlJN7R/2IS33U5/ydl/ttZ/M+/989ZPLwMHQ8B
9Bjnil3+NWXD+AV1JoIyE6XNP3Rj1n/rxCz9F6IuscIFJqIU13P8f0UnxoD/tzN3xOvs38mLRI9v
BdhtrjP5X83cGQcrp5BdcSCxYz17KcHWpBbz3VgrHFpOzzauVw4bMQAPXEQG6b52OLLSxj7cLM9r
cmUHYlsHdc6xioQkMBaUsEWCLIkpHhqARUOdL4t2NcNO5MN6SnJvGfhuSFZjUCPOgUdw+1UlkJDi
Yc/FZYSH/90TPtJqledr3GZWwD4QT8EDLAEvagURtv40wWa9BnFLK0NuhB3j2DjzVZtSk8XMj+lg
25lq+W4F9RqjIyOtFozjYcHhyoGf2dTU+5LgkqF9NKDdwa2nyiLDhTGv921MkWPEU+BR3epjkubb
akjnlqsm05y3DM1DA6uCsjs7NT06NCucqGmnO2V6Q3YNzprSy8q63Edzshjpw5TqLqaEolJ2mKcV
eDGzY261Yd1pOQfDvv7JlGRv73VuC1nvGF1iwSA21AndJePkSowOBoIx+YT2wJ9kSUlaVOUmyH3A
laQf1bqkt6O3NNsGDRYTYo8ElJB5kf+6DnOvcSpO8xaNtLcb3HXT819XuThpu0KNF4+ysYsKPbX2
JaJ86nAguFMCGbQt7/H/lruqrfQzjp8SAmss29EXrBNd7huqAmUrSQ5AYfKBkZ4OOipvIm0JkvvR
XeZnLrPiVc+IE/DKOossWA2I1wrnu1bP4gGFItTYYFabOtDQzxBqfuj9wHoTDqOTCVntJvfI+syD
uj/aCYQuwygfMvhx9+OMoA9zZupFoPZ2mjG5FAA12rfliSzwsQ21IOg+nGuAd1Vk3mamSz4UKSt7
feqrEyavbttBYohQ7ZRUxCSHE2OY7UgOCT7dtLjKe5JW3I3wH97TkeuXImDRL8Hic0H0wtCOxN7z
txa91u/bjjn1RNjqi2WWT0KT5pvrpjKNTLv4zE3XeHHJDNjYcKpirnT7KkIZGVLP5Dta0/ck6fz3
lenhNpANeXpjlvbvjPi2YkUDbWSTHRZyOo02++gSxGJsjSvIPBdG175FPX2AGOGek8Yz3sjv8S+G
V0+UbVN/CASCQEBNAVV+0z11IGFurclBDGRV1mmCenIBtcBeK5XOPWg74wIZVryqOhNvPNFyN8+D
dRqatdwPdS0vxWqXnzLt3SRK2tQ75q213imnH2lscASCVDDGMJG+R1XRo47WNMbmmjXnZ39prftg
1V3AZXwl9uXcJozv/Tw/1jSftwNDiZuxtfIv6P7JsbaWayJbMebnPivU0wBy7zHPXXkE61GjFsqD
Nyaa4qUd3f7UO02gbRlWi6O+eqsZG1VW3WGyTQ4SGO6uX/UUI0ngx60anR/OCNoTSePyZRZIKRhG
HupCVgfUMGdYGfUGtq4eTj9XWHV6MAN5Whx9YaxpUZzaw7ehntC1F3W517FnhbVDx2QYHbvzvPZi
JBfzZp1d9SETZzjpasrj0gah6Nb2dC8aWs+s8Jd9w6L+Hh/p8jpA2/0EeTPe84YktzPWhS9M4Y1o
tKdqw/ek3zTVLPYTuKIdcWouKOWhKZ5lTgoZj51vizapOPAK+c3S2DqsfsUEYU50azu7s02oVNvf
eQaWPqaTC+kX5piFPu30j9XMWKPoAH74KNPMMHR4knMxnkFS30lmhRezMdNX0+f7vzqBimeLIKaQ
8HL97OaFfg76IrhobM/ul3kkOtDoFpBDjQGGtpxvSzVIZDt8UfEzp5AiGfJWUTL1FK74Ro6yoa1A
FAQ4eLDq86AY13gWRw0TT2BBqORNZRuP7sKCK9J7LYk65S6fwFpm+kXNJyZr6ITYd2B2P9gWslgT
xZG7BHesasyvgrb5UHYOdkTipp6MVnQPqdd7F8xCDLMGfEwIAQv13NVDwLjXW88jxeG7bAbWtIYx
PZR5w0SPb493U08TcjmmbkuEqwU6b+1MRy2txl3SGeMFsY51NEvzCohQ6mWCOnuHoCnZLDbeBCuf
s3tuNvnmBkPz4fe192PBncKyo0c7Af3kGxMIcQ2XZ5YGg3eCA3pa5s7ZeIbeM+zj54wCraNaNwoi
XvWuHN8lKNMSFA8gpMhdNUwFma1ekqHut40HzMN3qhw5kyuKH7WNYaYLRvXFT2vX3drkVX5Yaerv
ajUn58FI/NPo1+Aw57U9ZIHPWLqAqbqY3G9M1Pry0tt6cCv8qjsXxtJvB79jONxoEF17jBHCLphX
lx7d5FgPXxC8Y3WRzHZZ32nsyTtrGu5l2vk3qxYs33VrKIcrx5jrGhJ6eiqnXnvKMsd9gzrI0VOw
YKHu1UR9PbQl6NI1Sba97je37DKtS84OlWMJLnrhl4sRisTxd17PkIzPxJRDPA00wFFoFSP4qf47
SiQZ67n1bg9dc9bS2nn0GUaHyKutm6kPbI7BxbzDbaVHaVKfrw8QVIRl7FZkNeNS55tAKPMMOlcc
UhMIH9LH5q5JTevZ8/txSwYcY1zVOMi4BINETARbzGsmfJG822iNJQ/sM7p7z0ntT2RaZR8avVw3
wzQGj4aDKKBWnRnrGGCegL5nNv2itO+KRJEmZ45zcF+mtbfDZ9hEk27d+AQD8dgrW0fJwIjUdudj
0Jv+FoOS+g5g2OyBqzIKTnrl7Vk+yagjAiiqk6W7k2sp74pFqj24RHM/WwwAVof1yjStwbpLjNb7
Qi1gPs1WIACuOpb3w6+04a3CXhAnhXx1VOltNRHcIwTqiB5q9J66A5g8YNaJeYboBTxa2RLKVpvE
GOIyb5ESYjn7zGVbkWORJ9PRHGZk7VxvC2MkPpo2LY0onLuE2jQ2ci7rwS1swWa59cTGUiv1B2qE
4WKlg6LxbV+Io61ugTjZMkpYF+247+p4BJlJl05rpOWGtyeVlfRMw5u5Fbz8jQLNZeIrGGirBRuD
FAlb5CIwQ7JvjeLglKkR8cmGJNNIdAKtTUYPII+G8nXsQNzQbj24bZuFE/GkB1dfAOAUigVlibOV
D0fgMdpcMyaQhbkrdI4VxC8U0zOVak3woT49jnqZPpNnWz7bJjUgMbarjfBQqVtZ9MFpLVyqldRJ
DsjA0JGkkOvQOjTcYIyMkwOMSKY18HfEUfRILFinGflAiRk0e3q/tPtugdvvAsA92K+RCljKv0lG
FHOITFvyVtnewlezzgxJl0ugGMQGRY70LVXzkazddZtS+L+uTLmF7T4hUZ42g5lfMKMb/Jb2sSo8
42uOyYE5B5JZlSBnCL3KfUU2aR4WFLnhOGUoqQet20prfW+zhdGFdu9LBnpBNrobUiYzRtlsZ5q+
nna6pcHDhiU90yKc8tKotqVIn3ksVjwsCAjoVIeNVVLcaGV+S4Cgde4c+83oWErOYz+EaVGUm6Lw
mQVWJW9MNbELIOU7RB8lQyxm9ZGttcX+zY9RaS9Hlg632UKQq9XCOIr8mdRr3a3b2ADOEa3aDH6t
GKwN0Zn04HYFJQPEK+m11hsJxTODR0QJpJHvgsTxbgn0KiLykTHo8fF7J4pxC/AteQJe5+4lqPkj
A2z9nJEmhZR3siNC7Ljmuiw/5NKD1dP1a4QV24kWeyApq+nTSw14LQ4Ksdxibyk3wi+3+Uoqo6tk
2zMMRGXxK/3Y/8DcA+PRRHTB3g7Yok9/+NvGMEsYH+SDnx9E1dHWabPHemIlYQs0VuE+2nqtPiW1
VM2VjWz1z1/896aS64u7OCquMA9itq5Qy193pSi52ISsMj8Yc9N+rqKtb2ReZpDFg+Lhz1/q9y4P
XsoiNMXCF6o7f6TZ5CihXKh+vJQ0Vb3lO7Igi1/S5vufv84fmM7XF8K9TdKaCUXT/b3Xp2iWBSWK
lx4GydwY6oR9cAdcP2Wd93eYE/D2j0HGVnyxq3fppXTU05pmtxoxXzTX7NXq7Z//SFd30a+tEpgj
UNqRP+Gxm0Cw9Lvef9B7P8OpkGJ3rdezXuHascQVfmiXAeZuPc3aT6j7PGejTf5O0P1fJedfzY8w
8hNn+P+2Hl6+f7TvXfFbIeff/9I/hkeB8wtIcGZEDG/+yWH9h/eQodIvOmwSlJyWE/z0F/7TemgR
nAjWgXROxkc/gxP/S8ep/ysjJDRCv/0YkcToYF6zLcimUCP4wX77ZS2tQdOXJBtvrGoNxuy8Fnia
mBlbthJLfQMt0V5oq4DlZFQjbLjIjCimJ8dv3UO39sljWfnJiiTeMs+tIdxb6gj3Zsazi/IO4z0G
4pLdhGm1CEXWfHi1u6oC7+kpsRnNYIgD7CQXEzQJt0absrQdV3OLOaWLUMlYlz6tHJJmdBXro1/d
FYVe3/XTNDwExGCwW8EI/4IqcDpeqWNDOIN8eqVbg5ipZxpGdyzBD2XmVw+t2dPBF+uhA9fJIs9L
71zlrA+6UbYPVwReTI3k3q5JP2+1yeqP13hi1k9WEZGyM2/tzOaYzpkqPA2IbN49r1JESDQJjcWK
JRrUeXcHiyf7oqpiWCK9EXJjpaMZB5lnPHqOyh6c2RXbUbcJj9T0er5p08m88VX3zGWCzRjVLVIe
e4SRQBzC+lT3QxHpxvxRzDMrWmssUAxpY36j8loU7L6d7iuk1ontPc/wuSxEdfGnMYu1PluPbcVh
FmaLBXxz9L2rA5tNviDh7M4MOrHXyvSWRZGIUcUWiD8dxu54svb61Ew3c1YPN7VmwKc2KtdHLT4t
j7j2hriAEBD1VMS3Phvu/cK5e/aUPt3YXb3sOTutd4Z9zRGtRv8IhrvEiEKpta1NiSCozZCMVtIe
zri39VgZnraBHFffk3tiPfaL3b8hZC5/LNyxT+Y45Bu3mOvbqnO0i5V7wPT0/pX3Si4R515wpzq/
erXafIwpj+pNTVXGmKwAG6I7GvrTdv6mpq67pUaHoEAmZUS0Ajkrgg8ODRsTpk+0i0MbUTuhFdNW
CwgoCcPF1nbr7L7uRhwpbqB6OFTVGlZ6w5YMag2bfft9NEf/9BOhhgZbXuzWSKMBcwiI2BUGaJfO
8WwQs7UdtUDcyBVff5lKf6/Dd/8u6lTc6ZJ6Ky/S9bagdZCEUCTaJ2tejEdJ2hlBqCYXPRk333Cq
c9fj/MqyY15wp8PyFJurCf2VDav+pZ3FfOMGhU5SfDecc086jAilGu9bLV3fVClNh4pLzifp5OlT
QJ936zPObH2Z4p3w6rscSuMDMwVzWzhWT7cwrqxCDKP2rl4XvPoZoNSN2/VeEXZIjUiF993kwO46
YbxitAdnEV0ZImSkNExmNRPU0ybVC8eIvFtqJlR1qvTtOFQEemtSP2OFoGBkWCUjT+X+ltpS3VZp
ld62mW1uXOVaX8u8pPrluz1/6ZKM4IrZH5ZH1y2sNCICQiMXyMj2pFFXx2EdmSdWGpka0agpZ4xr
pn2wQ0Fxoe4hAumi0Z68eEZNL+y52M8iW6mEkySngVur5luJAdMPB7eaz9bqVQuPxsmxp5A8+pKO
HXR9gRk4YRGVzmCSDHKyoXUoMyYEnGhPQkXne7PUjS9tl9RDxLqtlSou3cbR57OBkIa4T6JDKiqH
uB1lWgVROi2unzLyIDHiMWEPuLjPqVfJ/qG3smFEnAoZrT6u0kTRHPU+elC5sYlmnh5bMaf+p50W
SVajPS/1yXmu4Awob+tLBBuxNgy9+LZ4UhoFg1+jbbm4uNz+tw74qzrgytX58zpg+rf9eyWp+ltK
zb8vpw7f/vbvP4k8/D/eu/5v/655+i8u65uffo7rxuifEALzF4fqzqSuu7LwsOf/1zLJpnwgQYKF
CqjIn5um/3Z0mL/AMuCPYxPhs0T5/a9UBr+vrKko+YeuHDc+8j4lyW/rAvbGM9sHkm1BUDP1X12G
0W768qs35f/SpvAr/qaG/fkicJHYY/F7/oFP1zejJiGXrXuGVCqcvW4FcTt6EQPa/i/KZcq0P7yU
zdviObbu6c7v/eAN+XdKpJid5zEHgVvmxck0USWQKYmgC1zWvkLttJtXxw5RlzZ/8fJ/eDvZlWN9
Z/dnGKwHf8+aQr3rO5NrMqippyez8r74TJP+/M28tlW/bgj860s4gelBxONe/X1yPQ7aZdATQ+0d
Y3qaHeulC4wmGkBzhvqqvv/5i0EJ+OPL2fRCjg3VCp6oDkPj110eAUiMqjBO7NmIqCPLEIPUo0Cr
joXDYVyiibd/piPBqr8mJVmogUCABbjJq6IlTYnKKQ89M+WSy8h2OyAWJHlpbMYArcbPRCbOW9KZ
TGXAyq3IbGopKg8IWawPU0w7zuOeeeiVOt/2uvmC9AR6zxIM1QYBr3XJ1BBscCVZGyJv5pdFJO1N
7qZTGlpUWRDWVVA9uQyJvuSL14RB1TLITxvn1unr4sF1UO+MNmI/UNIpGxUQGRzXyeYa7ATAzVEx
lI71wIVyRhkzxlZV/bC98qHJ7U801/e4A6tosv3qKPX5a8oSgJcQ7lZz+DcrzE2bQq5qV6hr3l5t
bJxOTN/bLFAHT2S3Ep/+Jieadmub2IupyNzLjAyW2bGbHM3UevE0IzmKLCdQpEOmn48jgCUtIOqv
yzeLIQQLTJU+9S6GlMGnjAzGFL50ypBlSsY9G7NkKyASn+sOG2WGRCXxseA4bDoLXKdav1yvpjRg
mydwM+Rw1J+UB6Yyoz2JTB/4kYRaj91LGokR13Pbus927WlfsmJsb+sGv87WBy721BjFeCrbfNiz
LKWCbltYVzBFs1NSqfbclLqzNWvMpAx6+IhUStypplkiMdXG9j/ZO5MsuY1s207lTQBcMNToOryO
uo5gByuoEFGXBkM1+r8tmMonUe9LqX42REkkPRwOBwzX7j1nn3FR1n7MSvPZabCeE8E1o2zJLPWm
MhMvSmQu4hJQevKYpR3BYxlRUTHd1G3aeXoAmWlIMkFkl3Gc9nftWve3VS8vY5xSb7Qhh0cHoesR
TYm4ErPtHauaawFlRrbH2j4famznadG7CKIyBIm5b89kqmThnUki1oGkmv5qTYzmVkfkWVItV8we
2y4K29Lc9xOhBI3nUmcy86K6n93s0IeOuqBlSirvmnq3mS/3cWyDtosHXzCsSJh2FCnGAfdlHpOz
U8U6wn66a5fiCW0w+4YxJyYMFe0F/agCljfe7FEl0x2EeXGwtJlagBc8LqgUT24rsVp/uq7NxG1u
qk8vtkosKnoDkdudHXfLu9S2bTD17PaS3LgYtKnbnkNEPiVlE9oyeEz0r/1tZ2onePLpCg8ZCyJZ
xioetymIQ20fD4qhjmJtKU/ieLqYCQaLgNFPkaet55TSMfd+ZWzIY2bTFCt2BtqsbsNmOTPDEpdz
aAeYpjG1N0h92TdAY/D89N2O7ZdQW+ATbYbPtC3eGu2vGM0ujaBMHorGdDbs6Li3s/U8OA2tfm2w
x8s2bGNtuu8CIPDeml8ZskP82MXlFuDYB152XFngiJdNECfjKTYStROGeYdWdD9om39uMA9rwnY6
rKTjMVPwuqdeGH61kXIytq3GBSjmCO9SIwQaDROQ8x7ns/3oum0Y1aJg/F37o7xVRmu/s24Hp0yj
CUyRstXQ9XaaIhJDadWu1/Enz8CO2+WpEUF5yYK00kcLaSRa7luvUQiWhiJMQdxEYDuQjZnpZRLU
h1QjFKrRHKEpJLDsykrU17IKTuVoPRUVw1ArFqgB6Rs7fWDgzTLibaxBDQnEhlijG1YYDr6ynHdl
Ou23XNnjTct2PSTDk3uPJcG7yTQKArhreSKmtT/aAeVxM63Ta8NOeUM1pInKzBoWWA/cQOhN5/x7
yDblRYDzfCT31rmDcOfRAQ5FJEB3gCxxS/vga3iFR2Oe+8SbPyqNtig05EJCuygYGzy7pDQel5Cx
Epu1UvtLZ+z59AV3pYZmKI3PKO0MkgZ755EtY2AcaZ156OH8X3xh01sYyZ7cdhrIEeSB/1jKWRzg
oVW73nIWpL8LAMJCU048sB7IIAhmm5V7dDX0w8sE+V1GknwN3B1Bbdjgl5TTr2EhcG0A44FaYue9
lI82SQWRawqmpsZQWA8OzBFPw0cGhC1f55EcUThG64uEUULMCSbIXINL1CfCRMNMBo01cTTgBP8p
qBOYJ3UB/CTWGBQkA/JEYuF0GjUkJfwRLIiQTscMWjpy8PNR/98i/2+LfFCdv6uK/mTbvv51+p/z
r738dfljhf/5st8qfPsLyUoeqdSO/VtT77cq36XKZ0HzLQrSPyjGHPGFvrmP7UqXcz64n38X+Xbw
RQvHTJM/QYNmAkT+TS73r3r7rwKZ2Bn8VMWFJrMyl1yoAKwZlOifAEZWR9qMrdz+GI4G09a6t+l0
gOMsLkjyIaDZZFT1kLgSeZaZpeo0ZvVwl7bGWB0K9I4FCt4Ryw5jN2aDsSJITiGzsto5iRJ8j9kd
o2MTAW5NokLYscTMxkSIrmCmhN8ofpyt2n3ltn8vBQUHP+px5P58GIpmvZN9+Ni0Cdrkmg3BpvFK
CBBEa8hNT/10pSYtEuNGFvcS5f5maAfzNQSrQNqKkVn3dT0VZ9kjdG1Ifv4xZZk839jhFJuvydND
5moIcR+Tuoyz1wi/S6vHMNE2NuOhsWKAnow5FkyUCOjQRixT6yRD8ppljhiTE/VJ0Ibo8I3vP4Mc
KXn1JEY6IcwNgwP1etiAoVGnFTV0hDmcF0p3kha2K60t9qqwCl/GfO2SqC4D89UHJ3bltWMYuVaI
osfErj5Msj+R2M67C2RzGwxjy15mQ0h8TWMrujJhj6EkyyzKHckGp88DamACmo03pWzm40NeITRS
trjsAwkpY3JF+bwUJZL1MVHita90EV3MDPN5aqTzTdCWxvc1ncJotrv4XKRz+mGwWF63tDAOn8cn
9VFxZfcYEvn1ZCGmrgESrWMEwaqe9mav6gNwsRHPUbtSP3KSZYDggGQprbEbMovHlgDbuVEDOJJL
OJVpSmqMKNYjTabe3qcuIT0He9UQmjzGGVMbTXFeneY09g7UH/zHLJVZYr22qP68vWiXAMsQjJCj
GiquBTxr51xJueXdcWtJ6WY7x8eGT/RR+dyT3vRAttjy2rWpvAwwaz3m4Kj3GBl6b0shagPTUclF
3DnpS75gF2ay4l6wZc2iADUGrraB6n3ElRflK+1Gd7VkfUCyhNbL7fDEYfz2tP90fVvraTkEjgwP
ZWnZ3ycPIyzyq6pqAI4QjbBNrDwr9mFuDul1UTb8rFCVLQQXjFJW5NgMSgk16RufvNakkPdxFS5X
2ToVkc0jZAsdJr6qPOLUCFWbgoMYQrHvy9R+JsGvOFQBhNFN4aHtZ3ScVcGhEKZ8GBrn1R1KLC2u
+VIH80JS7NjRT87xepHRQopLlcTrEElGYvssWPFY+1YbMTNkCBsDX8MQFvR4JcrmVnormcOGjfBy
WVBuZY44qwRSFLr/ZFchhtZOumFnwYI5o3Apyk2B5iWaStd+moXHJrFaGOYTOiY30zypjQMhK6ot
SP0RTb1ir8mEO6sZcD+Z5A9HapIG/jFbXil69zfMEIoL+pLu7eAmeCTTEWGO6UuTmTKZUPkmMEJK
BHinajvNpv86rkZ2FQuR/LL0eU4Th8yuha9+bbXcFMLxhAWqwYG45MBrI5PXvIPBQiRn5ESOHpOm
6h46xOL5bhpFulPpiLvfKOr1Cc2QSW+yS6G4tD3BAm1DDJW7HKzOh6+D/qqBCZC0JtJOssjazVgO
GCbIbsHUVzOdn1goxEaVk7kdPW+5mOK2uUvnVb6EfH4bNOo656e2any59dakPyvEJux/PQ1VnajE
N5UmvW6gBCEHTv0GEnHd9lFfWumjh2iX2UaJMtXqq/xiHPJiicZex4DnFnZP22tlRBr7fEjNpI6m
pSIc1ex2fbZYp4a9wHWzKOORST2Lv7LACoXTnOOeqsuhZSK+9rcwi3EW1+wYG8JW7yyPxu9Weip+
+1xZumKIv4dzVZzLhjuUJDmBv1PfRa3HojVDuXvuJ/hInmGyrI7agLRBeoxgp/Hqw5ywPNMAthxu
h8m6F65+I/Q48xadCkdSjsV6NZnEiG3SyQjra7rAyzWmr2bZNiAtdxIo3lUfCPdHKsd/y6W/LZdo
Zf5ludT0Q/o/0XvflFn9xwkp1Q4v/a1kcr+Aq/F8HGS6CUqK5b8bo4HzxbZ0t9QEHqPFDXQlf1PZ
e194+ECzJFDDtngZr/oX6sa2v/BXibiEgUPVHbr/qDFKs/Dnmkk4Fnp7H5lDAG7f/4lu7hczUsyS
CRoiHPIURKjFyatMoD9ZY8+4Zxhbs4G04qf4WfHbOCcWMfJ0vZWLLrImPCR7Fv2q2DXAQDsmcY3A
390SCGhuzNSWH1UGwJGxrHNCPyKu2SE5p8HBg4aSj64CvlWbUkywa5zIvGYhLSlZGOAGlyQwNm+1
DNq31lyhHgN3ICONVkpwKVK2dgirxTV1Bx73pk48b6MaK2gPVumn/U4Whn7JJ1C7YER2a3VD+Ezl
wBtPrFVgFWUw3yfYc5+rTMz3PY6oUwyNL2bTNftgrq26aJDy902ARcmXHzIwCZisK/DQn6mZov5M
iHPIaiSSHZMA8C4+RgvoA6WhlZADIGzxSO1L3qKGbjeNoY72mNpP6xTMt7UNK17aJhg2nDPiOrF0
8CeKi/j5RwofUYQA3v0wh+nCBFd+5H3GGfiRLCdLwvvizhw3s93z15xZAP1vXPd9SXgdzT4OgP4p
RzvhlL6FoGc95nFKL0/ZHmM/L5z51I7OLwgKG7R8bvLZCRUnDk9Npn3tORh2a7h113Zh5JeovATO
vQzjd5yNJ7sBr076Jq/xP1OJ8OaB/qvmCu0l1zVn+McXWpoJ6N0kg9hvKf0N0wibb/lKpXwlYJ2s
vwkhitjOwNKrLTLSIrszKouP0OAFg7w9pvwayBIGOoxw4iYmksQwZn6iyidyDd3IN8jXhJVXuVAF
dIfghScvvO2yWikWxmn9nsY6T9Ac6/B5Kaf7YZUuLNoUYAPsIlBArLR3eDeod3A2G1ErKuuxdrgA
tReDq7biQi8wbMd7nBr8pDW2+NVPmUFzJFxEDH3JIGWPSyt4GLkaUA/wzYb2ADf3M6iTxAuo8eS4
6ZyvRHLxGRaU7ni0uPUAtg8fqHbg3KNbFNfp1HET+uHMF9y04KoY0yaSOi1v0YnV2AazqAh5Zu1G
LlGPyqRG59yGlCZQk+yTkY8g9gHTcdzZqggbqIp4hg4B5QE0BfOeDfBBsPazw1vWaHVJKdLXyRLO
7ZvSX1FgY8mrXCTCgZD8sKEzAftSzu8QrgG9G8dw1zqifcP5GD9/XsKZQUblUki6DfpmZ4javsUe
GauTrTglkw7A+IwQqVaLsIiUQf5eU28xKoScuAE0uR21ZcAFo5A3XpS1x29/3hKUkNkB9zgnDyQE
X7bJwkH0dfcjcqNzW+jl8EXFozM18bMBcx9Bv8yhoecdTN6SKFfEzc0S7lZ6vpic3Wmkq1rxcUxA
+T/iTrX6gPvBNLnADBsCsyzAX+C1d8TjaA18amICrA3jBJtIPLKop6YMAYpin98Mn/lfDUgZuAdo
wTFJ+zK1b/G1AMM3ermwniZruDVJETmCpzcx4uThpUuY8NaeUjA/c1Pwee0ZNcV+lYtKdzBXuMMo
bXRIpc2KVVnNlN4vcm6vkpzUpWyBP2wv3MtFyPIM7pSUzIogeORTdI9PRUE5kQ8oZ01GKo+D2yrO
IIik+5YLHWgVfoa3woy7Y0hT9hAPKdGpMOCvCaEnQDNI8359kABuneOsWCLtlQ88FwVXlBFafFEl
CI7H2MRweU4aH86WXVdksDLTx3JrwvVVjgU1H4pWfywznVWTkYy1E0QZ2bRYHS5w0jT4Wnup4ask
uGGVroV47BRgf/BHE4rqHoiJlixwvQg5ECxHys3bxI7cw3vUietMp5RWFR1Kmrwt6ZZjqK8cPPvN
cnbynh9v0Wz6SApy5LPU5epGTv9o62sPioHIL0A69UcltDzn85p3LIcXmQOfGc++vv6V72FIyUaS
R9i68zlN/RiBbN0NdyPutRk1t2R96+UQbNmv6OsxXIgUaLsgfMZ6whf5Y0kjmjirtq0/cSmBPO3V
KQ8kcNOO2UqPYsgQt47H3VWWBb1MNXF6bRJIP++4agyc56kmoiGaO7dP958rK0F7wkOKHXTPIsO4
/TwlZFi+uJ/Zu6WjVykxQud00sF9D3U0X6666k6kyorQ33+Ayg1Pfdvqh0Fn6oczVjMk40hir6fV
ZSFDUMAdHLAFFps5xR2V3lhLuhxZfmwYlyLB+5puEmgPkDCbNbyoajmgE/fjmQhdBg3l3ZqjFTEz
dusRUujkmUcpYSkDe6UztD3umkLNrLXck5hVWWIagnUstDx213sfTV09N4noz2E8K3PaLME0U4fY
/aPlBFiO9IMILFL5iBymhZ6jglv0HmbMvTvaGG3YzsClGq5dkyxgvJsJpLgkfcr8zsVUUMdfOxil
htV0l9IM3agf/Mj08StNG1WJypiOw7CcZKpa4EohveFbApybKAyHlxopUct4Ym/QPLltnXGTV/59
bCFXe1m8sjV0ji0OuZMQTcWqmnOHOx57M9tU1rY1W1ocnrXCwZLs9vBhOXnUNlZ1FKJL0k3mtLCe
nMLeF7U1YsXFiWgqfNMuMEBgL/60IEqrGV3sFw9OxDHksuyjBA/wzOlPw4vBdtabYB78s8xDHnPZ
jNxrNsCKVJN4csSI/QCV8U22FsHZt2KuXgH41EuDZpcEeauxrDOxXoWvLkBtIHchOtzeSMOd30un
yZ8Wv3oiCKMrL8tOOnddAdnLGOQURM7ah/tgtMfvcunDb2nAPlZOCNtXLrJdB+hoG7BRBWKUI9ca
u3G7zANMnKCdweE5SMMUUS1XQZ/myxXny/vIh6DerwpZHLpgk3zv6SnUAMMCc97Bj6evcI0Jic79
byjHl/vUXeqtAHOytwufdt7g9ncSRSnlT+3t3Lmaf8mV9WhAHcQsIOVVkKXrHSZGN2p8Ve0JtHUO
cTgyIwwzZ5d08rELFRPV3qMygpbcNVcEmbBEgRMhSD1tdwl1w1lVvThbsjdwlDbyVITKuWxsrByc
tJp2RMfG0KMbBKc22BngdzY5KxYz/Kq4Ra/IfDM4G2shbngILJR8GOnJsvFOJeybuwS6h13b9dEy
ZH9ASEPNugCCm2HYHrHRomInoO1NIhTY0o8Pr9bchWEM7Q2fonlf0Fe7bJZyeLJmy7hcqraElRP4
vA6KhPdtGEtGZrFlMYCa6w5V+dC85lr+jc+rIoA3r6ziEdxqcITpZFybmEQjnrw+zhdnr3woLUQ6
VydgUf67UVSvs6FbJAIiEjvzXu4NYIbwM314vQtmloMZF2nkBgXjxjJLtiujbFCJ6XAaa/ejJZFl
Z+ETjURrlnq1Eqcl7+33uMfbvo0bOb+StUzWqNFTCWZmvV0Ks9gNTPUf444VhZW/r3bMU+loZJZ/
NOVsHwCULVtpMd5xJ5hUlyhCGVu2tspDxUKCIrDbDq55DxWqFBgfyh4uuQ8xI7/PYoEiTOSVUx79
VY7JB4t/sk9zqLhrIFqIOiOcnCSNkQg06DEPoI0NFqY+844B1sFngxFIwGMvtjzaTiLdQktgB5J2
O9/rmyto09k2s4fpufUCEPk4bzewl4r9ug4rvRmT/839bO+h0HqakjngEifeyDHOGcP+EWaEIgj4
lzC0k8ukq65pH8kXDdS7qPrgyitqcGtUAw+VsugtTtIDP8/eBaFo1y2gtrxWmZB66fmdjU6sFiA+
Ow9RldqqmxCOAf/ewJCx45t4CCeqWbQOG2bCTfAWdyWLepznU7uwfC+YHml09ytjsRxntxtZJfzK
TSINc6Kx7prKfgvSiqeuplZ6MK4CO9nTI3Ori87s+X0moiQzmW5FFg8YY9LEXUUNmn4Ga9aTpBDx
RodnU9a15XI2xTrfLxZ5E9SipKB32LPxFFKf/W7H/68BxF+FjoSC5jrhe2ygLZ9t9E+qInQGZdYO
WX6MGxAf26qh1/6yOquSr86yEjXoVCHVSFMzcfQ2gPf+LvDiz0J+sltQTnEgRDZwFFqo8zvL/JR6
olmtITm6cxjAa6llAsc8FLF1LTBxJBSbcXvI7CxNoJTGa00/SsbXST2Ix8BU4hodAlXlPz4tDIJs
IAMefY0/aflrW8W0GZ3kWBuUfjj5ZhSBGdBMKjLQ1fTKqXxURSDX1oBy/vbX7/5ziKY+Gby9p/+h
BCe384/npF78AgveyjlZSrZCOZwARpeyC6qcLyRdXMh99hSAy/dj4yR0+V072FhxM3etdeN4C822
jUlSUnoc9A667ZI6//4ZZT/VCFX/5nT9H1+ii+3B9ZECmyZSbS1q/92XOIZJZthM/sEEjgxowmVW
Esxqgcqid0O3i+q2As06y+4dINpy3w30KjrixR+zZu7vq7r7m/RFoXs+vxdfYc6mBnIAMZAsxFju
pyMy3M5YFXUD0xeGTxsP+dz9QEvqWdLigQNGLh0tBYucURwd9qkd2V/UE7TUg8B5BdRXtnoPxpn9
6+/W/r8OjNxlYmADWuju53f/u1PljyY2vb5Lj61HhAilJnsvHJvT1PszVZEt64cWfI9zWhrK1u1M
gHdxHh1rvFfOCLghHafw2TRpi28QerF/FgPb2M9g6sRZKd+zBFlsGeOzQ0tMr6cOTe5sA94Lpanf
z9B8aAx+/NiUInyY79WquwD10pIEGWdwKZiAzbe6jnvPdEhmvUp6xxt4fOyA/vp0WH+adxKZxqDT
I5qMFuKfkrZTYXTZMvrGwU5d1kCrWYlZC5Te6tQzR8/CH16CHx2Nh9paaZ7MVcphLaAvHubQ42wl
NhyFyF0NnfHu8J+cLH6dYTgl0IDZUtpWq79swE3zpZoUqYZNQgcsQpM9JrsEuNxxXSrenRQ4mjde
saB6CNgQfHx+2P92ov++E62X9b9w6Xx2orfvxc/IddvTL/zNqUNHmeazvmc0Qd0SSEp/79RxPJS5
5Df/JNANseqYHlm/WOD0cJ1H3G/IdfeLRqPbCDRJX9cr7T+Z3Tv+HyWtWkyq3X08SC10rY74WdKK
3KSV3uxbl6tJQsJ6yGSyDCgULXNTLfLKGMhSbCsfh/IYwAnZ0CRf3+ieeej3MnGUhNldxhz7bumM
ap8sXYNaa5VXTVIf095W56Aj8wM7mXfRqNp4ICkSiWedIBHLAqo+p/IeRvYcT3kQDqRYAvA9iLZr
NpXMu8iTcmELt4q9RUsWe/gY24e8Qz3PcYPIdZMjWQ9Xnl31Z0aCjGm6+G5au5tZNlu9xm4cAqOO
nWTuGmDcIUjTOwsHzZIqwm2adB+KRu1W5a2MqrHPo96ulyuIFsluAs3CjuuX1GCU1ZXS2FFaiT1d
qPWAlYG1J7EORu3WL+Ey5jBE9AC1dHbwLG76YnF2rNbAO6yBXqhf0YpwW6ROlcf7VwIB3NI57AlI
LyMWJruHKN1sKyFWmqgWU/lmIUqnbcdjMuQ3/RKaKDSLdYeMn3meFbKOmq29S03Xpr9ruKBn1AyU
p5RndmNXqaD2oy691yEYuyH2D2Gljq2jFYNgCTYLolDGwYkJfsxkHc5RGqXLM/gOBniD/hA4j7eD
suNtuagk6l3DQyClvlUSOew8o0eF0XLRMsmLbGveNau/NzImze7a1VvMoTA+efhuOtc7hrCbB+SD
UVBYSEzX2HhebBoMbCndnaTBurEVQDXLgRyKImQ5WVQxj2BXMVmJYNz6PkALNFYuuByDfcNsOmBi
IAq4QXKYlQfTgl7SLhT5V2jSzkUHjI6mAghK1+62SvYT5NvkkNrKR+bEtqXE8FHk3WMjvedgXi9z
a/I3yeg5e6NmWyvMNT34bfW+EiSdd4NzyJu4p/M9QR9AhHburPBXh64tEU+hu+Wa0BKwjTdxSQR9
chc2OWK+hFEomx847slAu0OskSNLE5e/e+qsXHxdnFWgSJMXs1F8Wxdn3s1p0O7yLF+Obk3TdF0B
4Bkl1wI2rW7rE0tzTFdHYSFb5ojuZbctRP9qyAGpsj/HWw+bEVzEpTsg+XN2DaynvYfyZA+w+6lH
dn9Vm2m1t4NvSShN4qT9LnJbz3gkXxToNxoKZ+uXWXZfjcDSa8koPS/AKrVZ2D/iMwu2UKmK+xUd
91bK9Qp1RbkP8mLaobnw9qTtVFtgtP6unrG3D5Zh3mZeD28aA9COp10aAaC3QKHZSCH93DsJtrFE
MATjkYkNyJXRumBrorYGTfknKAOcxQAuq0V7IyJbhlQU+Eob020odNzcfCLiAc6QIQjBGrt1P6St
H4VqZVKyFvVDAZsZdIAyz4J2iAuCwUuZXxhFSmIEIHh6HV4EGrFgjA5fgENVlz6Sb/6icVkT+3oA
ZnVN8+dbhtQO3xu7wbHDO6R4rG/9lfPZMsk4+mCINpltfp/jNNjOEznk2nxIbtbwAIruRE3snYPV
pyfcu/denHc7JjwNgMSZUKKp9LaOA3ff6sJf1FDeZ4y0mA7cloA7GKNn4rBkxq+Vsy77sl8v6I1d
ZhN/XxJzNXmL7k/U9d5PjB5WrGy3S0wZkBIevRFO9t41CSjOgC4yItujP1JRlIWvhZ9qiIQZLDsL
Vcu2h/sRmYnXXy2Wv1eV9R52uOQDzO1QYqT7EFtpElV+uNP8SUI8cjKMu19HSYvOX5cY0GSOFLUU
4hwHZbHPS2vcQZSQG5Km2i26xuBIbthNU1pfPU9e5okD6d+dn4NJ+tSP3hCVi+2dgF/Xj2E4vpTw
LLZt6//qpdOECheB+pSUj5ZQF74zkM4WWOesQQPvNk3JXMfDOtrflmkMscdOgwh2wve+hzKchQAB
3FU1B8fBBhjjLtt1ZDVcMokCsDf3AaaCODyWeASknX6F6hQ+Lg5InrIWF6unM+GspdsPQUmPJ+Ad
63V9pFmc3cKYB7TMQ2g2YiLQJpSocGzKfa9cd2NW7oOehm29ocsulk6ekh6/2DjapOHR2N4gVDW3
adV5b2Uxv06xUkd/ARWrLMZrSZkiBx6mw1zPxp6xEc2VagxvhnK8NRMfp6bj6AOHKN/JOBpc1DRV
fN/Awt1NqM7nLkN7hmj/JFLjRYXgMTtj/rAzqLd2qdQpGFeibLOsx5AYe0fW3+wMqRg/hMEqNwXM
9VSPfTBAZnTIVtvdJ7SboD+2djQ7rTgkfv4yjZmLLD54XAZJEhHcdfqt322j9c9lXca61bRunNYT
e7fxQZE4lXkOWsZpDaxo0IpNvO9puWxhyGKY/FZSFw9PTjbESO5puJFpfZyZ6QHzmAccuNPzwD4N
UnuOKD8n+ZyrrwpgSPchtA2frDF9k2EQcaV97KwGCkbktwjCnmzF/hGZ+7L0EpecKxtW7wKBfjtl
GGCt2L23HaRF/VsDFn6tz709Sj+M8ibACYRWrsyMFCJA2699f/Xf8vo/gijSvKFD8P8vr29g1/xB
EfvjBf8qqwPzi0u/waQ69sm5xQz177IaeUcgcEhhYrPJJHV+73sTXxBcWPQohO/xLzQcv5XVSGK1
e50dnQ2FzSfK9J+U1eJndYcPURHhrYsiHIEmIpM/9hbiyUhAGLruaYTFH2+tfC3g1RGQiXl+jOzF
RYGF/BSKHiMFOHzxOUDz9MaDeX5ya3QXjpfLF9Ou5UsyI/X63Zn8DxpoHJ3F7sLlAC3b837uM4So
7UgcD51TPjrNuwtx8bYzU53vpuGJXVYuh7AlZE62DZLZv35v2mM/dTkgrKAVdvSuCLvep/zm930X
WBYoT1TWneIkfq26mPHepLLwqggRZW291vUvsYzVJBwtnn8xOyEBR8gvvs5rvX74CuD5tl0X+5yU
5AcUnipJkuhVseu7xrvzqaKWCACce4qnargUrd3uqZUB9QOZ3+RzxTrtjLK6Sa3FxDMsWCbMgOYr
olvf3yq14tgNVGp0G3vwqKlzz3rDGoEtg4n2hq5Cc+FLZ92hUFL3SO1qBhVOzcx6sINin3QQjaMw
TpmdZY75YmCo2AWF/6hgaZUMZTqewb7X1rDM6c8Z5DyMiNHs8bjQ7YgKvOObnMb8sln9aSTVify3
qE1hJlbWvLzWMLdwYGPKu3SnnKKvX4aXAGoyligTmd8GP4hm5hHTQeO4WPZA/b3DHKJcNRxrkvDd
rO5eT1HuTJllYksmtAlk2/Rol/pmvw2YRu4mhRl+P9pzgHmZW+l+xo+DprLrvBI7TDo8CtWku3rw
J3XSaEiYuVY93M+ZoswT9iRj3ErC3DMVjglvjAdULhvXY7y6Y4+pYea9SWGSZNYETZOuP5Nu0PYt
dOgjdaAFegxE1GZy3Vc/X4IdKLD6tqj7eY9AyqJl7tIXcnQaFzSkWezxkPX7fkC0uTATP6xWkHx0
qTXuSYaHDTGOW+7UkLgAv7pfrWVE592o/LzmQb4N3MF/T/2hPZIztO7Csh2OS9aTwwxZPIEJnOOm
jnjkzxTy7F4PSKHFRWwEILYCET/buW7STykPIfLj01+dyRxvBJEL7iar/epXGkkanr6SvY1Nj1go
/FkduR3j6tobzycsZcu995AmRm5fw5BWLg7+uPKmBzJIsrnddH7dEEqI4iiJ8jnGQxgAQfioc/pe
MBX6/GCZzfSB2qDSCTBphcaxrVuGhbIL++wd41tJskhNi+lGSjAuq1qJ5TbtfHz1ZjBRl4tLVDah
UsDN4lDNPXdFZwy/1LEi0LEPhw7XEyrfbDeAAjd2DSa/q3ER5PtK0x/ETo10nB8WG77NEekv6Fgj
rvXIve6rZNurNGm/oq+BN4A/TEPeFrdmTDoV5hHVesqjgHDJPp2ydttRG7/Lhu6mbmlyqc9mc0LW
UtwLn0UzASkhICVn9U2+KuB9qumgVFsh79brz7akCP/7eBUTI04Z69ajI1+GzMuhFGQjR8/GZz12
DaL4rJlaJnVu8zYBEUEw5I5M8tKJG3knmfMaG2XO6puZU0kSudG7UD9j5DRRa7XNO5oJtn+M7ZGt
6qWcLgDnyWGkuRvyTy28MYzXc2atz6W0DUhtxWQT83aYdUDxuuVJIJZ3VylmaecApj//KpJQNzFg
2FEhbxqxTuNrnRDYIXEjuPW7WoaKS6df5UXTr951JwVHzAioMfaTYiSiIQftoQOYcYPEamRb2mSW
3EiRz0whE9rsTcONlVGm3/RuSa4Y8r3G3ZKBNp5g4w2ErI6kWFxWBm4plsR14toFtXFCFhKMBImB
iKCP78ZqW8ve/8q4DWo/J6cIozIhswJvq0dqJ6PTgGzazp/eGmE016m34G5C8N5s4sCEe8r8c1dM
svkmxfCEV8I7jQyTXa05n+6UV9rl1iApZjwEKCvw5QUZoFSCeBGPu3m8F6jHr1J7jBmfGiBmUur5
RwsVg0cpqNxf3LEGMDrCwd43U7HLrQbwQSnc+dIp8+YCVk0K/Hrtyazo2NnNXdC6OE17cWEbJbhU
JrAQK2SMPJnnzMpHDpetExKVAQC58q3IcyWmP3SP8GOWgazrQz3ZC6vf6OX9lnU8iQiXcvYzsZ0b
Wdny5b+F439YOIZUFH9ROBblO1LKP2qDHShX/9uTdb6g5GW9sEB+aUMV1dm/e7IakuQB1cZ2YjHl
449+0wb7+k+YzFC4WNR7/6sLhqTg8kBlHqlf948KR+RKf6yOhAmzKbQoHzkCNKo/R9z3NF/q2RPd
2RkM8CDEAQ3MkHGGDwHh23XanNwwMSAHwo9xd0XvKcKiBpdsR0pehkQzCwCClqoKs/hgQLvuH9XS
lRcYarP8doBo9xWJvv/mrv+PvTNZjlvJsu0XeRr6ZhqBaMkgGWxFTWBsRPSAAw7AAXz9W1Bmvlf1
BmVV85pcu2YySRQZcBw/e++1vfqccmG96XVuRaFAMcVlmFVn4rjkA4twZMGV004sW4EZOJUNZ/4g
l0M1c//TZHSSJbXoKsNeFr6P2UzJUWBQNoAMMnu/Rj3hA5qpE8VQkaVs2Yhc7GwPvMo2TKDbfoy9
SH8NeKArALgNBelSsTm8RflP+2Qvyspw1oxIlk6YZdCm9R1IUy/w9wQ1F3mH4Z9/bjpxCpEYmHMn
PhJmhtWzo5rFACFQu44bcE+0YgopomLApnQXWODKNUtQvp+AEudqQEOP3dBgBzyOPmHSNDaNL61L
BfewSDOXmQrR3sVOUHNjpb5qoO5mJgmFCWTtuaXPYIIYinUxDRYItREIHmfZFt6YYEQgnGGloG6I
vzdL/o1bZVYu5CP4oi65KXL+G99yxuRgFVPc3RHdEieDPqQHIw/iDXBKoOIABOhrS+tTKsR4SOjF
YrnFAL2xFd2GI/ibq1lSaOeFcv7wZU7yHq/udi7mlMwS5iiQV8VtRzLv0CinouoH30dRjxB227rx
NrQSrxuBaQu2nPx8VTcRLuXk3rVCKszScoo88DCR0zOv5B798fTVxdeu0tUbFca93BQxzR2LGOV9
mXsvlGYkVxu3zgP1GP6VTfL4nhIdgq4MbKCT6XTl89BgqWsy3oxT/FBazfxWpHLtIh7o6IsxQkUU
Vfh3YVjEr6mc7OOUeuJeoGmz+upghI9+Z9/GXlweBE7lhd0kO/dX7H7AOePSe2k9s37C9kkpHiJi
gi8pb+1pi7/Nn7YNLoFTzU7U24Q9PWADy7aTZkA/6LJIXm3Cezfh4mNcMKWrn5G+USECSSMpu+2u
/DG1wyBMPzQ2L2x39Y4GiWUzQ9Z44D7nnzrtPudE3VU+OPbGofrl1sS7DAg1W0qQ9N0w3mMSt27M
aWqOjsMA3OczP+uhVN2Vib1+7eiNoCfel5/aSt/Mthu3fRkEZ37S1Y4UmbOdlQwuC/b3a+yp9Ezj
TPecEAP7NWB3pNhIT9ZX3nTGjVhqXuVta/tnXU7h3snlH/gY8dF0CeOkE6p7QbnGU1gEwy+w3OXb
zID1Zus+c7duGxRvrahD6mB4wjzRdwfEdGsX+rrfZ9K70Q09HWQjywPOoPm+Dmv3rCd6YxBnsUwT
3g7FvUkujRKwhRsU18LsoY7zibi/ZNZsQAHwKUbBTd1gKjdZL1RE8d+8a/QgtzomScb3pd/4pLup
HTRQUpQmSRrWERdp69XxhX3fi+4lW7qnXAr/e3IbCqGAVYDdwofpY32RC5pClzs3FTbjW6NnyuKG
HUd+lpxCR/mXWXctj8agnhZA6BEW4ebLGwA5Sb00D+wIl88Wqb3dmAKWVlhpeZOwx3xJUtoTvZYM
ERpMSynKEiYXdMDhvae6pG5wOxJtoBeqQNxhfu/OQyaTD5aN2Z+SxsKtGttba6AJ1vX0FKXjYP+y
mOyPtvAxKk1az7fWtDLjaVphWmGxzhPnpMadiXl53zFdYUkChXwtcrX2C/YmSvrq5hxVhuEcjz02
37TS+XS0gG89NnrVm4tE209jHwefha5Q3YdsddsGqz0VyMX86IgYoxomsI+BGMZN6BGoY85ZwyLD
ardPqGQm6RCkoAQ02GF/9fTOmF/ufJxw8yYZbJypNt4tDHGgKCom3I0ErXkrTKu5oz+DnCL8+W1v
TF8039WPJuvsUyJiteUPxZ+UE1DHUBcecJNNt6Jfw5eBBFXVdO5PI5zvTLbWrQkTod/OLZf2MmS3
i3OCh1wUF42ecgntorhNDRo0uVR/pQZ8oNZghHOm6aUxuieAW+hSZpdCQuYGkSGC7DNWSwcD9va1
NbtmJzwrtRFvtDomgmLAYkzo1cliluad+UZ1BvoQXqo9z/tXjmbz2FpKb1MGxefEJ5Jnpp086xwN
pOtit7zQRMBkqOrx0tRGchSallZCKF5/cDCpXvnkVlFthPohw/Hw3U5IIiShzfK+KJ3gNfFi58xX
CChES8I3LqoiK323eqhiQUmfNTcnE37d1mCTFM3KyG4FeH4KMerm0A/TEDk0QbxbAIujMmgA8/rF
716Zn3lLNePC6/GWQtgE6JrS6QOd7yy8VQMpuEqt7WxP6scEILgbzHl4yg3P3f21TTcJmw8Hg3IE
oDF+YvOq7lj+9AcdIsHNKuvugYLYJjUGYQe0w0IOpTxHnDSu1oxiRbem9ddwyt8tic19QvLwm4Jo
cwckm59rEPxOg/JPBzv7ZHMvwR1cAONw+T9Yu+FmdpEZATIZJwMzRUSkydoTGDBvFynyrzAPXM7O
VBwIFwvioHF5zfsSQDtdJHvZ5y3F1AmtjXCFjjZ4970/MXkJlJxDYaXjTVY19JKUE9JhbwoRGRgn
t5Nsxp3tq/qrd3VGtzDu5wFgwzCn3lGPNqWp7mVxtDzWTlXg4g2tfWO6X60hr8MQMDog63FbXA4c
0YJCc/HLBJK5SVP291mxMGGUhrcrjObOl93VN6i1VO1hQedFXCj0ujN4DABDnLH2Jfu6Q0clRGpt
vKwmJAHfTy1lso+d8mJXQjyGivaD0hvCI10J+Dzt6krE9AFfZLon5pxtFgoGt145k7UfzAg8Z3lQ
4A6jfoGI6CQNekM6ALoYbfrhhG/fix5jMme7/9w7VnakKglPtmv+Af9MiHkG1JRhWd2QJnJ5kRUp
7wN7uGocEl9ZNWO3FHz8gLofvWmsr56gKi7sqdQY3YGNXCiH01R1IairBMkkW4JzRf9Pmbm/ndh/
+d+71H/nLmXbWE/+q7vU85+6/qPUnz//cRP/r9/17008ZUWrj24NUvr8Yf+6SIUGhFoXZwnpRtRG
/vv/LlLeP7CRAYMjqrPCJ9Zo5r8vU84/wnVrH/ohEUw75Pr1PwBTYJr7z5cpPKIhGBmwzqbtGTDg
/j+nqD93tki1W58E1FNTHiiDTvJxFwtNbQcfewwoq9VL3/arG7lSvL/N1aFMENA/tpVDF68bMyBy
izHv1OpqnlZ/s7c6nZPEA3qlOxuOizf9omG75ayzXfsjXH3S1uqYHkJXb7EMOjs/9ikLkfiqbaI+
7AGTCDtKuzVX/zXe4oFQl2GQOOQEYu6f1J6CL6JTdYB9O5+bXw6zLblLVZ0GYsvkXbz9oFhYG/1o
bMc8S+4hNAfHes7QSVmMEI9RDrZx5I7mV2oO7cFiS3cGMITBHHaT9xn/tZ1Pfy3oFY6XS8My+aXA
5Q95dzEeB91ZUV36Vw6E8AJ0vo2CCnJNSckm4boC/pc/UIGetfEmzo3uQMyrPuoMcjuD4LWRDZMw
e+G9JyAjLcNo3td+eE7qAsz/VDwAexIM6xAnzFkHO7b5DT1/uPM7dI+dbh1jayyOcxvmkzoNahHH
WCzm2aF+6VwqOpbB/dEWK6Cg0UDZXEiCEQtoA0FEQOvh2cwk7nXu2bdJXLkHZMsKF5Ht8qeq5SpH
S138TMQ4tq1nb00jzMXg7ZRmRqVMW12XgrQ/YM1y7w0NLwRJpsFZ0w0DMQeigL+NKlN4lWyq0Ee8
QATp4tcxyJo9MFPvO8jw5F0GoraXxOUVUGJYSrcTvoNdUKEmZ2kQHPF/d/vWs6CtGQzVAYIN2idJ
DZIZ4SdMeP2T6DncL6sBA7I+hlSeG+fqzFohYufyhUM5f4FWP38INu6U0S+ucQFxMd4EYtVaK4Ns
QRYSjpBgqjboodDX1rRJvOZO7DWBUhJFIdJJKEXYTnsMKJS5Tk1LG1YNvMniFL5x2gwtRGLX7baZ
KSr/OIgho20OU9K4IWFBHGZZkzEeelb+NyyzTCt9Y03QWH/DNJSwVMd5oLShXkLCNpYz0FxcWthG
bLYJVkRWkCuTyYJzspbqgYXnERcu/apD3V46z/poytaPb1vyWOkNE9Gbl3X+I7nbA8t4U5xUNjix
dSgxmBQ+lCZdh1+LQ0Zvl8Tzcr+Mk3pQgxVUX2Ftx8utU9P8G/TDi8sFE9LAkHbDDnvEsxOrfEcT
HtmDsg7PuvEttvaxIrUgafwjvSeqXG+xgCZ4qvyie7FK7RS0V0C0oNKx9vzGP7M0CJSIKhe0yT0H
Jd/3agRiEtMI4nU7IHoGEAPMCFsD3fyuJcnjvxkgOVsi1O5sXuspHOLvfG0kxmUabjjhNqnpCGdn
DM0Tn1yXvQK+LpiAZCQLKGDY4jdGH+afPg0D4hjUI8tztym12EAcpAZjHDq2kfFEl+5FQyJ8pRHB
/SjQQ/mkAMFLMAz0XBfqFus+8o7zPTt2XxyseBolBgWkiGgUGTBdbgJxuKvdgr+SQYPLQbU6X+1k
IeVMMxXXOUMTG+Xs42+kG5uLAzt2HBFQr3IufHR50d4SzFZDy+PQpnZ/Q+LLNeAqkB5N/MknjpvW
3j2kq2nvrlFZwyhH0j8u3+OtR4jxudSBddPRXdH9rcPgklWF+gA42rvUodOeiizkuZ/cOHKZnil7
Hmz/QP49PYBSCw4NpWoPtVXeLqwm/E1nug3I6hUpiPWEtXHvpOhQNKNu6pHLRjTUg8lF3bPOAYEn
V9T5+qziJDDpxNh1RIPEnk4R48kvgXl4lsLiZWt8756o6zvW0rSCj75313vt+M4S26IR1w5vWJwB
hWk7pq7JSQ59R0KahpsBu1illvmrndtP3lHdHctJsCi457cZckGwsYzWeEoWM97TdRS8YN9UV4eL
Gy+HugTu5av7pg/EvqTp8TzWRvy1AEp4mGMzUr6XsE/K4yOhIuMXBR5ZBKMteB+5VTabPrbkMScd
e+PTonVxXG6iZLqKSOo5/52yVz27bYMcAJy6F7WzmXqDwk1gw9x48tF2dvkcLw9emOc7qE4HBXzp
ZfGb/jRD8MCtXuOhHCsXhLaJwWdRYoTg0qT3xLDdPOomi0ZtmyMeGgMaC6bMjebvxzztuBvLhDCS
YDp7kHOCO2hZOdv0dh48/gEsEYuRwJN2Uo7GxfllE2HkXeiG8mMMrP5i+ov5ZwS2t3f7xd4VcCeP
nmrtNzHx98FaomWXNO4+p95x19V0HRWGbl8HnsMLDu/ugZVueMvlhJKctM5v4RoRtrDT8a6Asgdy
qfSO5TL+bgMnu50ZxN9iGqToTTZhIOTKYxKAG8TNGUdkU9nGnaJ6ot9mPPkPbu5PB8hd3Ufg1xg+
vQKz5dJfO7xSFU7WwDtVNJ9cQfAsN2ZeNJ8aPXQjp8rAbtUYJzgrb3GHdG4CgWB48P1VHbF3YJ26
AG1Y/JrqGLZ52rSXqQ5nxA4F3oW3P4BIQJSRY6YITxOSjLBIlWKfTBSAAyK3IReijRonL9y2GJa3
YCK4uOKBhR1agQXziG78s5HQ+GdB4TxAzYrgs7ofgPmZKcico6YaOSdBh1zEzXIkXeU/2WTiEl55
SUUl6LPyZpld/3e+/+/N9ySl/uv5fvpQ/3m2//s7/m1et/8BZ4oziPoV3/8nQu7/CiVM8SBSfGZk
WJEM+P9xvndCj18ih+QYKC/EJ/4131vuPwgogTAGvvIvy/v/YL438eb85wEfZIhL/itkR86Fwubv
4tf/QzDF6FmJw3k1ThpbwNsoHH/Da/ormKySlmPBelPgtZ6qpnj0dXAhIIPmPebtk2ywohudOg8z
8LCVUX1xmkGc5tj24sPY5OkDY4f4GPwV6+s1Rnt0ghjrHRNaoh5qkpY2h21WMBqIujT902J2gXUH
lspoXhSpV4ifolga+4CVWsoL62NCzVsDIsaEXTAc+8rZxDFMN6KFieGPLBq7rn0pA2LZhGpI8ptn
TKIe9RMoGP3OTw0asdLSsSRwUqo/8ZhSxsClYeLyAo2gypmO/WZmIzonisFpacyG1YcTT2DkLH92
T9AoKZjeFHPm58+MCGIYyYYWYxulJIw+8joOvhMvZw6DykHwCZo+BaFEA0lFGuCUOtooer4ERSN8
Y90A0VlW53DIKzM3UYR0j0i/H7FjUGdPO15A23xOmVoj3yc6bmBk13YPDXUKMMEG7vs8AsomdZge
M5U9JfgU+GEN+aW16uaIL/s1b1AtchSqjVmFeP11gvGjrZL0LZsyRoKZUj+KmC6N092kiAdvKqlq
bL3qwa4mtKh6DHFdJt5XP8V60w36nTyugioQbovJPiVT8TqNxA5mPK3ngC7kBFvpzqbp6WkJBsU0
LaiW5lsKkaJZw0T6oPwUCcqqD9w9H8cle/VK6wdaUX+zKIrvw4LWV3RvhKL+vanUuRqb+lj0eBsI
SkXTQq+4mtmbS2kAV2uXhzSB31ZYxaskPR4NnWh2lIL+YZHjAWNb4gcdotKwzxMM2niYFK78Yh6K
gzM6AAGglFqQxaJxRMJJWNBuHY24HQ9ldwl6be181zFOaHAZfOWFKnWRcOMkl/fJync8VKObfQZp
yzq+m+edbF3xmMjZQe5K/mA6ae5d0T+5fTY91dVcHsjMc+xnMjvW9JKxN6akFuMHU07tAtID9X3i
XEj3HXnRPbUrNJmlIjyMnv7TuCST+7RvIhQeeCrJkEH6nbLPhkvvdnRrWs4S9oOEFhRjIMWmOEIJ
CS8Cs78xljB1FTgaa3o23drYdGXxKsr4hFMebJGSELV78ebOsUEj55Sf09bFGiKd7Mdmh/17WGgv
MXtM7czqvMlakgPDbBS3+N2HG8/reeIxvbZorov4aVBKmVKBRbm41QNaQ7t8XGbwHZMA72oMjzNU
B/+pdAr5QIiHNvc27rLVmezt7YYiipgrvwJOO+S803jD94a5JIcsb6xzPSRdxTq152/jg4UAQw/m
11C29taIx/Eh1wWNnyMfiyQcS/w+0zR/t5JDdZf4znzG6VEf8QfT6Hfo+WhBs549Y9rCJ+ZO0Cjd
/5gwbLJNAvBt703DkP5QqwFhJ9Bhi3PKaKW+swJXvdOahvllkzrQ18yxMm7SOqwOyK2SHbawDobF
lq4t9Mmfc+8Ad4VTYoIl2BgJWz57HDZwcqH7yNbeoZHQrplAZLeC5deEf/PVzyTFsrkAvly8WUtm
bChXa4ix9OdetM5dblC7Ck0uB7mXfdN+20WZJbPXqstZ0+MFzC5WN4+IeHiWooXkzENbxS/ILQXr
wtAOb6VTNmczRCH37fF2RFx5pKdIPBWIOh9W5WZRUgCD52YAUnRI6GncoIxZuxiOyZ56dMpLY0D9
fdyrKOn7/q5UaUO/SIavTxgzSw2eWqQvDzIBNIu4BbMi2pKICGZsBOlsl83qqE0jhay77i/bYCFf
Hnv1FT/Iez007tEZq/Crs9TVZwjSG1Vg97ODHgbTuiU1wPdZ9nhySjNApjZt3Gmm7H/ixmGOFr24
mfG7gXJgL1sbC3GsZsIElATretfkPAjmu4yV+f0ijPEyZyFg0Xnwo6xmQTsp6kVG3xp2bGlJwYTO
xMXMCraM5sNGmt1hFknHGdxfwoFTa7HJFOBP4JMIgODUFwzcnoYNmpj6cQgINhRBA3JsXWrzbwuP
7TQdxNyCMKEje4vtjSWWF1Zf87ogN/CUbYd1ac5YDhDh7yY9DCz1jBmBJFFQzFFLNixSfXuiRwfz
gJA/U+u/VJnf7JYQNcBQktzGTI2ScBxyE/WEOX6oprMo2u+Vz1f28YCSWmJN1KR2S8uv7y0mE2Qz
frC1MVMZuYoDyyoTiFUwaCV2TowIEDgT1msi4N88FHjKrargvGu938sqPNSrBJEW/W+rKYobV8Zk
qqig2cQ2lifQq+YtnwF1UKuCoYviB9dSuJ/k8juRK5byr9aRz1QJx7RPWzhJOfohBX2SSNMkeLhL
xIUVb9NVLtFOMPJyJyHlGQmWKfdHhu0fp8/KfekyMIyT81bhpANnrtrXMuCPWjqMARI556eD87PN
VY5IzyG68VftBtpbfg2tRp6Mv6pO0fNtQOwZqtiIOEwJYGGRf6OkghdGb6+Vyqj9CXSFfAo4172s
/MTTaeE7RVMaiOntc7rFt2z8673Kl+rWMi2yZTNdlaM9f6o0njcjDpmNDvkaNIAU4lJt8KoMa3ko
bNXwDWXx45FOGSZokIXkyx/7In/nsS/6S6/r4Ln1XX6vbcxPuHVPtBbprSjD5Dpg9n9w+zh/Jzn0
5Hqe3qKs3jk4Xo72ECTEEtJcYu2P+UanWeq8hG6ht5OL2W3ug52zxJ7FjcpP1koisEbLqhhmkH7M
bdJY3y6F8W4083NexbbmfjSX/mgsk3/0Jzf4rQtlvGMG/Mpl3N8vhi1o4AINesxlb9+7lTfuzCWn
zxOncT+ilMzb0KLKj/WxyyfCqB7bIHQfYTIoY8upKRgxLGltXUJhP6qzA27QKk/4mQJtXvEcnXeQ
0nR5ZGqcl8dOhXRBodB60ZzYTzKbh63fG7d0ruS/FDnST1qRzqUGexHlDVmdNrG/CVS4T7WXWV+I
69hUFqLMBRiOYTrJv0p2VqT5EAEZnb6MVfOm6hj1e9XBYw7Py5gKqptr7wGn0A2d4r0fjbwOpqMp
lpyPszf633Hi05xuKf8+7N3sjYijczEp8o2wh5Q7N7MlPB0KZqOu9atd09vNY2c7HQ2HfCvu4M4B
LjLiBtNGLwdkqS4gzsaiDh/B6ihIqGnex6vTYF1R7SRfF/sRTxxy1ifVoSWv9sZpVrzxiht+lfBY
n9hfx0cj97OT4Wom3rj1zm09shPOhIoJgXi6fE0scnY3o5jZ6y0pYCMCrQ0Ef5yClEyGZ3Zw4zat
Jvq0J6eWEWYeQKwG5ox+mfo3I1iGb1fq8RioJrxp8ry/d5K0e2lst6PiXjV5H9mtFxWVi4mE6Wp5
Dbu+anKuD0pj0+CE3XJPolxkCaVNmrOU87jLcp6HG1SRih3x6mLRcbB4vxLIZEs0BhNv1mBwQh7E
Dh8MaXoc5E7heGyGivR99DW5S9A5T+VSQ/XDMiQuZT1l76y/6z3qAI0W1TKVJ/wuBv2heRJsqKUV
FDKvZh4jnuIrSxliNxXHa1eFTzjoyUXV7fBZr7Ygkfr53uuX5Kb7axz66yHqq7F6ppo+3diGbx30
ajbKV9sR5RFpBJmy3EqxlEC3O+nu9WpXKh236yJ3iSuWRVkBXtKEHlwvwHqtnCZnf0oeLGnH82Pg
511zPyVw/qKQJETrUc2K6MSwUMl0RXyBT7Esqb4ZN7NgSKAFtNp5ApjjFRDKhrlhV6eOeZjSQKDp
4FpuyskRBItzc4eNrO4iW6Wco1OArYNIqH3sU899g1NXDdGiE3hxXcGz+Bl6QRwZrMyS22xc29/4
CHf5Dqu5jjxrGOW2AAjF6UNpy+3YC3kcsOk/Ti04qwo/9WFxvTQa+5kEqe7kqeMzGQ29nd3KHAB0
bA3+T9U1zpdRA5/GrIy9/YA686yKMM7eTdMZthUuaphHHsRytSxrj1oQ/IELlhw9CtFgGPWp2Las
xV+XXBu7jAZVkrFwHfeKbeSHwWB9o1n5bkrux40vjUPDH3teIHRepczkr3RyqketTfdM9areWpUj
Izc1ce+baWXvkgIfDk0gTAft6mQuCE90Xd7cOU7LGp+v8UUxRe76aQJxXpv5LuFdx3COm2eyOorC
S/8kZD1GDRf3xz7Jwn1XGNaHSw3DESaZ3NC40W7KNRbsZ016yBJ7jLoGkKmdVR4/XpXqzzLECIfj
5t6e0vDbqLEX8JVgPDQsvNnWfGzBTjFKDcltwZV22iAR6h2fm3Yvw8ndtTQowAFf1kBunqU7HVfg
/kpe4zFx3N+KmZ62Dr86iowAqoAgs621Rx6XkA5l0YaYUe5te9/EDlus0Bf3vb3Mj1KnROnAXU+Q
UHD/1nbHBC7KHR0P6R8pPecSx1nGQdsmsGvIQhSKg5/O6e1cUuNBQASXSNGPvHT0fGUTH96NU4J7
mda+Y+FlVNyUAIgM1TTnzDAfggBPtFJqoqFp9RT5dY7jiMwlg10b3BWi7UBPIFiaZexs8jK03/9u
ugloQJKosrR6F1K94wxDZWEh7rgTiXl6rr+NiRdrkBnLaYZSy/dvwG84uhQrT6BX8RbabB/8hLjO
Un7QT5DuRn5asNCmXxAzb9KElp2lJaNQ/lL5uH7eBqPZ0YZDFGKy7Z0XoE2VWUj7UKZQILABbqqE
mg1mZhDOa+FHuetwRw2JM7W3GHhqPi3KP5hG4cP3ZLdaJknxwP7BMKLBwWu6G4ks3ameeRsApRW1
6/pnCpQ8hW1bQt0fl2OSB8YfXXNFo5J8PFZOD8RbtBaGEPJ+hewoY5/6s1/hpDdI7ZzZa0VpOstT
IL2WF7AozmRIRrTBNAH/135yX2MUm+sMd/iSV6d6kGNBB4Ga33BXkbcZ9cUGXvPKKPVMGXu79cnw
3qSejTA8LQyOTUpSaWmxsg6ii+px+B2a7UWbs02llfVaC448clrOXnpwLbVrB2/pZFYb9tp1hPFr
RNaI3eelKVySroV1U8/pbSbq9176NGuq9KnzzB+bk3SvZ6ajOpGkTRrrnWV9ebLH2vlW2LTo+u1s
4gzV60Sw7kfKSixETwMP4x0WuK2YJMT9xase4e/TvNMkuRn1Moh/j8ZQwKAaR6pjwlk/thjdGuTO
OGbt1Gu9d5UzZwz/lckdZ8JVM9jhY82BRU+r7aL/5BgdB8LzaS94EqqdZxTgHKiM1EtG7mhO4ogf
lfQvRe7Ke4KtLAnMArystRTwECD4lYDdgtJUu8FI5Z1lesGJ/+GXijr4sRLr0ckbDg8Ic2eSbcV5
dnm5ElT6or4eaZxqUVhJ3oAb1wem4pbTecl8CH+G+drxSiI5gM91sNZdoKyTLQVh5JZNb1yfCaa8
DMuY5TIJJ8riSPCmbtTHvCHTO7a/yV+fJz7wW+Q541Qk4hKHilmndNsdrrGzNPF3Q8Xxd37hlWfp
sv7DyqO2tLUQ0ecWt42dlprX8QqP+BvVmU98PLu7cKqvrbMWllazf6opmIcH3KcH7i4sEJdK3GvL
ectMR930sSCH3XnZNiltan4MmUBlq8zjBGko6txBneo+Mdhc9A2LfNBvOg6vtPqyhovxN6XN/LtI
TDZn/WzvkTwh0fX2Z+yO5pMOqJL3JgyUW1zO+o+r/PGJsw8vkueSJTLa4dzR0RUYZo7fQQDi7Yj3
RjZtE7vOKIpj6NUXpy/VNl5sZ4isTIfDzk/Myt/kRlqc13ozM1waSIOz/FBm07zDMrHXjrZl+cKk
hSBPjYj4aLyqu/eNUhxzXngdFl1/AvuWd7c+jTxbXCd5GhF5OnfCSXZ2Nc+fzFk8Wgm8BygYwX2j
7fiy9OnwJTLvJ+nw7dJQLxTUhyC8LpMTI8b6ut7KzNDo7u7wYFmps9x1U9CAyPar5sAWtMIh0aOn
4AalUqIhRAehJ5siadFrvs2WWeKdtVLuC7G4M7POHbcuL4NjFo/Pc+K+MCG4Ty1NcgQK5/7IczDv
vE5B9A+DVx0QZiYTaD0l8Gy3gG7vA1PFH9UENRciYbAFdoWloOSSLm60xVBziwCnNi1V3zfMEP20
J+zfbLs88wYAoJw/G683ZE7llp7WJVEJj5BdGDNN5ZmbmssN451uJEF0r+leO+m0N20bBDhL6XQj
7mOw45uBEW9nzoV3r6GE605nrvE88gd4UdAOy9tQoPLwGMcsjVhQI+LVEGbsQUJeWO23COEaz2Bb
Zzj3pIRvy4KHgNuQMDHNuoe03FcUHvTrJMQp8w4nz//tdCkItmLI+6MMQA6TdG8ZWgMHk10iynEL
ym16cgdJgWBtFBIi3GwE/CRE+FpaCoJgipE3qpOYOlZ2avPjXIwTjRg8aLsFkCUsW8XFe7J4RTOC
VjIabfmjGa93SARXShhIRIHLOMvC6yNXDsTos7i9TsloveU5EzhZLw7spXPNB9U2sBDLdgweldvx
PuUsax5K3PNvwsmGs5227GVWCPulm0X/Vkhh3AFxofNBBrQcDqOyrzgL/McQjb9CtI7DGyFS6xMA
WHHuVTA+WZbNMnSyBp7SpuZY3VRugCuQymESAXQE8lBqhzfWgJpLI3QXJvkdG/6e90nY2eVNblqz
u+897fKTrvJd3HdJDiVcPSyJQh9EorN2uOSnZ4PSvHOOB4LqmXT+KWVlvsemYlBbPORDNh3dXRqG
WbJJ8qx9Gzy32WvBWzdpHF5mfKQiLjvZzkhUfpBCB/AJu+qmiyf/NGqj3wEnKm6lWdeKyd40bpul
0S/kPnuibRM8O/KzztbrIPrYGMevsmjlHdzi4FiRbdmpcZEHrQiS2JKSxY3odH8Jysr+xfYWOCwB
wGeD+e62a1pNWR/TP+tMny2NAPSc5uMW9DfgB7QMenhVdRn68EuMJs4Qs8INn7p9JObFvIQjjwZJ
0HSXtfYJInDwQIpnOunZHc+e8BdqXGgNc4iO8qEJAZp4fXdWRF8vGFqL28ALP6lOoaownvESB/NH
Mlfp1nJgpcVBzlrRjCt2Zd38So4j3vsdTSHSQsAWfNAP6Qi/aOyo1QAAzs6mKerZooGUJlR7MiOM
Qf6mdxtmWWPp3rOSnjKuCv+HvfNqjltJ0/QvwgkAmXB7t+VY9J5H0g2CcvBAIuHx6/dJUj0jUr08
0/cT0R3dFIsFIJHmM69Zj4uefXqyTjfchEFDHdhB13xXe+5Y3s1eCiop5bDJvaIpqGeNxYUVtLvJ
o31DjdUh0mjSg1OE6yZq1iuvWPl3O77txLxcTyi8bdyxeIo695NI2KwBTOwz1KN2VEqeoxrICESm
bDdNabJDvNne4fvYHFynkMdJVicyye/WEHpjIz0PYRe4LgkW1+DmQUvk7d/I/uY3fjKACnOPBFb9
yQiH+Is10wZxgdMKGwKyvRIhz4htnyhojZs5HJ6rKG9vp6G9hbtXLhu7CTnaHZMIpqV1DShx2ca2
m562te1eyNH6Lq1guGzcWiMsM8tNRhuMQk8kP/WTZ0xh5otRqflUl+3/Uvx+/I/a1hJxho/a1o/9
c/qma/36B7+61lDo/rI9O6T4BTPPFcb47F9da0f+Zfu2Cw7ZRtnMlrSmf9H7pPuXDSfQQdHjv9rV
IjAybLZAvc0Q+2g2/ydw1BfRh9/kHe0QgUyBvuNrp9oXPOPvzeqmNbynBe50RFtxpZAxqWU5wPQG
h1VJcVrMcHGowSKiTVum++4sS3YyA7y7WdpaHzX8k3OYx/NNjmTs/sU6I10W74ZdtgP515QzvN6C
c9rGdf1YVT7euXdWsCAkvB2iMYzkI5FSVFGZqGCt+gkCA2STZWxdRxU9irNG51Qawes5TfhTqADB
wuOEZOU8nibB4GTxaQw2Pj+LgrAd79XIIN9bNfC4vZIpJjpJPqFRxFhKIhI8D7Y2l+WYV/QIk8oF
qoLa49Lf6UpihTGV2VVcVSllPDay7VT78UNdYSy09o048lDNrlwH6+uUVtlDmEsCBIwGcqCJ3lU/
U6Vc8aA/pE08PEcOCHbdIXyP2TrVRR+06jZqRjS5t9G8Bm59lifI1SDftBa0f/bThOL1uUuQXDtG
22m+SpNitE7RbzKa94WVLPfW4gwrtfKkyE2nRXlucOJmYOeAs9tN3x4dO4kdA5+hgV7MdwD2M32p
UJ4DtMuR67rVePq/QJb/0Y7gCZ9V/P8n/T5lOsnq7A3pF6i1+aNfu0Lg/eWiOYI4I/ATg0cHSvJr
VwjFX8BbJNiyAB6vcVP8r11BRNgIEZ2ZXcD3XbaW/94cUHYUvsCAxw/CV6+g/wDLEjh/YNW5PPkI
X8ldAI/h1n/fHcIRTfJmSZxjGNJkQr+pCbfa6OFTzG0R/RJ7sFtfljpENJ+OR/poU/PZSqOpj8zw
cCUadAojTY/SC2In3mscG29So8ivjTZ/UyOKhyhYeNrG/UOMVHtocJfPNpGRznaUG5NHmJX1k9uz
4ahqAqY1upb+7sU1niIpMhHY7XjPtQ37lmCYqo1QxDQbuv3RU+831o9iDuZHfH2r+QcA/yjIz7JO
TldkCHuNwhwSIvm5nRcK978xrh8mIRE3JEYf5NXQs+ngXNZYD5b0QCKDrRv3ihL1JsCulAJ1hlxi
4Ir5ytEz7YQiDb+URQn+s+vHkGGBiH905imBr+xQNip8s7W5CK3F4QQ51mkx90VZ6qus1vo8QWoC
/cBVwvOTxSedd+CqnVjuLNjf2NKI6Qle/2LAxWBiJQKNJzi8qxs63HaAgEMqT9kUrc99V4LY6GCT
pXaXAoWHf7RpV3TinlSXjT3Z0oz+8qpX2gBzHqOpHUcJSr042PbudZsJ1KotD+cUDV7weWAbJRMr
kaWQiQwvkDdyHmYyUkYZS8qEZAuvjahAAnrzorOdIA+PP4QyXYZelLaRkulhKghB6SzoO3I+gb8Z
3QQSdRKAlNYczKsWL4+J7u25Q+vd7Lz839LJea8xRSZ/0w41n1vSir/xxFKgwG9MP3CTrKqt11PN
ymVIZOoNfnjRjxLRoDIFiLpLZux46A+jkVH3uA45gwUFQYcjIuUGpPwAHJ/HqIYxO5kwdV5P4E6L
UwGB/VnNOBicyD4ka9Fzt55HNDF4zgpzJQzeORlzufJAL0xDGjQoR/fFit0J7VtuYAK4mlA0QKwL
PcAYUyW8cmP0c0YIdR5EEJRekNeVOwJd372KR2Ox0vWxjfSgGtHRTWjafEcoHXQt9FdAErP5WpCS
ujwp6fC0WxhSYzdu/BfPJdJLvn72zcOHaw+0EUFiRlBPRkNpbQNxKn1MYOY55bWscKk+E6xaW2kp
HiIeXPsmRFnw4uWKfjAggjxa+OqgiM/cbEeX8c0nDKkmKsLhVkgPVJac3HE90dqRzzZMckwesAo/
922tPreY340ozMz6CMDak7cvFjWFaFEMQIhcd/vYH7D4aV1jZJWIksdaKnCZqKn7f5OYLNbTy12G
HLrJsVwQadtC8eFmPeUzyyxQv1eRRjERwmEHIrfzjRYKUKV2ve8nUoRDU5pX6gJoYExy0+HrURqF
PNo154tu+DlajFTzq5+S1SBTXjTG/iiqcNIJppIdKshRNkYqzlkOGaryP2lzMCNz3zJzyjFtusSz
wuqkoY2LEpNTzcM2VcW8nYOin3Z95K4Q1P3pDhjqfDPiuPlZMNPoWDSDEzJPa1RyIhmpiz4ctlQ0
0DjyXKulkO6iQT1UNc3kRXeBYTDG53m0RE+8TFo3QgTOXZ4uPR5DulOfKUN0ZGK5O9+PzOKTnNbX
YcWjF5Bf4iG30nffcks4pCscOk9lVM73oU8jNnA1E9vVk+ZhGIAL35YWTwf4QADa8/AI6BHLETsv
qqkAMmSEc3PkBcBMouBbq3J8rZy6CcWeCA/yrtsVKKokuTwVtRnfZU7jJx0E7CADMG0uWE3XNHXk
HqkBF9WpXkwbtwWSDPRXqlMxG22AMkzTrebEuK1Jh+7KEYtE9ISQS9kEReo+kuOh8jrp5YcMKnEW
6z475kibfi+9YH0Kk2EODsg15BctdcYfAirnw+B5C/aSALuWvAQdklmPEHT1E8Fih3V6QbGxjHCE
gjiMQQiuYhfODJirpLJ5sMNq2ddYTP7AVgZFUoEmw3noTYGR+g4AqFVrLD5DMae6iQAWBhaYBZwO
qy4uib28nYc6ueE69K6/zeI1uPCS9kr7uvrheVEq92uoAYrPS4unVz+HV7Ak7nCbQc2WdEDobRGO
nXNRkva2t6sU6elog7YyZARwQOMOgKW6nAbgRIU1xDf1qNlNlgBonKWGOwoWJL0TVN8+6oB9gScS
F6ogpXyMlWiekOXS95BGblJvbO8WI2U+JR02wqQo93VAqgqFuw+vWxnaxww+ARWS1P6UuNN8LuPw
YU1c/++hW9yTBrI7ZISpboxNvELpieZwtC/EdJxVRJit3JuuSwBT0TDF5dxObZyzVno4cdvbt4Cd
Glpzgb0vc+1sML3UyCqTK6s9cmK0idM4nb7EQMzLLa1CLz/YFeibI5IiuKdbjixx+kPzOZzt/gHb
vvBz5lK75ihE73PIJbUs21Kno4+UHfWe/MvM8X6OQMVw1bv2F1NkvFSwHCjuTbPyUfKI+wtMYPPd
KCP3fokseb7MuXNbOH7/ExEu/WWJkqZ9hnFQjrfItsZYLKD4epqUBVXZVn9ylzW+TVMHlKRfYOAV
OmTovYObZ0dIg8zj2YAe07XWPWwvV4AIgXrzo+yn+aJdM6pd3kJDKOvHz1C44l1Spf5NpCLveh4m
qNRFjWwnMrSBuoJmU1zi3+XWu5QK6C1CX94ukMO0Z7igIEl/PqNqVH/Jhh4cZKMe40HZZ4Wtn3qO
xD39Hc9w1z47CODmU95dWIsnP00T5RLW3KIpl3cOdMU0Pe8SmVyLsBkuh0DD0aIcWgRuD2jBARMa
NGqWF1PaS54wRJo7lQgoIT4yUJFcLAwFmSp4b19UU9gc3dL5O6Zqt0lKnxKi20j6m70p4lP9ccjr
2AvhzqWA/TkpIkAlCe7zG2hL0jlEUti4G7lK3IaJ9HHz0v19oyW9d12PDc+T9ttindH/7CG5a9pS
QDsefbulYKQp+DhixqGlpsIY9VV1DyJyrOGB5OXBRVR6B3Q77/bKwF0pyEERoYWV3lSGTVYADHqw
tR7Pl04YbT3+cESR5JIdaMRXCVWBXV9FtwIO04mqh5QfXanORbW22BHButsudTfth6aGQpJODd7C
CHbdgn2ydzr2T2HzoHpQJMsjZogxqNNqeEqH9BNgE+r+noMmSzKPyeMIOIuq8AzWp+3Ema+q+Tjb
4HdklIbQBX3eA8JsE6yoyga5FgaDj9NSkSIICRa02KrZw6YkGzgdyxTYG+iY8kQBAnuiQW1tRoQx
7uO8CRC+buN8z3E4HUNMOHeQ1GF9gUSz0arC+QDV5w3uNXK3gvk+byR8Lcw/l+F81pJSq+vO4sDf
zJcBeOhwG7DffM/bwf8Zlum0zwrfW49p1JffVBDgQ6ejeF+a0EpVnd6U44JGMbXrZltWub+nf4lE
NWSobTiEw+WkHHcXY2Zk/J4hgmJJco4XwXi14hwqHjnfisu+LuHGbCtMem/yHnP4rvCaO+B7iX9H
Gx8yuWdFBgeWExbUk/xaOK6dHOgI0f4bbWJBWCUFjqDzfTKW8wU9sW4P+DmaAbyF1BoJAy4RlFTs
vItIMD8fAaqsgrp2LKPPyeA0d2s8oUMCaPzQFsNy4XWed9XWKYK1dIatHQhN6u5N2Z/PeJachHU2
3zhe3z2kU0XjoT1X4Trv2shtryskh76hImifjH2rz5zRi090Ej4RqE2HoNM7ZGnkbU7dodx4Y1Eg
hTxXSUmhd52cQxat8PoniWkj6LWatkHl+uvdIGz1dS6qEmWEyC0hAoD93wjYifAv4SkWQMLBUxr6
ohVBZLTSVcNpVJk3fKV2+aCGpYbwqF/pj5XF5nYaz/4JnLrgroEnqV4Yk/ULe1LU9nM/Repy9gjk
spC5cIpBDjJqa74UKFXmKa0FV3r231nF/0M9XYOhuGkotx6MFbTGsgLo09+r8WCTQodJcJO4qr3h
9DvtX/3afsvk/41aqSmL/VY2Q+VVGC44Yli+dCQKT28TY5S/AeAnxLWB1vJ0EmSiXpa6D+uCM2yk
nX9y9/Eo+L27IPJgoedCaLehtnnvbFjKdFwoenXNsYb6egFgHZVANubnwurhL7rN8C0tbSmvkjEc
xKnWuDGhhIgOS3UJLg23wBdjE7+tpb6utHHKtXwsGrULBWxMsVAci4YAUK51TNhW+fR0E1tEJPSy
X+9d39jnQrbTx2wYCDOBBz033jj19x1KuN1h7R1nojvsQ4j5spJPFLQIZhK2JPbw5RSJsfNjx3io
AoFTY7l035ky9c9wHet7gdSF0bwzABB8fNRnGz/K+SIhN7LM3mmTYDlWfLta3dDhJE/icBImuOUu
fFAjH6gwO9Sp48/7zgnxaDW58IsP5Mcv3VQ73r50nJEllRoIAzbFmXcvvSBCRtaI9rO3mHwZVzly
g8HB0fa1pPZt/j/Jj+bfzC7zRX9cCG9WwgAage772RVqMri25EIgcHjFKgR719ct74e1ZxwzjTtz
guGPDzgTHsvHj/nn1UNbhIgUwIiimWmkEH4v+ihqjAHdehCeuXIf/GkKdxneMsSPpT42aLn5NGYD
kgBrqkjbPr64805rjpVFCdy18bR2AlyQ3j/7lHtWjLcBil4O4K8NdqvwgoOixX8370ibpWPMVUe5
NOc9mGZg/roeDCAwCcojwBzn4eWG/tdr5h+8ZqiTf6iF/X/L5654U9t8/Yt/NTzcCF1rlx4hXGSb
DZJZ9lrapM//F0h3ypbsYmBKfcqXv/odgfOXYMLTApG4Anm/q3B4/AreH78lpZUUyf4jFQ4jxf3b
CjO341DWYa44zDYbeY+3czwMxqWqBlv+SO1V5T8xho6FTduPpBuPkR553ae8pJJ16BaBTSGOL573
bY5LVV/AX2vwj1SWpNZSIO1AH7KOYjtOgeLBvH3UdmXly5Yk1l/x88PybLSAo4+tUdkuB4Tld1k+
dO412s4qAI4H135CL3Fgiy3zIaFHLZcoQxdqHWwvPEGcA0mnzUwFJdJbAMWIVBzqMTccBOJQ9O62
/7AGjS3af+8/QK5Z9waPxH9pi4Dgfjs6IE6dpu9W74fqpjGimYC+f1lstBSiuIwSSgDWdnayuvrZ
+jpbHmQA70wT4A+a56kdPAgfP74l949bCqihYVZELZz6NqZkb2/JVDSqptPJd7Zbr7iEQZUUZ1iP
tB18ftxwcJGpgix1crSbVThgjD0rApDcRi78uQG83RIcD9ghnlGR7Ox0v8bJCpi2nHkV+x6SzPqU
aj+25r2/Fq1/tSKOxscqhNiI98ECDJA0Pn6ot+eJDGwG2ZNIwJC8Q06N3p3pcVrMmVWU9Q97git1
75GmN3cVjmPrzccXYkX9/j65EIqiSPb5ZAMMXmgG9zdGKvC1NloxZP8ueNuO2KsyLvApcW1W+CyC
XF4jeuuJFCC6V1r9VjlJMN4VmYfX3cd38jaMMY9M3OTS5iZ6gnJjeiG/34lDZmtHc+5/H6FV+Vce
jJUe9ExlwZQ6S8ix4WJ8fMU/BpmGSMhWQiHMDhiFd89uOQhDNWUgvpVDqxvgCotCeAcWHbqX0z9c
y0zC39YNT8fGJR30cNj5kO5/90LBUZUFIbD7fXYSGDg/XHp9KVBKhbY5btitGeJy8U2n9D99SOaQ
b/4DQY5N911kIhAs1VFedN9mO4IQBQy2DEc8h62M0f34Uu9sBMwrJOzlgPYJRtm87XcDmjeNU0DP
q753QOYRXQEwWz+WaJu18HoRKUrU9RytsV1dNJmufXvvjWmxPuVdoJTYVHh+g6uFcU9OnOc+BG/I
RkbwAhE7HS7HYZKy0sePb/qPF4O4P5K6AWxZxJ3+6HI7yEi6s2vX3+ql19wFap1F/nN0Fsv71GDG
DAolhhPb/6Of45+zL+KtEMWglCNpF73btmLLsWelPevr6lmOu27p9mU4OgahSrWNKj1grxKooSyC
5yUtKZwDp9E6wjrFmt3xIavWCWBHiiVU/xUFJ+O6Wvvuco5JtuzC3T+MUvh+eXKDAUIJLBMIbyEd
xrfL00smpatBN1/TMHNZioB++vUGLzbNpFoXO1lGJN/AP11ZIs5YTV0tJYdBjesPm2VUyGT5xgSs
8p8EyowMx58sABqNDsbQP183YBkrdhdvHhL/U4e4eIyGfUWhHDc3oOy8nZoqGMdwjRAQbySlg84W
jYUpQIWdu8xleBunqp8/r4sJITZAlmFr4WeBGlS7wWLeb3Osu1ogV5sWAXc6h77Mqx/+BFzA2Qgg
0OsNyz/yPiF4x9TUQKm4R0flEQmug6LKJyBLKgdLR/VpfVp7EYwPo2798a7L+Zdpg8oGO4hRxmt4
Z246T1y6AgeExVYulMVCj+Hh8DANxHNw2QuyMbW3QcnJ5ZM+uAU+kvlBV/mojsxpf9uD0+QwW1rg
r/22o+CRLPs8ibi0BfiUj69A07gaOADlX4kIkavPbZh54zGWY5tdlrIOl5PJQaX1HJ7sMpyhrTgz
l+aQeHrZIdDiLOdUkFMOSzvuzZnZhjFaSoAU274DogWvCOjrrwfwcuBYKOQFdmT8AECFMqCeXTP9
ujkxm1hZBYga7/H7oYWwxwVyqfJtp8C2/us7WoSa4a5nMdnxlinXAOUUiEQzBoNA6lhTEEby5Qyd
fp4Jb1Uzqgg3TYycF6qBD0xTD9yW3GMgy3dS7MyrPTqkRG2Lin2GRS1By+Ox0Zvp0uDYl/8URVMz
adC8yqu7GphZEBxgR5jpohA/Yk2NdRQxaxIXyjaGcVii8FeQK+Pg0Cd9EYozS84ZSjfVDF9/28xj
bqoMbIxOfB+ig8iYoDWGOukpBa+RzhhK8yZ2y51Z8DvcnHEm2nh5pPz5shXxWCd7PKnNew/ckV1g
r1dYdzDQ3NjMXy1ayU9JKFoxnkUdldp81yyNZCkMuUCmnjff45dliqM9twSf11xoGnJzL1T5kOLZ
AipgCS4h4A8kk1cf19vRx3WDxl2VhSZui1Ggza46XBi9T5Rn+GEbiSXgtnJEf3nGdqwYQYSzBoZz
pTXJN5WEgPjn9mCNgwOcCDNFTWg9PqgQN/KHFn83FnCQ9+wNhI4rUYacMtb5opfVbB4pzbhn9I61
WdIyMl+KuiaqOyjaEzciHq4cMT4EqFcwCvTnVbccx9nu8upyLNEhFftWAwaAkkIsZmY1WG3d71QR
rY53hCpFm3GX2w8R/qfohOOqE5idKS2ReDn4tnXw4LkqceiLJZE2khH0aXfJaKv1xluWmekfdhDl
4SZBE8Qlvl2mBhabR80M0wC7L3E1xypNZNeNk2bQKIjVzRuus3FBNQGWaQdYJ+vsMls2QIHogm/n
suus6byIu4B7jK2Od0P7BMWL57pzah4G0eElae5pNsayRj+8icBA+HYmoSqyEbPd7HuqJ0sL1hNq
M2Bb4vZ53GAV3qdHbPQGDw1ngE2y8L+tk2ehD8VmuxjzhxzoFjVlnc5pCuuoQZYtAKWEWg+TB66z
mYmAi1t1KLDc4id7mDvmUCwyHGHOgbWu/K51x0E7V6sn2Cq7tmaUdhXCwXRbZ9tyhvaqm3yXLTeH
k8dbqh3S+3TfLNXEd0WtbXZBbPYiZq6dwVUdD3avIDpAsetaftdj/MO+VNhjNd9GFF2ZSCmle7Yn
JWef8YNBxu4wMoqsBcftOybU2GoBCZi33y7eebgkzPSw7FZuHN24gUtLp5y5f7ZLjqNxUQGnfBWD
he72oSzNIdv3Q8t0nH28yi0OZb2wPyxhasnr2V40pstsUZ48qrbHp3AfIgmvN4hlmBDLQHSXb1XY
ko38ykPY9c3gTE0rmugE4ljYRvskzSeKn0O+rjDJQoRFdm081TGoVHig9zGO9Ms5PKWS3X5cpoA7
DnLgyOOhqdKAhZ0D+GLyhBTmGcFf07rKJvO7RTaCibuC/+TOwbuY7b7DP3p9chDYYoxFoE29lEg0
sVmfFsacPejz2AvA7acODSM3Y9vddVGhe6QPV2fxv1j1RCvQrubyAdOJCJy91m3Wnvk1RKKD34yD
+gbsrbXOdVLBnYCqFggMVFXWfsnYc9dDgT9M+V0C39AAVmBAPE8rMuHXqMdDcKM/3DfnSniTgjWY
45yptq0UYFoO4GKw9MDWOUbyy6/syrkQJccqkJkeYl/LO9Js8nPYrohz0+GUCIzA+TMh/aqnpdzI
YMGhcqO0tfSfqTIN8t4v+0ViVNMiiAcfCEXiuNmoiOePmadx0qMAwklWAoEpp3XdRVm52phUuivt
/JnFgfZwj3yzbTvqMEZBQhucAG19SEBXNxx81MPOugUhwY0AQ+NsF3Qm4Jb7SY83qdW4RmSHTgT+
Ml6ZHIEM9bu2saf1PI5q2z5xJid1DzQ0kUne9FjUQW6JhWfdKITr5SP2UvAZT2zAj6rdR409zw9z
PyOPgNNmbd1JS3brE76tkgq/9n2NrBlK//Sxez/AegVGSLLO0L6wntsBPSyLE9wLc5rGAN4R9Ijo
8bspJLAXBRanysP6ewqoc5zpVvZL+wMPFDEAYAqQz9y4ovN6+6SP69ZDjKuwPdycYuSt/SsU66yi
OBl9RVib/kjpFfSQ2ZsQOctmR/9iWf29L3qBtqB2eZj85lf0bS+0tpw79P8aYB0TKgAcS6oSlfIe
wasrJXcqnnQ8Ek8Bfiyw9Ak8orEYHTR10PNiYs3aAjSVnWgxj+ZYidhIWNxtaMJHzQHOcsCswexw
lWebCDOz0J2LDznGiwmIBdGpKTxf28QiJEXqFHGESy+tck6ZvvYSdz1ZgoDvPAxeY+IUvytM5hAg
M8TdLnKsyuhkaKvM/wReouZWHGUFSM0lVk+tQQ2txzbpdR2RfYhdgnJPpOsRBU82sZu1haim2Mvy
MDOHBoKwMVQEgdelvcdRwV/FMZJuSUhUu+TZ1ilSxhQ/N8QlAFtoBVbabIhV6XJGTyhyEpqgUdEz
QKoOzMkZttPMneokDbg2VjO4GN+PEov3ctvE0cyX2RhKsJY6GvjcfxflZp8sZFDyETd3Iu4IkfXO
0c/05Uy8GoFaWgHoDdr/OsGTaQ6+mwf1BdClkWMRmSkTS9UqMCELXT0zRn1T+73zc7C6Bcdj0EXj
UG44D6kbQOwDBQh439Yew88evpgQ6aXc4wOm5ZT6dYJJp2EciwZmVb/1sRbg7h0RWwykwqkoanAp
hd3+sxzoUE1sM7m5g6GzUIE4/msk1pYltBkUmDfqQzX2XA9N1YORwsi2XnDqICAyUzGziQPuvGqO
vU+ldqg9vb5GDkzHeSL9G/qHsI1nnljktcM7GroxgGhSA+FF+WKdcjvGkaQIvLw4pljWV9OpJBwd
H0ACmyjWWZUpPmkNDi09VXZtggq7x51h2kzuYhL50G+ZLBX1OgfXiMnWQb+DYEeUgvKgiebHRmnt
HSHSdWN4A2MMx8kLPw5s7gfWtVkHQmibRx0Lgkw8gqVZIm2FidrViqUvH4ix3yNQc0pS46x1zAQT
Mc547knrBiVxdvJ6uqYjViHWdmgmAtWtEIooEKcTE2/2vpmPMQA1ImubEch/gnWp+YF/N58mKtHr
zVSGAcelg+ADZ1iaQkKloOoPiQnmhTJ3+7o8ih7yx0M5TA0vVXdsfNWFmMWYfBnDKcn0Eah8EbCq
0dFnmmbosrDOpJZm7pY1liGXFbAXlP+SsgsdGqv0+AVB7dQsvNvBGiuuVa+aR7AN7o5iBeLN+S4C
bjTeJUGU6edRA5dB/akYFPoD5JZSXMjJ6Qu8MzyXeVbZrkkCc0Xf/8F2kAJjGcmI8JLEk/fcL96K
uCHt7+XcD6JlHk9mV7TF85g6M4MSv0Y+XWKPxBpdE2qeNpvR7gJy9JoRh2sdERjMSQKIHRxSK/gp
IWfBM9WyrPkb2keId9kWss1bkaqUdGRMdYKgeegrMTzAjBbg/azJYfytNDJJd+DDqaMkMqMVB+8G
NB3/mGA3Mj7EXZzw1vqKgm6zm0NrxflZI4pFjBJ5zfrEqJsdd3Vact7TNlA1TUDyB6aT73F5Snvx
arZKxZ7sH1XgzT0efUgOEdE4oZOSqhQI7nx7XXo1ri98uLQqI9eCbXvZoW8/jkAigbhMpn5kxWIx
UzKww6m+tukT1i0DglEcMngRzvDQtZ3ALHGy5URd+n4hCV6XKU9OYnR6hlt/DtbuNBxmp0QqwyWn
4GBDxichCewh/R581KD4mkhiJh2d5G1tIlG3dtnFgaW+ZI1zkeABdNrmo8MmRcA/+NuOypVb7uFm
mSzwNbEoY0iD1ABWuPMIoLT+QkurD7F6PZNjmDPRSZJsZv+U1jWvNHOwuymOQw1ouMJ9e4j7fo8I
qCwuA0VxhA9C01xvAGeZDavnNVqwAIsuw73Wt7JupTOQot71LBrkR6L98rpzoN1tAl2sD82s/Lhq
9G9qRvQL0bWioRN4zvsCKzLPeD1G5fR1jnuTZxqJltTbWagcl9GmGzTP+w+XfF9Vo0wVkp7SiZWO
GxI4vS1TLaquQ7v3+6+eP5nuzevUKFHZ5uj6+On+vBT0G2JcY5lK8dx+V1nFY1qtI9WJr5kEXEjk
6UsxEhSyWbN3fXytl2rg7/Vjh9JxgAGJGyAH/GdXqrMdJIXKQnydRTWQyAxpBX8AdLNMWYaprlC5
3q9+w6Yx1NLrKKKMJVZxW9VDqL2iCmE6GxEpr9l7XnfmX72PWicmRUAjsuNMQHVi4qePb/+PoQLB
bRPYouhNOo6O/tu3Muu46pMp8J6xuZi5Dw4okxZyuJJCfXypP+acoDCMHL9PJwgn2/f1bsKozEWE
QD0DbRLDcoyXMJ+enBV4OS54cYLa6z883PsWisOLQcPF9bgmLBkjLfp740IDqQoT6vfPwOHNHtXP
LLYbHGrMAeGC/lt2cUS8TzCx8PMPFL9sfc1uV3mnHz/7+2GmawqqiyItbVLPcd7PyAlg6DhFifhC
TYLUERkPqlQhKvbsgB9f6f0ou56weVokcrgaxbF3xWtk1tpQOLnzBURpAGxKlSY1z9Cy5pBPXRM1
fnxBmG5v+ieuRxvsBfPg0eGjfPR2kAG6rWwmi/6ia/pE6V4Dd2CbY1NceK+xbsvZQUkrWdJoGxRw
pJf9xzdgaHhv78BnEhtwD0DkgEd3394BWWJaOiqov7SpvST1nl7WWuypeqRRfvIatow6NaExQBGz
f/8qilsIN5NeYJkDiu90eh2cKsfchXqVZy2s4gYmHtkCTk41R0JXTE3Y7ULRW+GEoW3Rs1sHk2cO
SyztcM8E5Wqz8DFLoIee7/pgoHjkTHpGQxH+QJ1jDVlkbg+6ZkTfb9cUlomtuhHNtQVChRuQxXRZ
a45zX2XENkEHNIqzWGnFbQWvBfqO0J5dsyhcEzTlYf8S8blYXqptnKMpT9WmSybGP0xyTWXSHefR
FFnqgrLsx8P/x4QLpAsT0QtAfyDM835qD2QWKWzg5XOTtoKYNVG9SYGitTcRwK+S9ceXNOv29y3X
bLXRS48mBAsAvuftC6dRtgA8CqfPUeKbGuOQRX5xCZfdLawru0M6LUYICxlCdZgddHgpwpaVuZuP
b+P9kwtoYTY7p2HPsOZe2t+/dWhrgFkT7zL9XDSUP8+whOurR7eYXH3hdv3Vxxd7P8kxc/QCQaXI
R8QtlO+xZD4cwSxVXfdlBLa/Pnl5YKZFnisTWX18Kffdkubbw8AHEO4HdN5gmr7rKCXIn5VlPbqP
ddejcBBTvsRIEeOljEw3y3FTExsa3hX/E1CwYV7OnoieSNY81MGNAhYlGFIe079XE6BB6ggrfuUP
dpaQoeCuwapIkUY2Za3ZMmWAEOIXi3AMfVMmLiq6Iw+j5Qgezio8zqIksUynCFEos1+TEBRze4pe
QbaUhxoRUXn58SC8G2/GAByTsFmnElLGHx1Tz0v6qPKH+XGocnMyxw2tClTvpobM+eNLGVrg7/PZ
vFM2Lx/Ahc+xKN7PZ+QwqKk6Mn4IZfNyrQGmzJUhg5qjia2eLei1914C0mEUEBk0VdJfP+kRsSh8
uSebwfVkYOqZ5IKKnc6tcKmaTq0iH6z1omOpIlKdKXyfThYxkDDtwWSSHmOLZNKSX40/ukWmiWSV
ucvaWUN75XdjU5kXvno5V4GaQDgcvJYmRocKKPoFXmreZO4QtUybYGTjx/VJZ6aw/KuFxopk7ub0
PDj34pgqh8DtEFGK5h/O2/Dt60NjHBKkaxuepcdZCA3y7RbR8gRjaKv4WzmK4FOukSI4uLRHj34R
KkmNP+0PAM+i8wV5wHinJI4zFbyrpzHJoFnV4VDTNE3EJrIW43aS9u1jTP7a3ZRzN6bbNBzdIwqp
txWttm+jkh2Cm9pCr5Fejn8Nnrc5T+2su+RESo3SdDoWOwtWxN8rfeQR0gugOXxQIlvuqBoWT9Zq
9SQHWJJM2y7SN5JTCS+00hKXuA9hoaqwuqInXj6l9PDPytL9f+ydW5PTSBKF/wox73bofnmYebDd
F6AbaGiagZcO0zayrKt18e3X71eSDJbcNDBF7Cg2Vvu046YklbKysjLPOUmVYJkWpPOSYEMJr1DD
T6AmTFgOqCGMyv1KUSd6mtm3GvvzNF2gBUrHSGtBCsPL8wvUiKBO2np55+v6AhyUMjBiRCjM9GNQ
uvksHKTZO8ugqRO5qfJyuS2X55QJdimMPIrL4+3G9UHWG9H6BRDkM7DAaxI2i+XyQ+lYFlnze/qE
QD9Kbveo+UwIP+kvGA8Gxhhi/Y1R7JTP2q7IP9FHATp5acK+2lrRy8DO/TM0RfyXTy+ytrPGICgr
48xMQgVDI1DoGATN8hD0Q0ptxvfavnG1+5j2S2ECb9TKFOv90zdrL+j6ZjZAObHNE8N1IxLwnoR2
mRvPoH5FYIS2yq0ak18FxR9crw1dqMB4SXRDiRDFk6fvfWL51WuC1aFkgxPv4sBKM3eTwMii2Qpd
2nSk0zd1ex7pyIz8YJuoRvq2DVdvaWgawAOaDLMhdw+RW0RutTVYmZm6QdydmIftYpRw4IF7sQjt
t7EW3b/1aX1NM5nQdNOJvkYU8wL6vDXZhgWwL8B61uvMytwX8QCtXvZbdLnJKxboGBC8aEUcpSOt
UI0bZb2Mv0Sl7lzFpGdv1tpO++AuOaeO1ERVoIEEkFoiFzse2JFF9iagFqduXBJrmbubIdpVUEoo
s3PVM5Wpsi308Z7v94NYSBVW1JoSEQYQBjEvECm1bkigDuByGM5uPzNKMfkLX19c6MkyvNzut9MY
UZSP+sDdTkrNo+ixygbWpQF/JZ48bQLmyWPYAqwp8CAqwDHL7gRIanAfUT5Y2DOvpHBAOg3m89ZB
sXhCl459ASUKnokdFYj0wjKLqPYk9E4mb3W9Tq11MQptb/B6T+/4S+QISZxl9+6nCFkfc5wFg2t/
F9tXO51G5Xqk35IDDV8nAz4ayjSoHI33xZayC8qd92M7dQUJgMP3OTpBX3bW0n+l23TzgblkXvpe
kr5GvC0U3T3yEuGhRfleMbXgZhA7bBDWVt2c61qxQeYp873bDR3HlqiJK7wAynUuZA+PEgBEzyWF
EPbEd4Y5cK78xc74oJLVhmMTBGigPT25Yu5an5i5pR8cMajFadbWxPo7ivpKUsJ8d/t+tvIN89Vg
pS/vUh+x60mA0MsrdSMYQU/fsQOvZqGhKSBQt+CRaOEDXK19S1XRwixi65wv06XxgrTZIIL4uxu8
JFGJGB8K0Hh608tmqa6EdyjdFVe+7yo3g7Wrnz/9LNapaRFq4j41Gj2AxO2CAbNNZOaOR7c/b0uB
gXN7cv8pgZa+niCEbI5W6LCT4YgSqOaFSa5wslxY5iWNWP0JeRLXHVPwhPyQJZb9t1/QMprULyn0
eJAvrlGmzC9XOtx8q1x4zz1kNowRsmAaUudQuCsBENpWZvAFxk60N9OLAdNyvgyKwbVrqUIhZGPD
gs0Xuze77YbtDEHU9NyDzgbpWvWDKzp6UwIf6NHaG4WrMAZSgpbr2Zqi55255mhKLJK/KzQUyxdR
qKPUQzMtBUukXDSmW1/+Rnd9mn/aIOpQed1SVyqskNa8OdiH603q0uQm8eG+j5m/RH0OOGWTXSiW
p31AzdX/u4Qe98XwNZ9Uz3qJivDTX+fU/2ApLqA5oGuwh07yerpGJTTYboK5Y5EfGLkbd/kZlMeO
qiGfjDOVPdvnQhA7HnzerZcbGlZY6zT60WO0kdqVwUKBIGzWQa7CtekYLEipnI5Tdji/j6xdibos
H8Tal4vwyg+tAjGltXuL6mR5Ts+U+7PUvd9+XDjZOsVO9g0X4Lu8jE6Crn4YwcABbakJyR6tvXr2
NDZb0yZwOfdsxXq3stT8rRYiVmiT2H3Jvli+omFC8SI14uh5uNVVqGY2G5kdFts3vr1wACTHmzVK
mKX+BeT8yhw5Kz9494MvdxIy2BZ4V5MlDmaaQ2VnytYRImzuyijnZL1X3nsiCzNHMp1OrmWOHKlm
rQNqSvneohVKZiZfFghI0JkF9e/NBbz0/M50Q+9KsTfBe1RNSyok7ALn6PCETLe3tMcI6w4ae/s/
z+J2l87//GM6i/x44uccUh6KY50owLT4xe+ryBz+zbPkyzMYeGX0ua0oU//7g6CMNQS7j+WQE9XJ
pGmErjXrYmDbQ3jatCXiFE6WgTTLV9qF7gxd1AVcxyUpACzK4qdD81Nn6AgyAD+SltE0fvoFQRmh
Z3O04YEqBfOpQGQDOix0asSbH294OzUO8ONb5RJ02jjyvoTEBtvd/fOl40ziDccmX3mRK/dn7n35
N2Kqo6We/yCecduLo34EZHPoWME7a67aWRyJyYHCcTzlks6itEAz/t4hu5DTPzqOzr2AXgdKsSon
buqhpxbeX6ept7xg56b5p/bRWIO1oZdiOvCulf1g5CfOeQH3NaUT62phkSky6V2UkiNae6Cp0geD
Fmlge0ZlTDAZfFrmGkp7wOwNY8S55H2+p8IX5aN8cLYz6YKMgBP7TmBdrZR1THtSpUhK9AFzXZ8o
QTne6fHdDhmnDJu43FoOgFPRuFp/6ZUbm7zsnqMQZ0cndCBRDq5NcwkepdDzszy4QszhBp2JEsEe
2lwO3OLGcj+q+uAs9+zpHpTaWbREg8KirbiFNvjKhbG7gJQcTtbbaJyVwdvt4P52udpkZwHNZ9dF
+ql0NeXCD8s3Xm4jzxh/3nvlmNaD4xVy9heUGp3RpkBdU4/jh2hrKBcBcOLRTtk8xIY38awyv4L4
jA4zMXdqIZOb7Okyrb/2oqVXH2T+Z5xL8yKTaTE9q7Snbsp5tns7zwl188OCE7++Sfy4uKVDSOEX
u1/9o6cHevZTOngA1NihW+6qeqbqWZ4aIqTsU5QzXCH6VUhJUUwRp73q+uNZmMQc0KqfB6hiQdCi
jqZCQhQXTowbHs3R92bh6Resp/Ppv2m9wUNSxoX4DDTYio99tibqBj8zB50RWnNgiiqDCCaqS2/P
gcscUW7kWIBfFld9w//+HHx339JUaq8/NwudMb7NgmHB96sO/LSEExemdWwJrjHk0KnDk6rv1KPX
t8FWS759te066KqBh33s7VXFHIoUK1bwLy2AzoerHcTz2Z9/wAypn6kOnb96pl/xAtqQQIO8kkJQ
IK7OCnCsIfxjUVIm+Kiuvk0C5D3pFYANUMo2KXUKOT8uDL21AuDKVvp7ZuMLa6Pr0UKgTUXtnyVM
wRhW+U3SjPWXpoh0PAmqqg4xFYrDENzEVe9APZoE1JkADPzMjtBZUt98oW4PUYG0CM2b9dDxhWBD
hhbcaU7iaj/XA8xOQzY2MOyhoHJQAUaMUVxdU9CUIRAMkhLNgumdKSB3ITsJujFktQOqgrNYXZxR
jteDi1OAhGkiDFotB+XfCpA6xvxtf9CEa5dcEAaLnsyWe/B84iR3PAuIBUBnJiWNY6iu3u2SUNZ5
ZimvwCSYotxEUbf+1B2vgJaCrVfKsb2zAQ7ZopQq9/rGkBDYJVeg1N8YL3tsA47L62Mi6OPW09M7
GwDOIUp2UrOgOUOTdyRj3319HIEDQxqyeU9fn/qV9OvjDqFOg78z6t2/GykCmBmS5NRRjunfbkBo
L7sIdG3Ihqc5AllZXR0fgFQ0ZSRqOaSlq6t3iwDBB106SHQRgAFUBwSjdgWd7QBM8BAyJlUQ9gRx
9c8WDLC9kq7AMIaUQehZeAgCT2YBj4k3pKrWuw0BX2DVH+WfHxXoiIAkFSponAuriwk93hDIHaEQ
BjbocJTo33mJ2FU6KlCGwJ5Vg9zBo2uBbZFCmUVA/i3Dxg7UowMTBT1R7ZbaFsVZgcI5Xp8Qobra
toC3JJEogDPNgak+ovVoFvhIjmxwQDaVIyPQoEOE1I0RrCGFIMJkt4kg62nv0SwAcRFVGDlbIEaA
9maA265NoXtuxBbYhdhCm3NJj95fgGt4XLn3p1MMKBISysajftHVh+Lzg7dofu+fX7Qg2EjOAtk0
8MzgW+wmq96JlFyybcAZOFk3frGe9h7ZAjYqUh5ytkDrEKgxcImaFd/dI8WZkvILHqO2ld4l11mk
AlQpNQvk0+BRgdAU5KDjEMGh6QqcMQhKza7Ru3CZTtuObKCoK0NXCDhR6W5esz0LrkqOSTDbKO9X
V++2BQhk0m5RlFiEFZidTdG2hjbwGELJJuPcQxug+iG5BAyT8ppInB+5u+OVYLlDFB6BgoBw76sN
oD8pOwvakLQ5x2MYc9XV2RTII6KcR6WpsbY+7QYk/WWrjJwYHYHkQ2G//sin7pCJEb2Pmt97FxlQ
ZxNlMbndgDwp0lxQ+upJEOWa46XAiYniEi4HvG119W4W2MybKrjE6ZlOg3AJ+B+L6vj1SSNbqBTC
GWqOUv1LHgjsmqQRcGBkmaO1SqqsujqzAMOHTBt5VkTKq1v1yRWAVZP1hDp4AmRfOCbUr38CtyBk
Io+qIEXUrJLezQLaptJWQPhLFZW2dk06Gd9yvBaA3hA4cYigAldd/VsLcGOlDwmkkMiYU1p5HHhg
k0fEW0Lob0yhdysC9KiAt8ptCyYgE740jVnrb92xBUAoQhLZsI5KD9ywT36BrIf0sRm/oJMz/ppa
x7iOV4RNOhEuPFS7ZsX0bnOEh3eCov5VWKJBtpCaOoC0xyF5DiEEUGjkqw9Lom/ekWD/pEfxr84C
6UTYFiI90GwSnRVRYXEOvUXF4uvTWjDIekh6BEOnwABzGnjf1z3weC2QNgCA4oBRqe/Up9cngJUN
EVgEjgsIqXGHJ4hMWAQoyMMiYClUV5247dEsiGyy7MFZxwiQNBKC3fW20AkUHTFLlFtZDPUs9M4h
otYiD8tTKZ8IhYjDLHQOzgRKqMKIZGuD0OyfLQAcqeOWf35mEnlERKZcYJpfLf7YIdjOUCwXA4Go
+vfehYuU2qQrjiTSwOoCyyNpVl2dEIEVAaUGTSb6ulRX7Yj65Bcs5MlkNweqzy4SRdDr6lno5FI4
NrA50A+MvbP+g58PEX5iqr4yQcYLP5ydCQ6IP88fY4F87w8O5IfT3xvigwB3C3ZD6w8Fg62+d43w
E///rxb2r4oCjn48RAXVfZp/3rzg6a1b9zq81eE/XvrzbJo9LNA4FJSX5jFfTSOIJLQg+jyNpsfM
DKwPy/v2JCfEu6/HhR8M/Hhvo+oZHiX0/dy4mQ85tv3AFXxa+oGzAMHwaX549QqjXwFRZUceT0P/
S5J12tjXeGfpsem9nE1nyfFT17wK+ZGhID8U/kNZtAavAJmyg0/m4XQzzebHI9e0KOmRG37oD7ie
klZ4zqz7s7YV1ihF2ee/mCeZ16anEi8LAJzsyJfMuO8fxqnMWydhe/gP/3xJPp9NFy0DVGuUluwD
Pw9DP0789oqsoT/SQ8czf9rxIjWQRHrkZNM2ixqZIDvsy1PfVBf7pQdmgPIh2B3MoLKLunYsO/RV
Uvr5yTTXhVnZsa+nftzyHpDcRLFPftxsF07j2WGkajOvq6jyQ+f59GFR5vOiaNm0plQVOunx/Qd0
G6dtlmVd/ZIfmr0gT4qWZTfsRfmxc/o3536atnxTU7H6HaMnZdYdWpDOpIdO4qLjQ+i3KSossiO/
mn/Oup0hQRmItL380Otpe99qgMXyA2+eXU6jNF/47W29geP8jvFfzLN8vjtMQrU06zT+7xj8er71
H1rbWAO8/x2Df6Qfeue5RZpNeugkKxbPxtMsYadsL846p/17bjCZBt21X2NPZYd/vfDbM17noKWH
DUIikvaphvS2KP5JD53NvS6RvcqYyg78Zh7H+S5cTzvHBFrEiYyk7PBvF8ls/ux5frK31Swz2eHf
JeV3DLHJJf6eG5waYgN8lR3+ltmfo53YCima6pj82Nv2qbJJLMqO+76YLg6GIXxhU7qQHfZunkXs
bK2Ra9yE9Mg+J5uOeaMAKdKLskN/mLLv0BquvTQbNq304PO8eHb32MPXWUHp8f38IaGVTStya6h/
0mPvEkSTvMMMV3ZSZ/GeHvmxTNPXQtVp/umgC/LYP2sn18RfPITzafbXfwAAAP//</cx:binary>
              </cx:geoCache>
            </cx:geography>
          </cx:layoutPr>
          <cx:valueColors>
            <cx:minColor>
              <a:srgbClr val="FF6600"/>
            </cx:minColor>
            <cx:midColor>
              <a:schemeClr val="bg1"/>
            </cx:midColor>
            <cx:maxColor>
              <a:srgbClr val="002060"/>
            </cx:maxColor>
          </cx:valueColors>
          <cx:valueColorPositions count="3">
            <cx:midPosition>
              <cx:number val="0"/>
            </cx:midPosition>
          </cx:valueColorPositions>
        </cx:series>
      </cx:plotAreaRegion>
    </cx:plotArea>
    <cx:legend pos="r" align="min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_xlchart.v5.5</cx:f>
        <cx:nf>_xlchart.v5.4</cx:nf>
      </cx:strDim>
      <cx:numDim type="colorVal">
        <cx:f>_xlchart.v5.7</cx:f>
        <cx:nf>_xlchart.v5.6</cx:nf>
      </cx:numDim>
    </cx:data>
  </cx:chartData>
  <cx:chart>
    <cx:plotArea>
      <cx:plotAreaRegion>
        <cx:series layoutId="regionMap" uniqueId="{9910E7C9-EDF3-485C-964E-2E96A96D7047}">
          <cx:tx>
            <cx:txData>
              <cx:f>_xlchart.v5.6</cx:f>
              <cx:v>Avg. Wages</cx:v>
            </cx:txData>
          </cx:tx>
          <cx:spPr>
            <a:solidFill>
              <a:schemeClr val="bg1">
                <a:alpha val="93000"/>
              </a:schemeClr>
            </a:solidFill>
            <a:ln>
              <a:solidFill>
                <a:schemeClr val="bg1">
                  <a:alpha val="95000"/>
                </a:schemeClr>
              </a:solidFill>
            </a:ln>
          </cx:spPr>
          <cx:dataId val="0"/>
          <cx:layoutPr>
            <cx:regionLabelLayout val="none"/>
            <cx:geography cultureLanguage="en-US" cultureRegion="ID" attribution="Powered by Bing">
              <cx:geoCache provider="{E9337A44-BEBE-4D9F-B70C-5C5E7DAFC167}">
                <cx:binary>1F1pUxy5lv0rDn+epKXUlnoxPRGdtQDG4AXb3e0vGWWgc9/3/PVzRBU2pMvAi8fERNEdrqAqVVqO
7nbulfjvq+FfV8nNpno1pElW/+tq+P110DTFv377rb4KbtJNfZSGV1Ve5/80R1d5+lv+zz/h1c1v
19WmDzP/N5tQ/ttVsKmam+H1//w3vs2/yd/mV5smzLMP7U01fryp26SpH/ls70evNtdpmC3DuqnC
q4b+/vpsk9Wb+vWrm6wJm/HTWNz8/vrBM69f/Tb/pp96fZVgYE17jbbMOeIOV7ZWitz+0Nevkjzz
dx9b2jliDqEOYULf/qi7vi82Kdo/PZ7b0Wyur6ubusZ0bl9/tHswdrx9+frVVd5mjVkxH4v3++vP
WdjcXL+6bDbNDSYe1vli+8AiNxP4jBaY8W8P1/ynN7AGs0fuwTJfsKc++gmVdZJX4fXmbmn+c1hs
50hoIajN9EM8HBt4KcZth23xYnedbvF4xkj2A/K94QyR9duDROSPZPNtk74gIsw+UlJyWxL9feHv
C4ojjxxOGLOJvRUUALcV0i0wzxjQfmC+N5wB88dhArO8STb9prq5W53/XFaYPiLEUdK+U1EzkVHi
iEtHckadLTLiru8tMs8Z0X5ofrScYbNcHaTQ/DnmsDb+3fL859Bw+whLLm1Jd9bDeajNKFFH0HKc
C0K22Nz1vYXmGQPaj8z3hjNg/vz7IIH5owqnPHtJbcaPbM1s26F8u+4w6/e1GaX0CNpOaCnknVvw
QJs9PaD9wHyfyQyYP74eJDCLHJZ/c53fbdv/XGTgkGntCEG4vbUzM4eMEnEkuHKYnFn+5wxlPyY/
Ws5AWbw7SFDeBeELAsLJEadCMK53HjLW/b6owCNTRDPh2HQrSjPD/9Ro9mOybTXD493JQeLxRxW/
dNTCj2DLEZT8wq5oeMlMAzXhbIVoZvKfM6L9uPxoOcPmj48Hic2XsPLDLHxJ0wKTTm1HM6m28jCz
+co5koCOM2cnLzNsnjOi/dj8aDnD5ssfB4nNZd42wavlJs6bF8SHc8iGpFyoHT5z00/Ikc0I11Ty
O7O29caeO5796DxsPUPocnmQCC02SfhPXr20/NiCS6npLtCcOwBUH0mqbEX5ToAeovS8Me3H6H7b
GUKLw5ShTzdZBuLp5uZukV7AQxOI9BHkE2dnXOyZQyCPGGc2l3zrOpOZo/asIe3H517TGTyfLg5T
gHLAc9WEV23zcgBxeiSUoIIxhJXmZyZBCh4bcxD72DPTs3jeaPZj86DxDJ3Fp4NE51114+fZCwLD
jjRzwMUw+d1Vvu9KU5uADnAoZUDsfrj59ED2Y3LXbgbHu8P01c7zrNm8JAvA1REYS0G14ltBmYU2
lMDUcHhzks1cgWcMZT8i3xvOIDk/TAk5D6+C0N+8pIwgtFFcaXXnHs/cZ0dAeREN321n/eVDUXnO
iH4Bzfe5zLE5PUjtdXyTI7bZ3C3PCxh+G9IAuwHXeCsuM7visCPOOYMw7RyDmeF/xoD2I/O94QyY
4z8OEpjT603wkgQNR4pSE2Xf+cMziaGUH0mhmXLIzN4/OZD9cOyazcA4XR4kGH9u6gCcf/Oidl6B
MqNMKOcXIeatnYcsEb6VpJm5f96Y9oNzv+0MoT8PVFySJMzysH45RQZKk0JaOFjmvRSNo48oh5cm
nF3aZkZpnj5jRPvR+dFyhs3pYWYzT7Pr8EVdMiQzjWFXeoeMxtLfd5GRZkbg4hCpd7HNzDF7xoB+
gczdTObAHGZgeZr3mxcUGPuIKC6F4vsdZc2ODBySkt3nM6fsqdH8ApLbOczxOEwldoZwrr2Kx5fD
hIFntpXhWWb2Hh6y7SiFYHIXZM7csOcMZT8gP1rOQDn7+yBt/7s4gSf2olUySE46jENUth7ynHrR
AI2Y0qU78nlmWZ4zov3Y/Gg5w+bd2UFi8zZvw/qFbQs50g4cLil3oePMtmiKrBp1UBWwk5yZbXnW
kPajc6/pDJ63h6nP3oNXrsek27wo9w/HzNGg/nfx48/MpTpymOOYYs3vjtt9nuy5o9oP0sPWM5ze
HyZO55swe0Hunwtw+6Yw5q7WbJY8k/rIpkiuwVvYAjQToSeHsx+ZXbMZJOerg9Rsn26GF61gpijv
Yw4HbbyXldH6iKEsEzKzK8yEu3BfZp4czn5Ids1mkHz66yAhOd9UY7LJru9W5gW4MpQxGfdMzGyM
kqiWoag90zsBmTlnzxnJfkB+tJxhcr48SEz+vKmbVz9KGrZb9kWAQRUzqBmAcPsz02AOQXaZKabJ
TpxmAD17WPtRmjWfQfXnl4OE6mOAowivTuuXFSGkMaXt2Frsypb1LM5RSHNS5KBNmebtzwyp545q
P1APW89w+nh6kDidb+p6cxW09U3T1C+n61DljHoM8P5IzNz+0IecDYCSRCDT5kDW7pueZ49nP0Sz
5jOMzg/TYfszrK/yrA5fNqUmmdaC4ezG9uchPqA7wSPguI3ef6bmWUPaD9G9pjN4/jxMEfrcbIK7
TfwCxgi+GQQHZzd2fMGslOa2DF0hIrXljFF7ahz74di2miHx+dNBKrOLm/7V+c0QXr1gKo2hNtCG
9af3Spfus8+UyCMK/ga1T9Bx91XZ80azH5X7bWfYXJwfJDbnoak6e9myTVNVpinKmnfkwMzIaH5E
NZg1HOp4iMyzxrIfmHtNZ7icH0ZW4OrRo6T3XeoHT/67Z2g1SE1kO5H639p/OGL3pQYRKE7Q4sDG
XcwzIwVmJ1x/Paz9KM2aP5jJYRyfPQ/r2vxfFOHd3n0B24IqPxvnAr/nMGeRKKw+DjfZOGezO2gz
szDPHNR+TB40nsvO5UHqtIu8+r+oRkepAOgb2BN4aLc/D2UHQSjoHXNU7Qdn/cDuPHNU+2F6OKcZ
TheHyRuYrZe31UtKEu4AkApHaXbVGmTmpZnTNkpBv91Fqnsk6akR7cfnx1xm2Jwf5sm0i5tv1aaO
Ny+n5UytM44CGB96a3vm2OgjpHwM9blzG2YlUM8Z0X5sfrScYXNxmLS08ULf3FT1zfiC6KDQBs4y
Qs8dmTZDR6EyDQYK14fslN/MM3jemH6Fz4/5zBF6c5gW6KbbvOQlG6i1YULi8DnqaW9/ZgQbpRIu
ggBtszvp8VPM89R4foXMtt0clcMkP80ePdmkBcoIX/JWB86OpCOQqb47xDFzqg37aYgDSNd3xffA
MXjusH6F0YNZzaE6OVAB6l/9nVfxCyo4XPDAtM3NvSe3P3OUBDhsQoDjLt0zcw3M5nlqRL8GaNty
js3fh4nNrSO72FQ5qj1f0EFgqMhhKH7+ruRm+R6FWk8HOk7KnQMxR+jZ4/oFTrP2c7QWB4nW5e3R
3P8DtHBCioAnsO+S2TN5QnbO0ThfAGJ0a7JmaD1/XPvRmrefoXV5mGh9ualSnJ16QbXHUQ8qbPw3
wwdHCyWuu9ESHOntz8zdfsZI9gPzveEMkS+f/n/k59eXqX2/bW65aTar22vq7t2n9vint3PH1Xmz
pjumeS8ntLX5p9e/v7YZZfCvv19/Z77kCY76XrObTd38/tqihOE2KdQvQmeiUI4TCFiPTPztR+Dx
TBKJ4+CoViCPXr/KjHbDLXo4SIf8ntK4BEQhFObw4xGE335EkeLAWXqH4ZgdsVFX//2CwPd5MuJ8
5fcl2f3+KmvT93mYNfXvrwW+qNg+ZsZq6vXRPeryUbtPUQPOCT6/2nzECQ48Tf+rjHgy9X4Wva3s
Nhw3POeidjOuGr4igbYy7bK+6qPxJGR5nVqnuR0UolpoobKTvA/JsbTq8bpifpsuLFKIxRCN3XQ2
ZFLdlFWilqFUsprKk6zxZVxLN076kV9adTA5re92rW0X9XWisipxyeg7SqziaYoC/Y6EVqM+dHnb
UbYqZFMV4yXLKq9ZyL5ryN8J65NwdCdu2e2iCnKSpW9Cx+oXg6Ms1+5SMU6x608iHoK3ssvKwrkM
bDXlfbQwJaX2iqa8mSo3yoq0/lSDcKUrJ+IsIX+GpWqm9jgrOsdOFzVJM3IW0jBuVxMprwKrrtaq
LMb3wk4ytZjGPkJTOVrT1yIjKkQS4scVgw9Qu8qLsQr9YHez4/df/+dTnuL/2zsHf7xpLob88RtO
6m1vlHz0KZz9Mrcv1POHjAB+/64ftxuaTf/9qsOZGG3voPyFjD364QMBvLpPqt/p1FtJMtv+1+I3
46nvCa5pt5M/KY+0Ygyl9sAP6Y4f8ocUu7lYBKknhAS4IMFBtLYTP8QCDHcigYHaHereyR5FERKz
cb5VU3AkGncm/Duyx6Db78me6dHUlKM6xlZgJHEQ8KHsJTSqMtrH4sahXtPqlV3wwkoWpOjC6YsQ
bRFvuFWJep2VYz3yZWMPIhgWVu6Rb35W8cxa5PYQqzc6EGO7jCGu5Umv06Q+T0RaWKObx4Movom4
iYZ8aUmZRGzhK8XpjRrysf2YBINKNo4jCu+KpayUF74My4K5KQ1rDIVD1tN3ASVNny39RFRx4ea9
SNO3VI0lhuynKR3P7JRl0T9W3eVocw/SPQoK3uSDNUI4ZnONqNqUsWK5jP66p58UTcM2kIFz4/V5
FpUnTcoTfpLwrq7UyVT7TdgvprDAtRoJ8ULbWz/ePYXCf9g/tK85FMBggHEcQ5vP7/U/RcypJZHh
dURjFoeLJmeCBa7WtlVG62ro/apZVkHj88C1uDUV2fues7G2F5RPsmdvGhlkdezmeckqeoHinBKf
PT5I2In7Y1SwFAzHq3BDDqIisy0fjnEIQssOKmZdS6vqiL30J+Wrcp04vGHEzapGyq+xIF5z+ni/
M2xMv1zjrlck222kCuf9Fu2Yq9xizrU/Ys9JtyNFUv8VcM/OfLePwjZ8l3m4FrdxgyBHSt59vHv9
07QVijRxgFZzXJYFGXo4bV90oUWGgF1bKlElW4ieSLGBIFnNaT6FKrkILZrTcxaXY3sZ14RMgQvW
IcGi/LsjAaWD6zlAad962zMjGqjAS6KRVNdc9hC59UjlROO1qPq25qvQ8bj8WrVYgtKtJUiIrzkZ
u0qvujAnRf8EKvAIH+4GYeMkJK49MNkoOJSz3dDIkERjnHlXnp4yUR3nZZF648ry0lqPx6NTDdgi
j8+fzjSZIgJuBKQEgoqjs7jgdwaFniKhi8b6Bk5HpdbJ0ARGINIhD3D9bttHfOKLMK1Hu3AHbTMs
hAhJ0F6mhYzGRWbRKrvUaZBW2bIUeWV/TLswq789PkyjT3/4OlzhCCnBgStcQIDbPCAtM13S9p5T
kXIavg1VU2ETkDYmwIcMPROWO1Sssy4LOy6N0DR9bl7Cwm+fwOenxQINiLNf8Aa1wxmHanu4WE5p
181Yy/xblggLOjyC9pp6txtJM4oz5gno/dpvcQlaGokMGrUq0oqKE8eKrC52ywDa1mj+MUCrLJyS
7owPcZGnT6gVOhcwxITI09hglG0gLM25qPu6b2B9VuhsYt9qz5ZWuoqaukja9+XUhEW26MuxxOAs
lXb4LB/LNB+XTjyN1mVfFN5prask8hfpNJHxLA3KrPHcTBMJB64VxEo+ylT7U7rAlcUDVKJtRSPN
3pBJJ/jWOPT6snxCTCn41QcbAPeG4jiElgRniXGC2zjc9yeEnZmVXdYVX5XIRSQWBQGXXrqe12pd
LeikLKh2b9xqz6Tl+Ky9VScF9Rx8NPQNk+W67dnTMsTnWhyXYsAZEZrikmYju7NtEQ9xnXpBXnwt
KkhRuWJ17PBzmwZsPGN1O2I5tNcl05c0GMZRuW1Q9WWwgMLv5Ue/nDzrpEp5NH2prLaWF04ojYMw
8C5N9HHcCgNPXjONLTR2SnQfiyqKpy9TIuM+dkmSGKMVYvUBUJ7pAG8y+KrTFycdBmDHRDTipZ6I
3zjLQtSsXkvVGuziwQ/hYJS33WvHt8bedfIhwlfkcB4w8tDKjG/QFCKNN0Mt4Y2vdVfR7pKzfGre
VlXsVW6SpBX8bcv30uHE5zCuf2dO5vEvHekoNplyEKn805VZDhflcd0w15pYfYVDZCir4IjEGJ1t
DeaNmU91kXydaFpXvjvYRBW12+dRnpyytuyhKB7vca6NbHP406aw26iO0j/1WFekDvqU9X+zqTWb
sW+5UX92rWIYb9mVQn71IjZhE/Z229T+uYJiwT59fBjmjqIHQsFwDbWtYCuQNrI5vOSHQjGxri0t
LdMvKc/ShrlN3grrJi+DEtooiOuMripP5eH7rnZ8aJwiELm/8p3G7nIX5yb7pHMb2y/PEs+RlwOr
Emd0657K7mPjWCRclGIa8jNsIhK4EeFeWLjck9QIe0CwD/MugHdx6kVxYyS/Q37lHSr4VDG6LK7Y
0B0/PuO5XnNQOEtMBaB9e+spYoKHM46lF2R9WavPXZsROLGiqmw4sd1k9i2Hk8VPAtoP2LZDrBle
/ObWs7VkYbY0a6Pe9i69QZotbZfhlFYnYWEzoyLLqSZ0XSZdUYfHkxhjSJ3Xp8anpqOTQjoVLSFG
j0/Jnmk2Bx6QA7MJrQYEwfXNVHXJsnTKo8z+7DQBg2w1hW8G0FisNaJ7K8fg1UeMzQsGI+LQlUal
VEUJQ2MFFG48HYR5Ky9jpJwTHSl+EvaJWYdy7HN54ZUDngoDZqY4+qms17GlKrYunKpj9WKEvcB0
n5jazMvE1DTF/fQUokIELhmYTa0ZYqqSNh8/M78zmqqpSmytKZnC/KohTmxn7tjk5fRF2Zmxj6mV
UwAyyDTxx9WUStr4a82stv8ML7XCcvQqYth9rJugTbLQ0thivE8Ko91aqM2T0C56qLUGHgk6DBuP
4DfEWBRLkfocS9E0KrCahUjaCCIRaDvCb9v1MarQZOy/B7bvtz7KA5rmoYw6cBfgXSlbOAg7yU+u
Lu0nLkdZWp+6VOXQDlv31g6coYsXiCwDP3tKLczMkemSI1VmE5glHAmYB14kyuG1FoP6VLcUO6QZ
UQIfHsP2Y314VPBcrLzeyofalQkbseBJ52VwWaD0sEp9NSTNeyVrx4vWXsMdKAMIZPexQqEbLEBq
QfCbIYOh2sHml32GpRwSJ4OsQIoMHH48GCCsKKR40WOku48kT3OMRMQxbFMsGxOnPr7aXLOf1tsY
ASgJ3PUCL2ge2cAdrC2fDOOnIBhl4rlNG7Ni4fXEiy6kPfFqXJVBJQvH1bato8CtqjIs35CkZYNw
C3g71lnlpxY/99JAsUXZ54N/RcKEnPRey+UyVlmeXPMomaqPaS5T/F2QiSb9O95RMkxLJ8q0KBYl
/Me6Xfe9cLqLqgy8IXdlSlL6lpGK6mWWVZouoqFpK8/NB6ecIjfIuooPC3+IOwhDN1X9mLiDJSIe
rbVNW34pk2bk/oIMtO3b40L3AfXgv3l+c9oECp7ZQk1JP00Ia7EVi9MhHr3WLesikutOK58tRWoN
06de5nb4peWJ7y0Zb2y6GBGf5qMr/abWSx3afbzwReKf4LBDsyxz0k9nns4IOaY9Dey1b9VOQFZF
nKf88yg6P7Y+65wMw6ehGVhzbtVNZn2ExVDttaikrD5PqvOz3C3ynAb1Bz1MSXzshWA31lPOnTR3
dZwzO1ioaqpL5xtNIye7Duwi74YltspY3ui26XuyAAtZ0+ik8bJSOEvEASKRx15qxfJCU2XF8XEn
C7tOgpvAyViDVR4ocyp+PrG8w5aeaFUXwQeQu40kqyzjRaFOW+2FQfI2E0Nc+quo85u+e9sLzw/D
tcfTvhUfvcxm5amMeOA7a+wVyWK36CYCs57UTthr17e4LJtl4FVTNJ72fm0F4XEfprA2i1j3HAq2
K8JW/JVbrRT1KTZHb3mLnsFtoRdtAa9Lu83InEG+S2yl8NJs37TCMMFnuHuao7spr3n5bWpLbXdv
IlkVvn1CB8tSajFGIm7V8ZBFNE1cwTtjF4mwQkzHZwJGZTN4Iw5HLCIRaOG/G/uiL9T7yLOiPlmr
mFl2cRq3o3a6dzJiItRuqbXhJFTViCD+onzPs6YzzpMaK2WNJVT2ObR2GYgzi3mVSt7SsAxp8j6K
+sjxVn0EReCv8hDlMdUCKssMaeysBDQu8YMxLJekiKPKWWYNsUT2l+3bGfpLo0Trz63vlOWiQuiN
lbWdNoQFWVAZmC/B+OGyuGWpjU/PgxqzXxQBzZhcR0FvVowlTYyXvA4a6zJLlVH5vGtAVi903+TY
AFMGf+O40VWK54rtVINGTFi+MgLBr2BLag+9JQFFkJnR0MBDCx7Y4k+aDGadM64jcElWa1WAwspi
J+A3ZYmAplxXYQhPa9E7dFTlInQC0VpAkLdl+6WJsjbMsF5WMOXHQTtxOpw7kTJDDoF0MV1K7Cz0
wPBR+c2zBrPBZGUZ5MVo4b1Ep2Zpug55hxAm1il7jKHDsRrMcTefqmKs/AbCLcB7YihyeRkL7mm2
4L0GAeQWKqBYi93u8aZa4ytVZJnJec14uxgtdk212Pm4WkzC/MZqEZ8zElbW5W6pre3jd4u8fQ5M
gR2fK7tIMQCaWUH3LQ5lEVbHYcZGTLq0J/w5Jte3mR+SSwTgfq5dsQUqn7oGWw2Rd1v5pxnVoydc
GgfdKN/ptM2xSp2dJnjELsCxVQvQHF6n3RhJCcDtp8LGm4nySflNb1cwLyBB0GvbOQV2iBhtUeSZ
7OnJ2DomOidbaLfbQ3pxgvWRPESLlVCJmfwgxwD71KeV6SbggcSbY14SFXyerJC3zRvMlJnl3W6k
qR1bjBKTNN9Cw6pGOxSTM+yuugnM0LcLak39hF/yhOVcrSwisjg6nXCScyiOfQISiaz6sM0h0zry
DfNR98A37JRdfqPSz7B9agGPFZOvOji772pw2eYL7c688M538JJkxIhDOgkz/qyVftB/bhM/8cN1
5jv43qBk1GcncT0q2pyx7V4Jo1o36ni35DrqKgxnCFmML4EFyNF5VIQx7HxHy0mSz/DcIqdbFqXV
ZOGC1L6HzkUU4DLlZZMU4DYTEAagbABT0J6q3Dfi3MK+4r14bGXkrGM4i8P4huk6GfKThuckTReJ
5knauV7tgzakmrZ4PmjKGi9wGkVykZYt/h3THrydID0FVVSCy08uurjxQAr0VYTeaeDn3ReZeQOi
AG+czN7vNVR5tB5YaUPDOFWQtM4qSWFi09VgZZ6uT5EXrKbhbyKHCPrGT/I8jk92dHLUJEEVrdsg
Qbx7NfIaVTMnRRRgOY7ZrcyUuYPsnVt7fexNX1jg5H3zuWR90MuTZjv1Qfs1logVwxRjRrHf12Il
J0Kh5ZqKm+WjQ2F2Dfgqs8W3/KlTxz1WgLa2mW8ThjZeKmxwPF+GYB8tN0wm8MooPYiRJARlMcr0
nBW0whNypCaG7URbY19tSZaJiqTy1m1WVp596nvlhO+YttSbh7AcrGEpeAyK0qMxQt80ReyULZoE
xIQ4S2Np5KnhfQgS3o+dBqqSSW+EzatHaJpojcjWLF4bMkMV2K0Tg4uPksxHc5xWxyz/7uGeedab
3qurKrzQLDIkZd7C3J2r2GOy+cBBY43eavAiawzWsi9EUi9BXeBuc1eBBJJfuc8oQnIYQw3wJ4tP
mJXMUmM2UuGZ7VbZFcXm265k1ORgollIQta96SeReupDPLW9dVnBmQarMBWlll+hb7G/rL6YsAIR
J2YOXpFZUP4ILw1LlYTwV+FZ6zTvi69Sj0FJv/EhkcmFlEhGemtu53Vj/dOHNBq8FSwaS4RbJ+C/
rYWTUFV9ASPZx80n4peR7y88MbJg+Ngr+Dblte7CrrT/rj0H1MRxFbddqheWPdXxl4m3Ns/dFtZh
QLBPaQ6fUimhW9pil6eRthcd3rRU56oemalhuZvJFsuyiEAQL1AaOZpp3aqbJOmM/tOjb7QJvH8j
vGGdmieyW/bei2zznqDEwhOjP5oHPQZ2Il0hcje5jTDxCoiyD2/Ru5iakRarCIJqpFKn5pPdloVP
CU2EpLX5aEvBG3Vq+YtqGCumXGpXxHnfBsrvc7cnGQh7Pk6etk/7MjNS7luToQNr5InwwuGWNafl
RLC/OUH+4QK8pRl5HCLT+HXXkag0TFqJrWJdbiO2LIwmFZuMc8s/xFuFFW+JxhJl19gNVlIaErKu
ZMX5MvXTMvfcoJStddmGosCcmx5ZvO5NaPvGjQv4gD5Ul5hhtbcCZ+Ux7IjridYIeWGbNOMy6wez
J5U32XHoiqDO0nQVRAmkcb1dEPDARunFuMcP38trakVngc0S5TxBfM0CenA50A/YwbdFD/QnWjlo
kEMAX21fBnkuMWrl+wOkoc+hZkuLGwlKOhAvgduFpRn7E9Hdw9jOdI86DFwoZf4enrz9owT3SeCq
HXKrrxWoqq1qjMABYxSIAyBJj3c1I9AhTQQnuNAXKCv8Kw31di952Dtx6XhwJe/2CImHPF+Uhcf5
O9zYa3a3loEBtQ0jIJzzigOynXJ8fCwPaT4ch8X+cXCHuSORDsc+tx+OxeuYDfo28i9xeTPUWCio
8cfrGn8ccDXlcJ2fWuefO8QhAVPw4mgb5KKe8YpxUBGapMT7WKIYRH71Y1j8UzXGUHM7yX58gtTQ
dj/SO2aG4G6JwEVtqJpBOmrW4ZBE3M+aRH7caYweJSbYRKNkoxDrgddOt44Kb6o+tD0bo2XaZkaf
swqqwaonDnv0xIge7nSMCKGUuQELhTwCZeHztNioidWrkZUfk61Q9fDrIONDG3vQ66HThYAg4O0I
ydQMxgGuhRWYgUQFK9tp0ZWI7NciZbkg7gDVMi6g6ks8Dvnw6EU4MsSTi36bzyq2avbxScxhBHD4
M4SoU0LNLaX4s3gP9w3sbtnYg9VdBHVsNNN06wgVtcjaD6PltBwXcT6f6hJIgOD+CQIgzY8pIn3Y
nxrgjeBCsfZiZ/YGPygjl+TQrLlb1bg8+9/rD5S/ufQCgoHD+vwndcB6D0x0F0YXW7MEJ9mgoeIE
cpHVpTEYj3do8jj3tik2BNJP5nwT6lE4GM0Zn9mP0xBWqEo6UZlVxWKh0lSxr7KCwDwlgj93Begc
ZPDw9yUQZM5TSqlnp2PrS/9k64p0AuwI9pFdpnh5fFa7Uox7EwNXiK40CmQIrq5wcC3/Q+QIQV5G
hUF9XE02CeqVLQZTjdDixGSb/1NPGXLoi7z2wa1qN/UmRItuI/yGpmew1ijB8Rd5XID5eWtzcA/k
feoJ389PRvgGIr/whjCmw7jwbKSc/q7LMkUYVEU2z8pVmrST3SxITmSdLp1KgGp7ywaaM/leb/N5
sUQwwt55WUrL4Tz2g06jZKbtZEjBiUQo1ThBoKHCdJlYUQEodg6KstAscOOtWwEP3YGxkLdqbBtq
xD2B6u6D1IbqRmho3IC+sy04tLntIE7I7BYPwMWSrbpgdWKcOWvr2xRIjkLaSeHQKXTjuknp5GZ1
pbNwKQuVRK17R3mUMJuBu3Nkbj0oZNZ6rO9UOsaIq7IDs4TYIpb2qnBydJnGiCq6NwTZitBfJEOK
I7PH4POTKPnM4PZqdiHHRvPiNJLEMmRA3VXgWcdtHKb7sWblMojbFLQrGBiFLIMbBY2Tewurzf2e
pG6J6+WE/V6XulD9yi8h3OUnMepuyj8h32AyWvABiS0v8qZGEuFTWIBt9pcoQkI5wTqoSkqjRUrh
dP4zIvSsnTdCDr39lYphbJwL0GZe8SHTOortVZTVFkEkDMUxNAtUUiKXvsryEdgu+8GeqtElFpiJ
bgHXDFWPi5GPXv821nVTTy7S0X2IaFo7FfKiYUDqY06Spv8mSRqPwdLjcLgzN1VZWv2VgXmxWtfZ
ptx2uqhEPtyXb50UejtaZ0EiUXq487NAfBs/ccwaY3S2WyO59QYzlcQI2SqNipjC7SoiUwpN5ucK
w7Dj2Hb72Or0Jyjx3LksMm0l6zQUvnAD3+8vxRiKaDmGvXcc8o6dhIRNp2k1dCdgMvKPqpL2YtAi
uFBhkxBwxl31ycOmPuG+yGsX0hd8i6oi+csnYb4cNPUQiyasOUawC0rJzsSZU5CveQxxzPpCvpV9
WCwVDwKgS6xqHamBr6I8bN9NUdKQFbzyZuWMhCXYsTK9Cor2EnWqxVnFLf8s7epmJWpQ0Kh98U9Q
v6mXge6dD6oISuT1i/A6rEtvmQSF7448y5bC0+UbZ7LT9ehlyAJnheD4amfMFjzK1LrHV546iMe+
VUPeHqPuwbsudZwcxwNNJnfUkVgHEckvi/9l77uW5MbRLp8IGyAJksDl0mRmZRmV75JuGCoZGtCA
IAECfPo9KfXOSD0b3TG3G/9NR7SqKpMG5vuOAwM2n/WAaJaMRFP9srmdf+7JGKOVN8PzxsO2pOFK
z4yKps0mQqIbBpjuoNcF+QtdWj0APGyhV1oj8TUA1YN+JlDBow27pj0oP5IyWIb1cbEMgAOWgmLx
zpyjRXuZxcPG8yoVVcPfWhsKfwUFgvmyhAzq0MmoFW1OOzQ+szC+fuNrnA4FqYg+DwJyhIIFa/fg
bCTRJw3TdbyswZxXvJk+025RNw7HBFwvSXAZoVV84VBru50dytlbmkp7BfSbnFsZNWHBsfp9DbYt
GrN950GDtlmRj5uat28zIS4P22D/vCzdFEJRoCAf3PcFI7fpVZ9BMaVNofZNunNi6rnOaKDaOx+k
WIjRUuV2i/rojCj2Xp21m/UhVCa8jvvBZUB6X+PNf6Gmqu5YgOljF7MWgBZpm9VusGkR+ykqoS4e
71TD9EevHGoyCnq7XjIjoYGQedrWscqIidhnMNNTFkFje5wAFGQhHdYHF4zyYWn8KnO5rvXL3Pj5
TTs1hNnsjMurQKsu63B9YFw5MDdMPNfsOXN8uxfh0vT5uNvuczeoPQPJM7wiK33OlLLBgwCJcKVC
zXOjaXVm7cg+LzxxNx3wfgvagRl8abVmlSEzOlJT3yScTG3WB1J81gRFTcFRn3VZ3C3zfbIl8oCF
Pkly0e7paQ2m5h46HWg7tka/hNOojta44Ngpm3zWUfWyoU9+2edh58dZMZ9181B/83ggx2ZNjSlR
BvqnVYu4yjSbwdjKes1oY+1VIqQ6zqhDg6xOF/EixlW8R05Fz52upne72/2bwQAvbDqFtwzCgiPF
TlHMbl6fUF+SLN5Ge0P0Ij/tdBqPUR9UUGYBTr5rPGXYyxxWJNpBYo1dWyanFMRMrpaxO8rY6Bdo
uyJcvw3PAR2jQ5dEy0fgcvO9GBt9CnwvnoZB79f10s2lS7Hkog0e2ruR0fWsDdvux6XSz5pz9iWS
FotDOHt7x/yAyQNM60MQreba6XS7ajcXTcBt+HiskoEVaI+hsATsIa52oqubqmr0wx7y5oUDOvk4
73x9xoZfnzDZ0ts9ICs0TEl76EUV34DhDqJ8HURf8N2PEca7Hg97TaZ7CQj+vnaTmnMoQ+hBb938
Ua2G1Wiu9/1GC2auIVSCypwM03Md7WLAmj24MkolPwXg/HKrdvaB2zoCMq/JV1KF0KDd+Jjtrcj9
4FDrFqkBpM1vZBzZdC0pDHf9mvVCVTcbUfU9UJb+jjA/vvar/oy/qQH0tsHrMqCC6Uza3TnRQX4Z
q6A9i0mFnwypzJb3zUZvIfUxL21o7Xxswj5iuWiC9JpVk+YHAV27OA8NVwV4XLZnFnx3wcU+pFm3
r8JmQ1SNdxMB33/tyZziWSd0W/XNLCyInsDpYLsa2Tx8iBwjD+koWpUnDmL8shFKP3Z1a4cSlK9v
rodWTm1B9BhDhFhVATmmdln2R89HbZrjpfSghZgdDsiVeGrTVsuzRE+u+zxIUbnk8WAqewu0pFvy
yAT18wYtv88n2ic3kOtVQbEFKBGvVzTi62vcovvTWEe0WuMEhVM9QlZ0smuSnuPQ0bF73iNfhTbz
bqbCnEMsdvSKMzACx7n3oy4au8TmSZBadlDg1L3QmSZV3cucMOGe2giqmSxsWP8w+YDsxw2NJqwF
6RzSm010bsxDDRz/Nu2xnBYQyO3FBGTr3IVrm+NEPnleiXdL96H3JBF7hMc/UjcUwGkGeVFpqTAe
Pqwr6/ha+KRL+hAA+zJhPnDQm7kJfDiULDB9cyMbsLPZMALmzffVzWMWDR7ET2o6eRpbFk9lDaLw
VraASYvOte4U1SzgRcJpkwIS63RwJWutQEeaOPVZuIH9TtZwvSOxcGk+dBVbspTJCFAcMLvXQBH9
1QqUJhGcGeFxmir4NGrbhCbMUcI1ZMrBzUOKtmVpkzx6wqYUhZnhvu1zrKQrfmGipEUiFRahmSdl
o3qVxfUcOFHKIQ3SplShm+L4NiA2MS8gc4fq1M2cfa6t/bTvTf1SN+pTLVTcZWgThqcN2o6y4pU+
UmweFItEokF/pft178P+TketOdhGi1zNaldZCpmmyoYhHp702CeF1onPDG8Z1le7Dl/WutoP6dSD
xqtddQuGkdM8cMs2Fzs2G3YvliZ6SiEg0kVrgfVgPGDAZNDDbV+DSckHNY8LL5c0rW+WaZyezLys
dWlcbasroMZ1mpHBiath6uYiHOf+IOcqfholDUqxNtO1rGJyG0rHrkMF0nKqF5DXAm1REYYV0qRN
ao67C0O4Z1JswgUVdl5KFSTTHfSD23ql9FZlYtmoy2dZdzlLFqsyEQwVNKQQRJqrJcHNlR4g99Ne
6fZrBd57Pnbg1wqNSbllu5f6Drs8Nv82kX3RdqgvcAnVI3ad9mBSkeRmVM1r19bBJyBv7gDRjjhO
VAyHVKXdPemozu2QNG9w6bz0HZRgNRq3QxpW3cdpC9cpi6Np+hjRSp9NGFUuq7TreN4CHD1XKsRN
1xQId+tsjmY3+tChLTnbLWi/yCZKP8mqDt5kEG03FsxtEat5uooAGb8CfA/lZU1zKos6Ot8mVRWh
bsXieBmE7AuTl2bYj8Nl13bh8j5ZTtqyT1oQoQCTp+RqjMd2yhfduhVc0z4BLEzh+MmjHutIlpC2
i297tYTvTdOsMgt7XEPW9WnDc4nPzQF/YUw0XsVXQ2LCtFgbCDk1ai1Znwc1rX8odG1NLlUU0U/Y
eDedCcI3eyKrTIpVdeTUznH4ctENHILdSpO1nqgPcey6d2O5wvaAzvMwmQpqqKmKoxtQd/paeYhK
Ml2jpLlxi1HvMlxdmy+AGW3W2t59WVePuYJJiT7NKKCYXy1YK5uBkbPl2NnoDJC6hmSqdTuKechG
vyFRzFaHIW3Wa+bRv2UE5cha9NVM4pLMAzS/dLfx67r0/cdUWZfLJVqKnpKZ3pktDZ7ArnEBVRBq
uCxZt6Y/biiqzlj9xq10c9N0KOUESk+oOMh0FzVbQHJTXZR4fqCxKrWycBhAkYJBlLNmaDom7aG2
CaiUQeadRJGmy0sba/PKz22Imjoaq/1tXMwoP4RTsC0FuopKYkkTybSrXAem7v2R0LAb2YfERBXP
ZDC30eceslEy5pZw11UHEGbS0VvZTMkkcnTbjqnM7M2wmDzFhhv7ogF/xfvMQM3NfDFaXw3y2vMq
jGi+GDRg6r63QIeizEHmLcxBGzW3b3Ut2VQXG6YKaBS4cWB2y6ybp2Q91KjVxivTGDJ8X+bF2bhs
oH8axjKewbU9VTQE93JUEEqtY6E9I7S774ySeA+MQC5lOiiZwQFYyNxx+98GIlKK57h0oy+Ealz8
FoNlap5+grVEXQiHtRcXaDQMKqeu4U69UPfQC1x4EMzDPf1as4q65Ahd9Y75NgeLaD8atTWkyUYO
oIugs626LcEWgeV4fTUNAAV+s6KgdHe0E9Sz3NSLmeVxB7uFt4Utr5u694ib0Q5F3K/Gj9eRwe3t
WTtBZbHkEL1EQ/UUrbFqkzKBULWNztSY2U/QIbUrahz0DvV8UIp3WI/JOhUSKqTbEGIulO5KYMX0
okURxdmxXdPBewUU1gJJbXNIqky/sbIeHWv7Um1Q3AhgB+PEb3aUfrysSJ9UYMFsJZTJAjYLVqZ+
j9gRvN/wqrjpXwjUNWsWTjCfZcxg7pRQmwxf6ShRZUH93mhZTskimsJq6FRctoczyMc9Mf6Hyv4s
2treAyy1J+DA7c1EqyiXYWJuu8D7oVTRALGWFSCCFemfOuG29GpGCZdm0ag8y9y4yfGoVwoVo+Nq
G2HOsfKr2mklsbSyocoS7KOmWKPdPy4t2RwKBNKXqEDRIVadiuOjTtg6FNXA3TvZK+dVFtTbHDxy
2cq42JBZ+EXjZEGdLZ1FazDuxKIb0V3QlCgn9HIyTSzt15q4C+KCijoc81029QE+LVuRw2ACDnFO
OIsxryibppJ5upyCZUo/9rZnwZKnVVhPOQDFNkaHmvrlbuAJNUVIY7O+QfoA2USmFVR2OTQds0WB
FITQFQHcuqvReQ8Zm1GH3zoQbi7bIpmWqUz6M6mXCVJ2E8NcAW2dGiDdCL1ZCj7GApQUWZsjfAt4
MamrSRZBW3eaVT93uQFg9r5DsICxUYkHQ+iE+9zVIQmUu/d42QUTFRdlB23FNwLxEsDDTtU3BMvw
8gnN5dY8pN2gL1VXFLYnVDDJWbM0bt+xREb+GFnWPU5bVN1CJll/rXWAJ8+33UGuVhkgI/veuky1
dHvhLjb3m+4b3AJsbGCH02HCapoOMCvIWDwGgA/TQnTTdhUAtGiLDdqYP7aIwUcYy4WdRtZ1kCfq
+Gmu6umwhiN9S/QSZCKFDrHR/Q6F/rL7DJYjfwdPZdgWoVksTF39CIG8aK2wV3WioU5bxh1y0Lra
HC5X9BdpBLrhXI2pDw9giMCz0gjGwqK2kcXSS+B3aLNVpZAXRvUyoygY/XIbGWVu6jCwvKBxrdID
hBDqeXPpCtXxOuIuoQZIPzHd8DobUIB/mMml4l2Q6T9mqKl9myWyEpCjyLltCmzoHZRXgEvu9wEI
QLYnSiWltBDYFREd2nKfHf6mjiGng2xkUIWN1PdtacYyrBaXb2vsP6ZYLey1W0etin62/HGJ9Wrw
dXE8oyFogQIN4XQb9VV4zZteppAJVX7IdFCJa0Ka8N33rTw7opZ7aPW6HBqw8DNcMWYEz5AKn7fx
0uk83VjrC7P5bsl6zdeqNE3Le6y/OuqvuyD08WFNtviVVI1yd0CuZAQwYBp81qsh+NgKKB6yAUKM
uwkKE1qmG4zQ+S5CuBrmisZDOQRd8yxjp7cc+yaqOtTnRRPpmV+eW/JhizbA0FE4VXe8H6K3GSqL
i1W7/xgtw/Sm12nKcAYgsEcoKiGUqi2GfK8/1mSjNWorR3KCyuNWG9h7FuAun8bakCvdYVIXupXp
h9Ws03mNZ3g9dCpvgAukJ1JR/grEuE0xDOrkXYV7VDpGl0erfXglEY8a5p3l26VaowOkMyMgnnRZ
+GmJmjEpdkFQOA2tcMcxDm3/CLdsW2iAW4XGUGf5HMWmRPkSXI9+aqAN3IK3pvLuTVRrkKnFUFgn
Y1kOvK++Q1ZMCxaz9YWj3D8GrAreJyjQ3yj+JM6Iw4OD5P8Nnht+60DyH5VdMeu4+QyB8nqvDPVV
xteJBpgH+72oiURFE7DhiP1Aj2gzlqiA3/0aKBq52eZQ/9EB7Ci4Q6Myw8+/Z64JplfCe/bUNREb
cgZU/0qpMQAVBqWljKIv3gD916VUwIP0OzYoOdgCHDhcTG/oaKdBPWq2wNX/Ye2aGav8guNgoE3S
M/zPEAk43w0zuAYQjtMH5iGl8ccthFcjLKKJurW5oqYZuv0KQm6/vlSt2+Iv8cgmeeomPqwsr5im
Kym4jdmmsXhJqFnAaUEf0YmgTWgB4V2wo2zk1Le5lomm7sp4BxQzS0IXHxgbN/4pGccVi8qsZO96
rGNxQ+MCdR50CgXxSV1D0MKgsYIcGWU8VFUeXmhMGsjYWQwpaKOmb3QmPl0KEJoQ6pWL2rxswFi2
tYRaSNXVRUSOMTiDBqm7eqfzg434ihamjVyi9evEt8p2BYhYjr4PlqHWdXddNy1mKpYN51AHJVWR
WeZ3I3cb+AyfolqfbxNDSZbtqsHKcKpgk+xEDsT6cicsqanoj03tbDr/YUi9h3HWVlziZ9DCp4m7
JuuChvm680vVJ7mjgqf28A/03O8GEZB/MFALeGUvieQigfDhd3JupOg5OqfEF9rBRfIn6x0mMgb9
pKOhhtpz43YccjowHaZZqnsYkbIePMqSr9Ho0pfuB9H199f1O7uMy0LIbQK7KhLtQB6CK/r9strY
w5pUt+lXOamLt2n4KfwYpOgxEMkEuuwfiMrfOfnLN8LGjadx8Q6D8r1EBfyqyQBoyFcKv8S34ec3
2p+qmigeNaj5JW2YgQjOUkdg+Wg7kJU/X8WfASZ/mjl+ZnD8mqfwa7zC/89pDr/lyfya5oAT2vB2
/yUF+I80ld/Ou/93mMPPP/szzQHBDOmFP08wVlAc8Ytd/880lTRCPG8MhB3n8rIAXRvEOH/GOeA8
hQvPHsKiDSUGjFK4DtDJlzQVHJAloKDGGXPxD+GICP6bRAeczozR8wsHzqCWQXwZhY8OHmMK98zv
oysOPeynU2tPE+yERQizednso8jjdX3ziXzn1HbgEfa1HNEJ5rJLlsw5L888kCqnK3/mlsszgeL8
1pn+xvIL6kaSu3DWUYYeeszSzgI5vpSzaJL2A4sGWsw1PDNgQ8VBCdLmIjEiT0X4oCpLC2xYgCMY
l2Uwo9WoA3wniA+bd8GI76QzLTq5vNlePJu4nbAETyG6rO49IYoWPWxe6IR3YE821VfK6reANyrf
YxsBJY5JCUXjK3b+R5iq3q3G1yexeuun9vtUr+hxoQnIkbv3EDR8ycIR9wNbEWBuPb8lQQevgk7H
bCO4PWTSgMoEDFBYkl5pza+g51nLasGjsaIq63WAM6iT30NJXJYkeJQT10tBZ3woHHdRxmT9glvA
Y6D8akCwbVFp/JZFJgswZUbKBuAWnLPhdOqYVocJQuUimRP8VLKHjZu1vPxlx9D9twJN8x4mYwbl
4ZIpUKZlvAb7Qz31DwJHuZX9gq/sUTJcx2zG5W9RWJoZFxSpRBZ0r1+geQKSlRpeiGn87sd5Os2R
Bj5aeVls0od1Jvr6S9WTAM9BPCOacC2jsVf5QlGXXzbeA1s5hybahrnuxPIMcFMCf0/AvZB+P6Cj
208bx9OLFnzpFqdXPCDPPwZJO3teeDYvhUoxDgIfPQyWYw+mAlxoYPNQ4j9AVB5si4uqO8muIqLF
IejQCU0gMs6pWMPSqssoWvG76Pbu2iWQMPMsYZnapsuTKrm0rxhYph9UPsTxHcbzdydQluJkQJ71
W/sOPQze/Y7/66rYZTDzjsW2cvR3dsLfDHhKS6B4AbvRfgv6VuR60W8/3vdQo6i3PYYVhI/7oW4w
ZLBT4NXPaBhMwvszDervmOQY1Ql+lzcYnTzFUJkuc6GeV//SwzOfJRzAQoALwczjmVWyvQPUfYVj
WJ79jje/zZgn8LNW5w2y99smxewQ6fKWAlzPE6j1MOEwmDhm44+HMSpMio3gV5Uc3qHKDcsK6P+5
DyGxZhUGbS+X6uxHETyi4Fc5XIVgErS3ebQqBV1vGJZaTrQYNMMjpRbXUDfLNV+IO9ZJGNxEcwX/
7LqHpQRtB4NlBL6qG9HlThhlI37otlHe8hATFZ0M2Efb9KX0dV9SzBPa2/bBNvHdj+kVdft+opB0
o6ruYXqauLuIn6eMDnjdrBHyXDd0PDoayRIQJqah5FP+492SAbdPqhFBSsBm6wBDYATYloPIVGj8
8P6ga90Pk9LiuNRMljCEiAMUK30BVEHlPwbAZYRjij+0bAe/6LGMCfSRJdvFfvrxmlcI8zAPMIwc
kMrSdkH1WbUxOcUNbnUn+C709+QE0wlWLzTM0L/hFQTye43UBpD8mD2UYDYPsGzl4RhUZ6rNeJO2
wJtiFx/51r2TGqlRBDLlm0qGsoS+tc3NTsmpjjFPpz0ObnzaiANiq7psRNbCDQGule8jli/07Z9B
U/Is2EdgYOwomh4SC+LwYcFmc7ZESZ6uNAKTgBwtJD3oqw0myCId0c26dqAnOsURVL41FsU6wOK2
4dWRVIpjZcKHBqc1HPdg9Ee1YjFRzNo8nnHbsKK0cIgHmEWpmk4Dxwo2pOh/fqxNoXBIs7pMWgD0
Fv558ozPbu4R3kMLHbOH0Hf+mFSEZ/EK2FJ2GwbT7BSkv2Ds5IRWp5npeOMS5u5MKr8jcgWPxmMG
/HjWSA6ThRzwkeAixYGNiSyZW5eCIAoy61kMyATBAfdhsA8FILn+yKv5+5zinwfTlZj0KoP2wZ0Z
6dsDPAJfOIQWJXI/oPma09dhYlMpSXNPNnOXTmuH1DFen33r6i4j/dIHBaAxSE/kNiGVw5HEFHAA
I9Xm4t1AgAVLShxVusBRsOvuPewmVwSqE3EOWPE5rkFaLHxT3a0H2nhu4ePkGbgGANvgDZgpLx1F
1kzteo/ckqSqsyTo6/SggbR2uZcQvTgv9FLurFEBJJgzOavKfAa0OH1dhP3CWjqZrI6c/M7niOwJ
Vgn0nTkmxnYCZDAdgEs7oUAgIqhGdaA6h45ZUtTYigo4n6tbsU07OfTRuC13Es7e9GoUbBlOcEKt
5M1DipI3prb9TdWIaM207oMknz0QjrvYJqGHI2isyOMI38O5SZPnX0qxP2vWXw3Ilzr8L3UNSyCR
TJL0Iuj9q3q4FzACwCxiTmnrPQR+zfdWYnOJRv5s9BRhWGHWsRYj/e+/99KW/Mf3goeEQIzTy3FY
v9dTwrPQi1WZU7D9WOwwB6NWfh03IjOn5Pe//7bfuxGUiClk2ugPEhxmDzT7r3pdBOEByNlHc+o9
BsilEhCyIiV8qvTnff1PE/APmYoB6vNf3sl/NAH/u//8/vnfB0hfUuB+/smfDQBnyCtFfY8UBuh2
0chjwPzZAHCOUwOCEIcN8RDsOUS9/2oAkFmLE6Jj1P4ULziBtP5fDUBE/1eIdC+c5gWtMU5d+S8b
gL8MV3zKRYQeoAO4yGD/2s52gQqxBTByEoSwLms7v58MpvE/zMa/jtPL16SASy+xoBTRV5fZ+ouv
YA8WFBG7JSeo1oNn2KeBYxrKPwwbonj+oV/+6wzEdyGSJkICQ4SMShgZfv8uvAtY9WxUnXwwIZQx
0fYW8AIUYDt19yoZ2n/SR0fBf94ejotMgpgi7AEnEVzO/P719pxc4hluperUeo21uJqn9QZrTw3N
D3Q2MRDHTbxSSOrDA8WSCLq3R/zWMUEFNh7nuDZ5bC3bUOeNQOW6Vp/E5EgLpaCm7yPU16ifF3EE
4C2O267b45D4MId1bzwD6RweeonEnJ7o9SVYk/GMnBp1QHxWe1f5tb1jNVKZiqgem6OfgUO29YI0
gHUZHkKYwb5B5bm/NpLp11TVt9T4ttzSfswNFESnPYzkLWNY7PKmi8xDuJjh+x7t04c92rqXkLYo
OWjVH7Dpj0CIB5ubadxQNFSI19nn8MgthQweeRxl0IDS7tdouU6DdboDjwF/HDDBz7SvyalPLhoF
TbbT7AGGZcyJKgEmFU5fFo78vmQfHPRue2MyOmOvzTRnB7qE+mMridhk4RqdLti//QbL4EeczRr7
5aYZVXdIxxSEzVZhnOcUuZsKqP4wvhudqo8drNZ/dEKGjwKwV5NvdBFfO47sgAweQzR6Q+gnCflz
6w7acsDFcHU077LpOfbqkfUfULNylNuA+m5S5BNce9CWr9zvSIapWg3Vw0V92O3QCzLw7h/g9nts
XEvzCsGjjw0ao3IJqP6InAx7mBxdD9wmJEYbmgxf9TA0x2ZsvnjdqaKGT+m6Fhyi3GCPm6Fc8HCa
sepv537Y/0DeGXmIkK91Q3d44rLFBRKSDUtJIduuohmZYP5K2viqQnoG4LNxKSPfyhva1eZrvSTr
uwx815d7vSdjSdZWnPEIFlj7ky/z2qNu3fTd2FNwsmn/lUZuA/zOriuyukyikRULQOW5Uv2RKA4Y
E0IRoOnbCAcuozmyBpIsVet1RzRDm73W8IZQ3n2GDaXCL6efospEBXhqD7ldMj9WWx/eJM1yH7tt
CzLOU4ahjdnjAJYjJI9BXx3Yb25IySHWZL1Fssr+viInMsebjd8VxJkfwC7Ae7Kv6+OMHIAcYudH
+Azb0sT7GzE6ugv3JixDvy93JN33chPJ9jSOwuR1IOzBD+xh3IY/0qiawlMLgYpl2QrRkP8yJi2U
0JU1wFoTA+V6n3muQrTgYBcLWQ8SvtXQeJn7fk72G7713l31giJ8MG+g3aJZRYCuvsplgzcZLgez
bDUexDQXxtule2ZwENdrn8Edye32nPq1KUWwpHURQ8cAVVcFj0kWzzTJxMrH8bhZGALeHGHIaoBx
KYR8g28oBdqeeH5YuqWdGZzhK4y7ctvrRyvjS6qDam19l8xQtWUT9O/bfQ35B48ylcxLcy0qYqEY
hWc3/hgqiAJhbkHh1pSbRjLeawdnaHyA/CFOv6YOyoesWRE7cJYeSXT6SQ4wMICNEIv8SGIln4Qd
2qOmI5bhaUjjk6Vr/5pWnlyskmHls80k0RlODNTN2243k8WkEcd4jSDtCKv5JnAuPoUDoSkYQw/q
adhF8Bw2EyrvZb78c1ol1ZP3ZvuSoMTk2QjY6AAhWHQ19ZDRZ4ZBQyBNz67UQsczGAJRroPZx3yY
K9DNULJM1zNjkKylNg0OwJ+motctxAtKrPm4UDSikHeDDKoq8QnywQE9Lxmf9gV5K1k8EgNGzm7D
g4uY+sYAJ9/gQtr6IOFKhchFDHsB43nflBo5RVeQ/ooPfdwmn/sB/B/iGyxSj5Z0eCCbTCEbRnc/
5ghzws9isg7fIcnsX9E7uvsegBzSV/ZheqqHBiLry9FIARYPiYYDIY//UwX+BG7/oQrEyahAZ/8G
Cv6MvFYoaVp4uf6NBP/8q/+bqx3gfMII4VD0EnKJAGt84J+FYBDi1Emcj3tJLfqRrob64RckOIDN
6HL0FCJaf9SIfyLBEdKAI3xgyimHYQ+2vf8GCf5L1OAPGxsSq0AJoWlB7cQuNc4vJdqKnBg1G+Pu
gAoi6HMDWZtNEVI5cplu9gFbkj93zo6ypFSuH9eJ2RfJFgeLsRjnP355ev+P7i34nfT4cTUM2bUX
uoUCCE/+UlFhgiopGmMBI4/BXS33scpMOkFz5iwAgcxuzHxMrUKRpAe+zjl8t2ArkeGRMpRb6fhV
rCv9gM9ooL3o++AFwC8Pjj6Jq28BIkTc4e+vOGR4Pr80fj9sgGjF4B3FSoca9y+NH2uhnoPHfb1D
SE5dFwmifl4sA7F5WFM/xUjLdEFXtCnWoz1NwN57SaPjAKo4gGpxWr82blmCvCUqLqCWniDYGRps
tamOJdIzpq65lwbiZ2hwlgKsgnhd/g97Z7Yct5Fm4VeZF4AC+3JbqL3I4r7eZFCUBCT2xA48/Xyg
LI8sT9vtezscjuiWSBarAOS/nPOdWJ3AAjnjRjaaeynruM93f/1b/fljYN2lM3hn3m1Qni6/9E8X
hTdpaGyqrDnDwgwey4j9BiNriOqrinXA9TDWwV0ljOz5r3/sL/W0jlKWdoiamu3f8p/lZf30Y9Fj
RnbVRMW58GfjDPSkO+MxAyMj4se//km/jAk+flLA1mOxEIPNWkJdf/5JVYFpXiH/PuMost+gXtXZ
TrT+ZK7SKt7oCh5HaOkTU0W8IkP+dxfNclH8fNEsrZ9uOvRzdHk8HX758XguJZs9CnVPpQ701M55
S7PlNUDiaTZoVMrVpPPR74ZMDfhF0tL7isgNiBKDBoZfyNSYaCYI0BMPnapVVyYVlD9NXyutr9a6
hjI+dHCJ1Hu4/nP3N63Wr40Pbx/+Wh4bOEOhvbGk/OPbp7udUziO0C6NTuRvEm1HtDK0tC3slTUB
qDwOsUw/R36AHWhW8CnYO8sQpYz3raXaKsMpjjxUAkn/VdaW96V3qtgju+v3J/H/8yzBtvzruwwY
jovIRfEHz8vxfukI3dqXeh231mViq0oE/roN4nm3ILuCbUv9BlNB6Td9Pjkd4OfYQ1tZ7Ogsql1m
V8BCM5XfVgDKR2aGQ/Q0JHl5mBp2/5WjqgesHP5aAF2g80kSCX3PQr0jkqY4D5XWoPVBFhJRTTIY
nCmGQrOP8z2S/+zWTKLrCAvHuMo6T51boe5bKhtr7fYsWgw5mTwb7G6eV/rgJxdZ7PgvQkdgHLu+
cTGzoQ9oWGKEFlx08qD5NfqdYfLntTE42npOxveqwS7TQXxA3JS3HmWF6g4Ar817FYNy3wlPM+Rq
jlPxmWk0niFZKO21y7F6VVWDigXPz8FQQfZF9pXLfW/l6Z0MxOiteuQNx1rUXTjxPiA4MYMrJO3j
BlmF2hrGaLBxYomJp2SAZxX2Ziw2eWPVCHeDq1iw0ltD5mj3HDXmEMLlYQrZetnzmOvxyayD6s5B
NLnrgkQzGfzm85vvlvWm0Ue2TIz6o62G7uMN9ffwDZcuWQ54avWOtZzZR9uxTUpujmHYTFHf+du6
FPGa9jPfF/xVOAZ2TeHeY/JaJU2SaEj3BmrH0hnnld1mgp2HVuRoCtNNtDjebwbLsNeyqTF0JlxJ
7dZqh6DZjZY3Xrho3DKBT1+1eb7CMIAf40ssYtOcX5pBGxd9W8CIPS3fzSlPWqtGbtt1lX5u05ZJ
K/pJNe9w+LYCq6SkkEvMrLzTAfweksmyurDjMxB4BvRldRFjv1kXQnAe0kEPagMSN9LDOmsNccVg
3MX8lk7eEK+nMQvaC7dhOg/iXJRGM7A8cLStq8WJuOq5ddwoVH5FR21YEH23RSbrYIUuBFXgZmQ+
T5UbGAGSFQFmBD+0AEIUB8Cpt0PmZXShgqpg6xRRPof+7PDELMwU41ke11qGo44R9jWCTfAdZST9
b1rXs95Y66XZ4g/1O//sYFIRx8LyWs9JwmJs1DztG52nG36KKPYgsDT9rLYMtAu5nTI3n/Z607B1
YX2dsZcYnSnb1fDXNDbJtvmkVflsrFEspwz301zXrlDwa+zR2qJ4Stje5QerDloWT7A9blmlWfi/
UHsap3iIG5p+LzbjdscqtiruOIytI+IbM912Fa9gU7asUDe+Mc5oZpKpGi5zH4vnRuNWqTEPG92x
ZnufrSNBysiySeHjlF5DfVKA55+/MvMIXCT+LfYHSJSxOhi6tPeoSlKXFSebobUspVjPnUgRbg11
FYCqGxI7tOCLzGjlklk7MXWxt0YlMLmx/fGqjQFfuzzE0hiiTRrYMeRb/h5jDHpgLp8I7sI4SHTJ
SOq11xpJ2QQUifvIPLMdkvi5/d7WrPspG8zu7FbBVK4LpFeXTkfYyS5CXsMXBOi8rS3cQKN4Qaxf
xEfF6mzcNoMzyxPo0vbeRrHz5owCza7PDteCoTQCJ2jcWfLigbxgWbdgtoaolzaklKiXjAbfXCVR
0t81jjt8rurYQrw/RGLjEwSAjcgXfB8nKyEnFnVvnLFHWPZN0zrGvdEigl8N5Lr4YQtvbtz0Zp7I
fY3LBLeXxwbvSmpe8Fjoark4k0Q1Oy9rmCyME8vqkHkSn008FLywElugceIECx7Rf3F15zwl67Vv
BGN5aJtAmNdJjfHz1vRZdxxGOxm6y3Zsl+IznsZrJ9XccVMOOT+6LOeZWYmZtzPeRW/55ZeXPvB8
4nWhfTzbTsFv0SkgS6s4LdM5DNKeW6fKolTeFGAF8fV0VAURf8Yz1WyL+EoZ9oQcz6pinY+bLry7
zNk0NiupdwonC4gXazP1Cqs3/5smlt+IBwg6/qVObov8EWV/cATmIX2Wz07KdYFB6m0okKmvxpqx
lNWOenOKKHOTU1mBmLjzOS12TaEbZxVE6gVQtKsW+ps0j6UfBd0JEjiyyqn2FP4bGCK7yuRtXdxl
03uapc712DUojxVBAunT4OZRs8fRk3+DPLY8Q6TK4jV9gG9tJIbpZsukNnjSdJFv86GKmOvZPOam
eohvJcb8E+upxFk7Zm2CRMocm+MoNoPHOtH6aJOZBbfJrAkrONhFaaivOQ/kCc0Kl9QGMybXSOLg
AdjiCug3HDKDOhl1Z7psD7O256S1ep3SWyWvdYDTXZso049z0NbGF5zXU0PeiOH1GDvREWzG3Fj8
ugPgikPFxzKEGppCCJ99316Ok4fevWcy6XvN3s7R3e3nYfHhY5lq5l2VpWV5WbijfaG1aMo3sSry
/hSBqIxD32ny+J5KpPmig1jAjO/Jpl+lcTOgZB56X3EKTOoui5Qhn41ytvx+hV80nR7Yx2oB3wyP
6iYGEBodNVENn+NI13qwgGgvDhLh0s3YaGLe1di85EbOHRepNNvEuh7TbHbOuVstXjL0FO6lbcSY
5Ceqm2bDFp1PbfALuZhevJxnR9NkG2O0xnrdZwwodjN0V16qPUbeehLo5ENR4dx6Qt1r3CdxzbXG
SRc8cq3nzXURFARQdGYVAEbLYzx4Y/cC+RLZB7PF3ntwMJsNyEWi1sYNnMHnVQJiP4c7V/Smkhaf
Jo3DNF5Iq02ZxdZVbF1jnMzcAxhaLBFyHLXoMq21aljnDQ6UFdVY115mGaPyVQ1qbtvEfhpDZtD1
w6Rs7vuJ5YyE/h17/0Yk/VeTFINF/E/1+5/3aQD6y/+Lf/zYp318yY8xik4GGcMSkK8e9dbHeufH
GIUJC/Eq7neiUsCc5fcxykc8GV/1fVDCn/AafoxRlngyeDp8O2hTsI/+yRQFVvIvvUbg018Yi2ZP
N3h5vzKdcoW+e0zdAbxpBbmEinZo8wyRj+OWOs/Sj3yu5HtaVwq/M9ef4G+g000/Qr3M7wlfixDU
3GQ1GAzCv7zvWWDSxb/gEkaRFNLgjBhGDIk2mRc5JqBg2ifaMGjYSqCD5f0BV1De9HgH0Ou31WWR
TUnBUFKyGAj8qrhwUNceWU/1+iGR7nQ52ULcJ5aqAI64z1pT9rsBAd2CXQaN7CTVRZIjQ86Tkfmi
46Tmfeyyeg5lzACYqmA5QqGqB5sB29vAuHRm/eVm7ng7Y+p60yuTySqRb/0lOSo8kyiwmO3W/fLE
CaxIz3bF2Ge7sQfHv6ZllQfOCOWdg6BF0tBMOqsFTaMhdqup3bV12ncILWA/x7md7itRD9tkrr0Z
8WHBN8YmIkbUuaK/Mh1RvLTDZNwORBv1O9Qa4Iqbhpl7hBGYHUU0zasmzet14qj+ua3t6VHMpeeG
daSq8TAiPFpMSA6/KAayznwmPUcBSjYy2kS3xtKc9hs3qpSBKqy+GKA9L0AS+DIUsQxLZDo4B5eJ
7mOQ8IAyP/oG+dFDxB/9RL+0FqDv6TIU/Yb50XlYSxPifvQjfdJ6sAaXLsX56FhQjtK90AoC76aH
2QPdi9d4dOlzzKXlGZbmB5E0fdD00RPhqaQ/MpZWyRNSf0M1xDja4W7cLmuqDaX99JYvM0jK7Jym
qxyrO6Oo4xMY6uy5XJozoffGgIovamGnc5Cszdq7AntJQ7e0doxRYP0iKafj0z+6vyjK1Hbqo5ET
qA6uxqVNVEvD2C2tY/zRRZZLQwmRHcGNE3eslSjED3DfzEO7NKHkpIlX7gY6U+jOwWeR9/SrdN99
uotaZd6LTHaHoc69LTZWutygEM0dzpd3fWmB+6UZJkWHvpg7QB5KjwY2nD4652hponM3s4/p0lgv
69ld38SuWDnNbBhrZ2nCm49+vKEzh/FSn5Wvz5+zNhdrCurpsZNVvhcfXb2m6XT41dLsM5ZsrqZy
LM7KAQe9aj/mAmYvRegswwIjFuWDi84PFWlQIJuR0VPLCg+BbCuy23QZOjQzeAwc3bu2BEJVe8Jm
EWKn+o0TKxruj9lFWdgmuSWOMMTpwzvYOW11xcEa0C3r2VdO1OnA5rgMxwVJ1iMJWhWifU/oNmg8
hiF0cI7vF+I01mLzbRymJ5inTlikUTCug970amR+FvPMjGYCWVfnXg/UC9SvK5Cn3VR/Hyj9qzL5
m/0C7TOjv9+nWv/PqZgi03trft4ufP+aHzKT4BNSBxfkLYheE8U5qojfjsXA/oRAiDQ6JnQfeweG
uD9SO91PrCOY7trMQOn0vZ+ORVJAUaw4iM1/SNB/5Cb+NnP7y9ROn7P350knCR/8C5XPMwxYmn8K
CyJswOSy7uyDk/nQahz4fHXR9ruZdI8j5StFsVaSrFUOw/QFDJR34aQ2jmrfMIbbsuwgTjaV9sbA
AS+zYwdnNgLWvcvADe1b5RL219jeOc765nZKenmfNw68pa6XhzxyjdeyEpCMEy85smzYkGalPrNh
TfYjMzNGdgmT7FXTVfM7UHYtlCKCUSXQdN4B8EuPGLeKk/CsbNdZ6Lnw1F2WjolsncpxrSV5fDT6
hpZO5oxGcs211qYWeUdAzACKRDZelZWfUen7wcXUREhyMdGYN6PWBTCwUv3SmCTgE1iz/aovLbU1
PU4WozSj56V5P1PPXxsjXlphGveYPMu14eJALBQeesQQlfWNYesy35sQTBh9gfA6r1s4cobN7pjO
m1CvsQEnJrudk+nVl4EzemvVoPyVpLNHnJs+KDuhoxszO9lV+ZjsAwac68EeIDR4k0FjbXZPpS8F
Vrh4uGlLOb8H0zA9Yz+2biLgV3tgIvXZtZLxxnF5c4D/yi1siO6E5Vp9zq1uXOOC97ZVn/U7z0j5
NaJxZJ9QZPu++Bhv290XLbBWsnam0AqqE7l8DCu1cdORRAHavCzWjSMu87TKmXZqB1yL6RrTGOKH
vlY7pXrnW4R5FINvKwGr2MMOfrs4mCS1XROXNXO6aQl6Q5xL2saak+5U2VPyGE0yePGUSx6OdCv4
DYgAqn5Q94Gw5eWsu/ole/SxX6EYkE/EgzQXSadnd6TPVjv8dGawGoiL2Dtj5iUkxlrWzTwRqxpF
9rydPI8eCkmEd0sLZ3CQtcpnkGj1C7lMvw5qrhWsByjkk9nO3juIkmdB9uUeVJd1clsEFXnl4lT3
PfmsQP2fi6hybnD9zfuRocOZls46mYOz4IPL6ApQeHOfzFaAN6HJDrnWHapCLFSNwvHZqFXmCxJv
91Khez6QWVDtkyTDeZxDmdgOduxcZdVwMuPB5nJU9V5DpdzFUfsWd1ji4M+kxsashPcG5eiro8b8
EE0V7J0pdw6lEvbWY5y4nrzCfLTs9B0ReBWh8bXNF88v7svemh+bpprwKxf6TRm7OBZGxsFHQkzg
bATMXc5xbzhGOECTfqOBTa499NJY0/CyvGNFi3dFv9gcZpk9MNvPwx4XwEbv0/yURHyIg2VRPnbw
UXxY6Xee1bQ49JFFrdrUuG/L4sAJ5h5LbJIFSNUQ1USOPDpL0hvLMLJbR2R7dxraoyvm4oBDETdd
1aU4IAOLzWcgDx4Tmy28BrX2GtQvohiTW8QE9tcZ/kFopUkczjGINWzp6TOMw/EBcb52U5l5GfKB
ejC34xSYFR7sa60emaS66qQQGCVhEGydNsl3ooGGhPcxg+5z0wvRP2tEipIKYhk3iQ6gvkCF2oTZ
oPfnQu/rd6udeCW2vgad4u1ARjAIy4wODwmtzzNbSMX4Xp8ziVlxKmFWT9HV3JTpThtbhn/T5LD5
6Ed3cQIClY7IYMSv09BClN1iCAn6h2ieUAlmaYClmNqYx1wjcQV2+XwqsTRfToUA8W9oz4mZ1v4q
iqiGZBag1HAVCqC6cEOMEU/IaPRDpuP1pa5UKzNJy88ZvPSTKOPgxsExf2gaZ8xXUK3aG9lqKfjF
InTof97cxBt3Ca3etc5KoA0raCjn3i/10Bf5nK0A3bsb+GDBY8CpcUYAHT8hFZMX+dy/BqQB7TkR
5xC3cn9G+C+5lIbkoklc0O2TFlzknV1ft4lQl4k+KEzLMgNMk1cbRufR1gggXswsQDdOo6ynlDnf
3mV3vqmFX27jMTG/kmXaXQ6kS77ZlloOF4hkz3GeyQcSZ/pshWwo2FpJEO2gcEBVmCLmRYaIrw0D
fQcwE3bFkRrv9I63voideT1NbbVpRtM/+YtTcz1mZXxlecnAhUZBHmiLnL3Su3k3RRYh0GBfDmkw
Vw9ZB4IRWTkGCzFfpwz7N1Xfo3+bWn2GDKCxp3Oiceuqsj8bfWQeAyNKX7H2YsxB84fvheNWcouf
SFSs9qwDCfRJVR28pK4r13kx6M+ZQPjIkyk+iNZcT6brXM9dor1XtqcfKxLVtkCDmitDFtnBsTXY
83bU3GTT4D9Egy+2Bn6uu7iXkCd6D8bPBFxqa9EwnOtJfS6w8r/rc8fjv6vbGdvUaEfsXAZjzbAL
x06jnZxCNwE5FLVEjQDEgLSflVF0MPzyVOo3S/fA2Z8kEXYxCpFV0sHLCgsraG9UpLJ9GXNLo872
0hTxVg17gi29+kYSSXros5iV9zhoFxJ2Feyv/Lpn3bFvne4FAAk6xXLhADCo6j6nrfsCxutNF903
L5tfSBS8LTAYhCRbYASxVH6oQQtsaiXvTRxwR5ad3j2+HvMRg0PxzlZgfKoFX9gXTLPfXDnR5x4r
ZsF6d6xUo/p2R0cNC+6SUgvPOT6mVHeYmJbEn2Pjiy9GLIeY8cfOv1atmtznxhXfCEq3fHq2gQ8O
3ZKJOpS5ZyhKfUc4RzXvcszIl7JSWvlS8QCl9gp6YhZEulV4c/KjrzELa4bEhPVlpSeDpeWxq6X3
4rD6e9U9ESXXYoyzkxc7Rn0PXiIWu2xmhFiEwKeAixBJ5yRffEQO2oOjxOggByV/C4EsmLWD8qS1
LjQdpT6+s23vNk/I3IZVPWJ3IwQO6EJkP+FwHfb4Pwj8ydvuzN8ctwF2mBCg2FHW9kUXmKyxdA25
RQrc7hHEjLanFnkoZlxGsWt6R04QEj40GcGnzIwwKozpTC+rzjWf5nFu6dZiObwtuQ7HOnC1VWNr
3c4oxgkP01JukW/YkcFj1ScpD6nYggcn4KgU7R5GqR2mype7BuF2OAn7Jp8RayRKiw6zHbUHMJPi
WOemPLY6JEYjIzvbM6oLBJYA0yJPvXaWm4VAMqadVL0EJNEEG/akNNcyKzeDsCssUHHKQcYwNXT4
mPcdoxV0tGa+IzFZ/2Z3gjK6Sis4ZUx6LOMLHjPXf2r0rvCa985epAYPQoHuaUOm7pKklo/W5N8m
7m+aOGY0BgKP/9zF3S0W3v8J3+oyk38ccf72pb81c57/yeFbeQtM3KBWpiv7rZfzLXLeuXhcNPtQ
AZc/+dHKOZ9M3QERbLLWtLnJEUH8mHDiJgZv6tD9oVGnz7P/yYjT+UgQ/0m0wuAVfZZuI5nhdRh/
srh00KmKOpHlfkQcOWyCOLXY3hcyQKlMkqNbmGywiijxbwKm8v3KlIU8Dy55qzxM2VvXVscCQEjr
yQWLek2kQnHX85gimsVAoY+wnJMGpMG+wudP0cp7dJJoUGGcFyVwE8ar+RroT9KsYnpX68LPtPic
GiUWG5xd1rGbVaY2qHwX1M40DUaYdm48rqGoFt+anKENhszJJguyscmKT8brNBY2MfVjr6H50SxU
DfDV6NKcImEsxzL40I8N25dyci9NiJ1V2JrCOnTsQo8D0P5DgKK72IxszV/0nBe1Vrlov/JTKPfJ
vSeOTXRFgyETcFbMN86mTTA51mEUhVuHjNjKdAPTyNlzDAYenYmef5N84HsH++m1WzjsrSBuiy+z
60AV49hvnio003xfXtmTXTnNE4dxehukuBwgj8dXQyeK+6rxy6u2qfvpNKoxAtrbgTpnVekxB85y
kKmM6uhckBRU/g07H5wBbsUbiZNR5DztJO5JOxm9G3a31asR+f61yErKQ5AgurEWYAuKdZANJUV/
3qyc2TuMVV5dgSILrp0m5khKKFr2De/flm4iuABUp3ZzHA8XMc/r7YhqLQclA2rQMJR/o9lcLUmK
pDaYfGefGxEttaiNe1Hi9oUiZ2E2l2xekQNepbUC+DXb+bRxvcQ42g1DLZWlHUINDAANQ4W85Xc2
rC3CePV5mHP1sgSbP1WgvKwwmJXjhpCrmy/k1/gbCN3tMrKfgpsR5QE1sR3cmbWMUPLOY7QJRkLI
GMFar6ZArgeWWnPIzYm14c2fU+h5jRFcVJCNoi2z3Ohoj8zq98LDEXvousnksS467cJEUj1AskbZ
YOmjXxCfYgVJe2AX65BeNVTdrcf4J72IrTG4rnzNAA1cu+4Dp5V9GcMUHyJgframr3xoH7MDnbOe
rV00TnS7mBWSgSxajTei3k/Yy/0X1SMo1NpgUCH0Jkvw+WhDvyJoslPDhrB4fxvVBkfbHtCq1h5b
t+oo0ZWa5JNZEYRxdPgH1DWXzzPHvXY3DXWDWEFcgk7pT7Jvm6dY5Wfcl9EFDYEM3tmwQtddmRZm
Se0Y5bpXrD0z0x8cotO2cmZkoc/tvBGwqLc6sWKr1tKzg5qj4VG2YJu0IC4vGygwkFHa26QzYpTs
lYmLIEEpyxY0Hh5dzI/unttbuy8iS+zKup7R1jgW6hDiRSrYjya4GAKft1prNtEXp+A17CkpRmjP
ndmtmaVCNPH15EC/4KynoLgtZ5hvSSMOSQ9MJKCOOw7knWy8ETyC3YJoUeW4GzRb++LMPGkogUPF
FnX0jWQ3SdMAhdp65DyNd5SssOOjYee3ifNo1BDfk67rQFR25dXg67c4mcxVX898bEg719Ey9OpJ
CeJR4UZbUeDJxL5z0ul9viaTR26PKV5UnQ77cVDZXeH2/lXSl4TZLqg2O2v6a8R41laR9QsFMZ52
tjufpfIn1Gx6G8YxTT4IPkTicPZCRsRpKOu6rNapP7+UwnPwK3hXc1VftsDwANzFfZhaJdBFUcBW
dzX9sq7FcOU2GcyBpvwc8LSl6TD8jRSEOpV1i4hHOE1Ykju1n8tShlnfa8ckl1B5s4kpihe9ltKE
q2XEEn3xRIp00JWYg8oaeZ3CP5RH7UNCxc+FMWi7qB6/dbWb7aY4mTZtPRj3vWGKVyt18I+NIraX
iMochR17uUOHsSrdW7ntnAolye0m1UiuqqjEXNWl9tGHiBcuyZE3XYW1QJL2vP5YbrWOnXNVuLN3
ZkIIuLxPZ5lsfCXb2wAG/GOAUmNj0ftvOHvj8xz4dCglwg2CwWT6TABCvjU65gxCmv42b1qYonNf
vUBe05+Y82gb9Ib4YUiORdtqlicYsPU+t3L/xuIPLht31K5IrSZvUuWAWwPVbaNmds+1KQyABehM
DLwRSXQRpLlP9mYByytrZecB27NwaUCGmNcM7SYMrnaJ5M6wzhZ4aVJQYkacWoXBzCuFv4NyCrWj
prwmSJOwVFIcH9tKb5644gq1lt1QnXSrvnVFUt6Mc6ufrSQt1n7LO91lXAb2sNWhj4YjqoC9aZLn
2lMqH0jeTr5ajZ1/7fKa9U1soQrrWzE4nIPudCzAp1hhMimH1Y40HkpE3rc4+f0vgKiiTRUo/0IJ
81ULum9SFtGza4Jr0ABohY3tPBQ2dFnuqRSUVcq01OA5N09KPES1TVeYvAoA9gReODvCJtvVLGhz
LDk9T/0UgEItCUrx6jeVZyTNWvohjcd0Uxtm9TUSMCxTdk/EbVrJvje7ogxNxh2b2RXGddaw5sOo
k94Uhsv4rS2YJ9TdJm9NJmJm1Ms2BJE+0Kcb+XyOSC7aVHnzpQNcxryWUor6Qs4WaC2rz2ikk5kY
AR0wJca+Fm60WooZhYDJrgGscMptMHbJN9Rg95rplmtrUPprbHpyXxJx+bU26tuuN76JHF0JyjeG
AN5LkRmQVZxW7sZUh5JP03/BWIAgOEu9lBHIvxluNPwFwbOzqjaslSHN4kfcJ+OEJK6vDs6ELCJx
jQcJiuqCsFOxKqSLBabGf2gmbRxWerKre1j6ZTve2fQ38F3jApqJE3ZxMn9pqT/D1urKO0H2Wigb
Im9XIremNRKcfsMavAWHhs5w7Epgc5r/zjrp2YDZ+qIrgtQxdWZh7js3ymi5rpz33MyNA8oUIMEY
XE5V0ZenTplfvXwIqQu+NIRWxeuOlxQaRTPs/QoPTmNX9kYqwKy978Y7Khbv1tCmaB1nQ7IF/zVe
gbEU16DmjzUfepkRyhkzd5waO3RYEsKa8aP1FI/mujYS42xVycOYVu4tbS4ZxINEK+yZIOVgnCIO
x8jv9S6/HUtvmyP9QlONu0bxRtqp3C3FpjKKq9JrI3RCAWjk8psjo71CAbCKNf1KDM3VMpnL4rYJ
6wZJapW/1llAIEIz3g9Nd10Z7RVr4UuqNYC47jxx37PhxuaUUgMSRTMl3OZwXKEgO5YEuE8Ag3NR
JIDa3VwVYezWK3PyoDxoaT5fm3BhT/82fkUr2+lvGj+g26zb/nPfh/q6rN++lD9v775/ze+ilqVF
YwLN3AAbAJio3zs+Y9G7sC7Dogx07Htf98MbZLCiMy0H5zG69j+KWtxPaN3NADeP41ge3+SftHz2
rzaFpf7zUM97dJfs1n5NgNIZD+nEH2sn9tMqAbcTBP7UPdd9YBf1MdFzj6laiigmTnbMw7GYXlio
+ojXyRlneu3KKSe7ohyGM5pal4WG7wNuOczSSE+odPDWNbsuTdpR7FJfOlJeONHQM1eb+X8FRSlS
ssB+0B12MjOyjS7vxvjC6HNIkQQp+J4GTEpjjtoz7MiPxD0heKQtzSCnYOnr9RezqEUbgiaG/X6X
KPb71sa3o8G7YSbVxcGVlMBsQKUSNgOsRMtDVK/kkWRdPWsTrmLMlmSDlyil/x2X/FdKMLRYf7nz
Xn/N3oa3+uvPd833r/kxJgGSwMUIUACAgfsdoPbbnMRzwK7Rnn+46b7fGT/mJMEn5FTcRwFLT4Sw
C5Dtx5wEHoPNepoQN4dD3gT88A9W3kaw2Er+MCfhvmWFTnAkBAg28r84wtIE2pRBru5+ord5RnRU
VHArLcRJI37NcPTqvN1WarqmLJmX9AtwVXixqJ31assOu8BKbM3Gs5Ad7oGiQByOYnP4OrbuQq8E
ZYUompFH1F4Xvrak3WavtkaiuMWEgyxjvAmTpRM5NgbcbLyJdKLQru6SFpTQyM7nnCUOA0+/g8jl
IRQFjQnm9+gaegpsicafnFCashhkOqPpmgkC3l83J0ZJG51kN/DizJVVu9XBYzRxKAEQ3BZBZB9Z
mr8mntKeZZZD9lGFu7LhdOPkMCnxIiBkld9UV8B3/XU+Nje9T1+mpfyScJFXRmze2CY9YRAgxmRK
QrogXLWdHqXfGAnJYaUHILILmkcMuQiYTNVWWzXz0+PevHGtkZxVr71sSWFZdSb4JsO/54i8BGxb
rOKxuOMhYlyM4HVYZRUMqHB185/8opzyC9uvngVlXTgb7YiLOXoFXXZYNiSrZa1Lu/SqnGWFX5Z3
Y6LNLymJ0uvKimMaqKrbdgicQypXqojgfrTEhoLYXUGpXV4CQWwO35rUEGvnzZ5+ZaWahgcpxb7b
BNljCSbvEREttKmFqUZRZIFpxm0MVg65NUOhZq6u8ZHOQDu1Y0v671tpM3HHl9yDuEXYHVpVhjDX
hNnOOEn4Mxpvp1VXAEfrZzv1791GlsQTQZEwsGZcEDjkbWYvMPaBcpmAZP5DNlcakbHW8AAvnad2
jhwjREYPMCIQ3bumE6ockpFk3bTADc45dRZZJmY8+sym1bzJ4uLOwmK5sWoEZGuztG6brEWU5As4
FFaMypo7Z5XIXlKPIUfu81EFu1pZLFyiyiARSE4AY5l2rlpoCOXZNMbuFLEM7LZDrTkPiMHlyc5d
/dXmF183YC7CnE5fItpCTr01fHxJCDUm/TTQarSHko0hqsWknb6RrjVrOx9vnfg2Bd5wmZk1YNmo
AAKWsYeoV6CUWCsmxt2/5dF/Ux7BYPLRHP3n+uhJNu9l0cji50f9b1/1Q9/kfmLabDLgNh2qkT/o
m8xPPmQdghypoD7G4r8PxW3vEzSOhW3Jn2AmtngZvz3sQWwy3PLI1GVari+Inn/ysKfc++lR/7/s
ndd23EiWRb8IvWAC7jWRPmmTotMLFmUIbyNgv342VNXTIqUWV83zPHSt6qoSQQCBMPeesw8bM1yF
VK3wcfLTMMou//4nw6pp6KR72LFz8qOq3bcFdWwb8eR+niY8HaqV9stPD+hvgdXPeKvfXdA10a4I
1iusq++MuRl3XZt1YZ8slrK10Q/JjrMdleIc7ns0SeODYGAaC7/coAtqSmcXCCXovbvZhzIgFx3Z
yUWv8QLWkRNRmhqfpN0nH3iO37o1fzxLXjXvmnYFVhW6FW+eZYsFK+oyQ5yyYrBfEjfFu4o+oYa9
HBlXap79BzfjRNZSGT//+an+5i4ZSTajwdNxA79nDg9N1k86dJKTNFNxKL2a9U2zSxapHpdu8OeL
Gex23j9TRqDBpp4p3CEm7O2NEhwlCyqK4kRkCxdyazInVkOq42jrlZviFrPSOj4WI8tkMLVxL5+E
UWGTGXOMbrpZ+v8oyXZ58o7OYAK6YriOK95TmohBgNYfheLkDYLb9YFR7HQt4y//t2thkbEtDAEG
A+fd5ihKKfXGlNdPlhyMq05o8purivHcpWb9/OcHvTzH/+zD/rotDk8CYC6yEN1mx/fzx5moutWc
qhOnPoxfpUlHtUPU+8Hb/HXo0KvDJL88Q/aQ753yUHKFy2ooTjPc91PK9oxzDZ2UwJgzio9/vqOl
rfjLLVmoACF609D6QYX4+ZbY9xn9TFfgxJKHx9HquaYRamSq5a2sn73FTU61jY8UuPx5wvt8IL/J
Onzwa/w6gh2Ordjnl09VmO8HDHJEEw8qCKDRU+bRykqDPGgM1hcIoBmhZNsQMJ+ZrbOCVwrn4MfH
a9fYCJhB2v2ff5vfvQEMFz5HAt40BIS3rxkEljMiDOTjhfh51nV9WA0oG08CxOfmn1/KcaAtgebg
uP5+RI01uweMbtYpIWrs7PsRn6yWj0z1HqiYv6oq4LWj79XNXwP1v0/1TN9C6D77fihbXO6X4VvH
qqIPU2tHPFS42jQC4p5LK6+f58Ebb3rMaN4HYxnPy8/Da7mk67E2sgQzmgUd57ePss5miF8gq4+k
WyU7QipoJUjYkmdq8eM5WRzAVMHn8Sb2UvMTPDF/U4yqOmG9wFvlJQ5l/4bl78cMokSGN3GaTYwe
YaxhzE2M6qOHRJ3k7e/Mwr8A5hiIvk4HnKXx7e9cEnYkxsISR5nrxVafY+CuiaNtI0NmhBLrxUS4
Idg1bOBBldaTs0Go7Ny2eJTR9aTEYVGlxEzA3jRS32arUN/IumXowgrguzIbjZl3yYrpVzaWUNzS
kQ8xIvbGM9q9dg9ES31r6Zgf3Ik/t5apaR0GM22eFQmWJy8StJVTHiDgj3S6iWAytRssB/6DmmMN
dLIfNgZRMtA+VkDdWzxqfuxkAbUR8r+iLrGcXV42XMPjSf/onDe4EfSV6AnMXXHkM65kXDFCamHU
zxO1xnmHtc93jgNRCSepIgwu4OJw7GaUGb9lad4Qd1Wa9bEANXA2cDTfaFhPcBDWWZR8Nsgcwk4z
Y6NeaixD+NDkFWOPiK+XDBEAlsfF6DvBdvoGDHlZoXucPgXgqa/1HALob9zm3DqYGOwBZwg5qQR1
Mf+SPDD4NiuMMRnGJ81q+EhHypQgiLXAGgVPNEzCB1CayQ7br/zWkny0XvzZnyAL83z8IXTPUsLO
Mntat7UveE+FM/icnVr5LcP4Yq4ckLqbWYaEZXpT6z909cR/RcQJ3foQh8OqSDEizornJjodm+yP
VQ45qLfFZgWpFmd2m+4jsLGQvVyXkS1ih4zTopxmF2QpGxMNMeINrRofhpo5njP0AeMG6LnmrG2q
8VeozRg1GWKtF9fJeJpTmtYq6KslK7jXQ9cBy8p8qfWcv3dS9IBoTboqTWDZbkYSpWJddKqY76+C
GxZtitkzrmKtyHmVdoF3Oaw83FbuBOcVcWtI9Yo4OcZyn2oQYvSQH+sp1JujZqGtMEiKWynlZiM2
etbllcItBt/ViubLGclatCD87Bf69PaLs7TnV7JsCRrFstneoagy9zPMUXdtRo74XCKE++TNyXSJ
7CFfN3KsONRpueFtDYAbRxRLBO3kE5eR+Yhwo0RIutYlR+E8n5djPMW6bIXnf7qCcaSfChFXhBtm
2FGIlrGC0dZEMKFT/ZT5qNy6iqbFMSOUg52RQ7Vg1mV5q5A4QIsPu+J7Zbfq1ROY4G3TRR/mUMIL
JkLQiHbGXjcEc87ENeg1qkylTfWTQ4NcbqU9OV/H2TXg7pTlRSX1NtrCynSHld/VydpISZftq666
ImQOvSWa2PhzZMHocytVX05O7OyacgpPxqTcZucRvPFcJ9R2oBHPn51oqI5koZBxMw5i/lzmTbax
bXMOJGpQnOWhTX81G8rPaZ26ivg1JGMZkWq7ZTMKwXlsJD2IttA2gGpoebF52VKhVMvERHeGpK1z
l0ntQHYQuegtDZnJ7qbvhCMNG4Ru2u3kV8VTgq88oAMDtKRccgKx+67crH1xFTIIL5m1dYhIPqB3
aWxJ+OMHedqVGGOd6R/2HapPDslAjUE4VwqVG3ZKOnqAjAl25M3XwwU7XW9vWsZkr8ukH3DKhVxI
kFm7Fl0UH7wKxVquZLwmBVXboITu7uvMIW+pL+W2szMkmbH+FWty9eTniQnPHkoTbiNrjb5P35F5
U9yyKlHwBSEfXzgCp3kd6bxRNzLTiwrI442uOgofUjGoNYcd2ctEUs6VZqZ8ElJyYthUtcLU7owh
G2wTK0cTMNsqQqsIegyqBSU36UtdSyet7KF1O1QfXjfa+iZLKB3h5Wp0pO5uCEnAtNFLhoYAw0Yi
TuBOebtHsMd67HV2SDNnob1B81l+mjHWcpcliimI2XjpJ1XMtiPnKHKtF0xFP9PTrhfmHCFkzV5A
Fhj3NiELzzVWa341lyY/1oIyfzarJmI/h/FyZViVWfHNx5J+kZ3GXv2KFF+sJLFoIeUMJQlFFMN3
OIBNRICWZj9SzvIPbezLPTG3aFzKMUq6VU7E0hfZq5eUUMWNLZIoIomQ6eMpn+kN36H+qay9B+f5
qkf8FThkQ23iYWiwnTp4HLyyvp/9iCBeFEHDfW+3xRlH5KuZz08j9OLrTJlqz7xKd4+seWKNutr8
FtEB+DYnyXAXdS5vji8+3TQ99jPSwtGAYepPMkr4RLscaReD4RsHQqPofzGPB1kno2Gv/FE/iaaa
LhuprLNDJ55aaJFhUwX2lRAgSj3hQSv7EYGWofLLsW3FNXKm/LoBpX0uEtg0Lerur/Ctc+ges/Wl
8p0e+0g9mys7NOFWSs9CqBC3CLS7efBXRQPhGxqEjXDAE8dp6L+EtTbcDSrKbo2uQyNBCPbnjEDt
hU8Q+0syPMbFZrKiK19MyWU7olQDXEokb9xH8sVM6LgXMLE2Jb3Fk+HoWgiHRhbtzmDK22psZvv1
aJCiukpE6I7bOC9xQGV1jXvGmu+gA4YX+tTNtwowxMrvo+G5y1XTbXQpRXIkQncERUuCLQqncPCy
K2fUhxoifCf3nHK1i5R84nudZAUfgEGHI4KMRj3bdwyeq4EV/tXoG3nZkTy+g7s+ncpUFvm69uNQ
riqD40XM5LbLCJ5KgpqdBRF6vdvf4kKFkl/+YKpLprznbFQkgE25fTEmJtOopYPMDoAMlMPaLNou
DPKSzG8cCzPUGb9BWeLlrmBCNIbvFaGCIS6ehmiFOhIHIRpzY+XOvJedm5xlYTT3nTHJBy+ned+P
cxbAQUpW6HQFrdk4Rvgyp+7aqgcyNoxwjr/phWIdUkvhFmFWkq9JbWVnPXNOKfPZJUOyCpNrIGLj
vd4O2qUN4ilaYf6wtp5mte6qrEsQmNK1iWg1E+ruHWP3Nczj8bH2LPV1sEP32+DQGNvqtdMh6ckN
Ow/SKieLMPSs6hUdVEP0V4wsaO+q+pWoqOhGpgWFyTmR6mgNYwxNuEKaATy2Id3ObdENsjpfa3S0
N6buEGnqR+zZ8WjgqoJzixnW7uCbnDJq0itNuP1T7EwVsZ/RnF4j2saFEtZlfl36OfndpTlqt7Fm
8dZyCkhiX9RDPnYPeEfHUPx1gv1/jfAHrWJqPab102HzF6fnzfeylGSxvLxjSf79B//d+sLTiZad
Mg19WcpxPzWMPf1fNv1gykocgugnLw2ufzeMzX/xj2BJ6izDvkXn+H/LoZb/L5eqhYODw6CXQ7Xk
n5RD/zpt/afmsoDpOYovjWeT3pzxo/77c4GCED45F2gs97ZbZqQDLrGOUK8HeLsLjGPjmyn78qJI
2mI7KKfxORe07UF4laFv54bg+iBmH+0HzOm5vY4p4yLFz8Aptf5XcuvC68FxplMxoXgRSTcaCJw4
rq8KTUqowJNYz6SPk6ZuSUPbuDN6vBUedYP8khT2m2aY1UMrp/Y4pU18tTTxNi4BCPehqVnwPohC
3rS+jnMmrormjji2sdxTz8C3Z8DXeQHjhF8IyTECk4pyMHvZ2s/WdKUxhsflPqEh9l0zjOjrMGvJ
JZQy98meqrRb+5ovLnADoVEh2QVYGTM+kWGdHZmbCgHwje9F+alHDnqdVLG67Aep7YwwnQkcDQXH
ANWPG85i2TZ1wSUthvIoGEeailrrLJLeJZrGr6E997lt3Xstj9kgroNLmLF+LJ2o25Dhtki2mmhj
+jx5kQgDFbNf3CjNcrYK0vYtNrGKPF6vhdNGaZ1Aoqw82q5ZB6k3h0E2xPjtfRM9YesVlyWQN30z
uc4Qr9qsxlpU2vojkEd10VXiSXKivjOkLD3aLgB2sI0RQwcJyst2i330Ycwzc5t2lofPMUrJd5zD
8JLEvmRNAzMLClLoL20ba6/rVF66QfNpHy1t0Mk8BFQtCuPs9jeFn+MOHUSzE5F+I7puicCuTAv7
rOyeDXDE921hjdf4fm1qm84GXpQK7CJDuhNzRiUyLj+SChle+HVa3to6oBkY04/JIJw1oTcZMJhu
2pY05e4mjEQbkKjFfsB9qFcGW+IsTc9h1+jXnSbddTiKgZTRapellrcpBLrkuNOrNVwJYDM+hpF9
yvZh2zkF4SXD8JXmpLathAiJqlS5cWaQUwgYx+YAjAAnXO5bG/zaA6dJU6xRhN9WjLaAKs2JI0CM
aKFx1losn+YCKPQ8AsWOKeKs7Mnjt5SxHUQd8SFGZyRH6A3aEzxHcEV53JztvOYYI2z/iCq8WROk
jkfJQLyVE1l6ZfUN44ZhC5IH7PyuhnW26kqSKlOdE3vAgmZDQ6MYj2Ny8a4lWEt2DprsyLj3cD8n
W+kbgwXfwZgFWOKUAn/snXEE5E4d4LnzujvTRPl8Z4MtsLGkNVlsPBgoRtKNbqfJiQRG91Z58PQe
RzEXagVDLLe2pY97aIWefOL6fXKFKMV89NlZ66s8Ndo+aEMrXugclWY/jb5VpoehWuCleTWn3E2q
z4LMYfrW/R0wLDHcEa3YAaKg05haVxzb+/SZaO52LvEOZCVwkdgm8WuqcRCue2mOzGwdO+VnCigR
63lsJLwfrSoYnkNF/MtIqihbbCMZuX1k5aC787T0vE1D4E8W7SfliecFmK++kqhjZPjHUAx0tJqX
vFGisS3Cp8owUyAiSzq1h5Q0HiLVYh1Q4KcSW8NEmdWCW2UqJKJ8WHRdfyw//79Sf7BSL7gCls7/
3rXcIupKvtG3+w/w+e8/8++epf4vfgSmHHoqPxw5lM//7eNx/0Vpz4EqDTxVX+qW/7tIW6i6aD7R
nOQX0M2fe5ZgoqnGOEt3CtLwsrr/k0X6XZGXeE20XBb9Q5sF30JJ9rZgGkG5mr266lgJOqxgmHo5
ZVJK9C9Ex5pEXaYtL8CIJ/g7YsKgfnpWv6lqv63W2zD7lnxDiuc6ibEQsZff7qeOadNEs9/Po9oN
ndlv3In52EjMHNd4UvyjxsDfl4LLhHhGLJ6ld5dqLao2RmGrHUKJZJebxrCyJA5eeFDN/+GueJS+
tWykHLrBb+9qNpCITkLg0hxHVLjW3KxbpbJAjW73QfOFvdpPLaC/7srinoROi9eCbPX2UmCwuyy3
eYB+EsLDnkxwgZ3zOvbOOipDoFEVupkFZ49iFyX4n9/e25bavy++mNAYxThR3t2nwq4fWrVSBJ4K
B8bEGG9KQzT/qB+5XMU2GZeID2GaUG97dxVJBoHsm7Dbtb7AJSXMUiIlHBu33yCP/bAh+w52/eNy
tNKWzbHJMHnfeAb9ZFLiUt0umhwFjrH97lrmKwWuAkVIcUIJ/7f077+2dn59jLYJQsxkv7x4B9/3
LMIY2y+nv27xs0PdYWvEy/KrD7pV7zojP+7LFOgjPNr3tAuXT/GnTw1DqEFtMOt2VtJPK0vTLsiH
uqYsS3alXth/nez+6z397in+fLV3Lw3EfdREdt7tvJ4siBBPQtSzYtdpBk8emBcbxOzLn0ej+bYP
+ddAQRXi2BaCPwbku6lsijPHGwY+O4MC/TVQjvwh0jtUWxh59hAxkLM1bBEnD2+YoKCudO9ImWvf
RW216zu/33QjSKN2cOuv42hph8kRnEhC1dzNGHY4DVAYz5r5g4nph0rjp1PS8mYI9CUvCM0Bao73
I86TYGYqxWeUDORgr8QS90C6qt1vNM1CxCYNeFpeNazxXtQbE+v7Z32m49AZXn1Ff8cKKIH419Di
og8+cPs3QxNhJWFGfOE2/1v+/U+DJvVzkMZ2rsBkx4TKx/Y6aeMxaDxHbWQTyfsxsdJAHxy28xU2
7+NYpu0FncGeY9CIGK3XS+CPMqXkVeorC1DtOiw9svDMaDpFndlemc6sHWYC8tb42mHNuDaKNyIX
HzootQ+q98LAt7A2tEJzt7ikEiwbrUcbYDwq6vbAs/IuUKHtQ62xT7HI7qFFkkUnJno31pxtMZom
pDmq68p3533DoWw1CRo7Y5hTKYsn/VHDP7hLS9pOoT29ZpN1Vp7KKGFGOPydWF3zk8vtn0frrx+I
x4i1sC4I1mDXfTdYR0lsoz0sL13GV9TZYrj2+oEt4qduDutN1xXGP/4kuSIIVIzDHNGYb96+S78d
e8+fM7Vrw/BgEBoNoe2rX4qL1gLoDKr06c93+OvaDgSR2YYyBHII5FVvrycjv6dj3KldOuX1yuyX
k1A1oLc222n950v9Okw9LM8O5S3/R9/33TCNOqSYA+kJO9/rbRgkjXGohs794AH+9irC8dimADfm
Gb69oQLxe4EZjuWOk0i7alxf28N/827+fDPGr/MYd+OhGUafbLi/6Aoy4MwG3GWY4qOBJ8WQ6RZN
A2ESssRWAj+QLQUDX3ctwOveI+zbXSWy5KNpiYLUu60F3C+MCDanNng377U5TVOJOelduRPgjDYD
4PEt9Gm1FYNKPJJRZ3EAiOBvWr36/sNZk6l02EW23l8W80x4T1aFH7yBpUj26++Egg9tFpF3dObf
voJIaJoWxpbclVFXHvTW3vg6/Y8ZltJVCJwniOkfPOd0OIK80aZrGnfESyW6ufa9Eut4mX/POdJe
ZR4+8Hn4DKHEDPD11XdT2WEOVAle6ygejuWUXwE8+kjt9fsboC5HVQzNDsLztzcQGq1fTKQx7UQ8
nSMCqrbdIKL7mFksqBs3XYfEgAWF6yhWrLY4AvN+8RL3k2wd/9DVYRiMXttvKO37t9XsVp9odH6f
QVseLY/w16GOJgKaU421QuVbLGH1B0vCO9HRssoyLH66g3dfwaByfuFqQlVO+eaIsqA8KnssqRfo
a5W0TPIcR0Hj6weropQua5BSf/5ArN+OAkIRUdZ7qGGcd5+7NzGX0N2UO2oUqibA2bO/sK26cYXE
quHr36q8Hx9d04i/kheiuj6iyG4uHXgsanRZtqZOD6mlM4g11hiw+JtdHcRccIeinVZRGhnfp9Iw
mCrdO5dYYVtPSQnQfAr59PuN3tYvNNvIF1vri9vrd87EhSLxg8fqS/uDZ/7r1s1DkmdgS4D2oHNa
ejtoUOq4WYhWatek+WMZ7tw+zdfajIMf07f1wT7xN9O2w46Ek6dw+cH6uxOFzDOH4FdD7uqofPUJ
W2HVRugu4Nx/cKXlJ73d93BbUApNXyya0vcbe3IMu9rFIbyb2uhTZljRY5rPi/Fm4jRhTxm4NN3R
vGPoGB+FNf5m9V2kaqQcWSxMbLzfPlEVASIMU31p0UzPofJuRjQq1LFe6ZV+4cjrrP88ZH/sPX+5
Vxsr1iLWg93x7hX6vSbHJGHIcgwvz53FvmeipT2V2D2sfv4O4fxTleTjOppqNjeCcOdeRi3UvfmD
r+e3gwm5MysLBihUe29vPelUb8c93+/gVWqt1y6uDEpqKy2paA3H6euf7/w3iyY8SsxsMJVtwkzf
zdiOn5KB14285KklHbwGNTF3XvzBGfG3z9egksFI4vEujYu3G1VpRBWlQrnjjNwGXj/GUAZTn5h3
+ICDtPg6IeqvtanBFhECk6AakG/GXjvNM+XHP9/zr4dytNicCjmU01W233+vA3VhHLEZv0xPBDPZ
NiDF2/kS93EURIWhBbUsyl2MUnRV0ZX74LN6H8ezzNDMi6im8fzRc3k/1sglxABS6u0O8mP8pXZb
mqtDG6lrmRg2yTBO5ThB1fEDcFSTNY/VvaG7ggePJEPQ1XEGcm8aLvvYolRsKtUZf8Ex/vyUfjPR
kG6PK4BPn33Oe5l1rHnJZJdOs0OF0W47AYIf3YO/YS+ffPBIfnMp+DDCRUBJGY6n83Z0JKkh6wap
5k7NYfEqrAmQSRkXOOEdXX77x7fFHtTGibmU1H6Z1WrUPqr26D+ABm1vIb4622pyw1Paqpc/X+k3
kxhXoizCFpHUpffnRnOGt4Wgudkl+LvWIcayO1jZxFjqkqigsaDRXcXTB9PHbx8l52uSjPEb4Dp9
+yijSC/JTbKbHXESfVDYpH8maYE0STflB5eiTckPezdrstPAbUD0MT7B9ztuLxNVF80GQ0S0erN1
QOCR/xWLAds8iZJ54LSoohz25HnQWP2gbTk5duOGvodVQMa0+bgSVG3+IaTb+mDCHI3XOJ69bk2g
gYP+K2ziF1Bx2mWGzlduozhf8iPRaKCI4ZasYOk1QT3s7cHYDuSUTacfQZRE/LrzhkQtWn8RfYpP
Tmeiac0FqaTb1ChGZ2P5dWw++QNauu9OSrEkWtWcYOLTGLdWuG6TrI3vZV4Z0yEvqa7tyGwpxEbT
a+NYzOOo7WSX9fLKLghHvxSqm8JbR5K1suX/awOBGK3MoEEIHyJDibAruvTccuG+2VaVIqWCC9Jr
6HyObalVe6PNSM+botZs0YwlD4VEVU68ArFbB8gkUY1cqaqy7ZQli8KwJrroIu05TqLy8dEA7KQc
aG6OvT2N66onBuhEmzXUqTsUtbmuC3vZXCW0qV9cYJ2YZUM1BrNH/PpdbZO8AnFdInlFtNnflYlo
1WbSEJCd9arwog1Zp1F3YBM7bhtv9JOtAGxXr+j+zGjkZOrTI2SJ2uSQKRRwN9MHWytt7x4wDBiP
vKgs0BBxj/awrgEGed0tdd5t19v1Y1ib+VMO3OWsSodQLuj1e22JuLUa/7rLl26ehEDklufQpYgq
YpJziMLZmSKjkQNjYxt1/dHqpyEwYU+mGRoSu6PR0qWjtYX+9E3QhwSkMKHpEGj2HKCdG18kzk74
M0ATFH+rFE/kCSDB+MVVaDVFN5GZ7PYvc+MQf2oRNwWZe2Un+YOuO3QVnebG9ot2Y+hlcoOJeQ5A
GRonr8jjS2vgfXBaII8Vhew4W/bO1ozbJKGrBQk2PIS+yIIxzTo2Fbj2claJtZTufJvl46FRMDEA
79j8JVsQTQQCifaYjVAOZj1rNqNqCbeKQxSJyE9PgwVxhzd7Qw/4TMbMuDEGL97OcwtAEzMemkEa
gjNb13MY5fXn0pP6RRm7wF8V3chRV+2ro8Ee0BRpdB4Fa+AjlX0AbICwmPzqAyQg8yAnF+Ph2B+x
+W0TuzYA009Phd41T2US7l1b3CXd9ESiUIl606dQ14VPBRm1LV9g4R36zoUZqDUkJtkaWlEvPMrQ
StbAGLyNngqN99DAxknp2sWcG85Jq/U3TdR6Z9lBGR0seaGm0IUtuXBQtfK7bGCQodxJ9oksCAwr
vP5VSNWR7EUmbbbO4H1AYOiqpiQ3c8VOsyWqqEp8Rbi5F88rk8HzWGAxHtduwzmCxZRJgpzlAWno
nF01A6MsnQAgeplxIBR8Ij5KVZg9Z+/E31SbkQ9iE2KHm+SF91emNaG/S8L1ZIaCvOtZmu0zHpAt
ynOohxpxO/XOXfKyRzSS9d7KcuhGhdcCNpkqrAUXyJIVdGLXa6MVGB4bS0GVIDENqybZty1PCglx
ma9nr+g//eCimTn6/rAos+QwpBBQbGLKrowBtk2FxHNeAbsdj3Ei9S/OImZeUd+tUVvo+almkf2q
QNk4m3yKIGQMdmLhOpbOneiz8NWnuE/seUke+6rGoL+eJ2+8p89UvLZ1C9x3KqTxmdwoErS72r4m
xrl+JshqWJPbNO0UO5ZPHjDa517ycybcFyj3zOY4gz0KkrEUB8x68pEq3GIflrgBIO8wEmLLb55i
4ui+NrXIttmoNU9uYyb7FD5AfkAQmm0TdLePWP0JDXDhka+RG0AR60CDwro1NZvkHgF22nHsIGXD
dSC/CUAtJeQNp1K/3WacmwrkU0g/VyqJ+ocmHJbEMHg33sqPhjAJKl00flDQGgTNHOfLGNSGI+jq
+A7aAjIPt+3IvONxag/kTHGL7hKIeorMmV/VyfqH3hy74TIKw+gaAaO3JtZ8vqzUIqOPBT+VVOed
0BPnrlemPa/YiTRHp47j63SQgNxoTG4onNnXUcunuimrYt7O3Zhth2oUxc5FHHCd53XvBrUNEJqP
qOGj4u1ShG+OGVyHazeO6y9tH7W3YobPJhOed5JmcJ3JWtp5MQ8VL9100hiat7Xd1l/s5YQZlM5c
E5DdAEbhySZ7QL/8WA33otGK5lgbqX8x97L+oqa6fepBsOBPdpuvlRHhRJ+7mMdKRlJ4jKhG4ClX
8ps/SPtazI02wOjzo+sRhkTNfpdwim9odQQO6tocLPQzgGPD6cJgWa7Xg5/CpY69psH9GxOP4nUd
UkZweManGh3zdYLw77524ugKKXmFlNvJ1mqBm6KMnEMDtgybSLuzzE2kvOY4tXq4jrSuPy2Mzz0g
xfHe01LmxShM9lbNn651LbrucFojJfBsduAldINrQMH5oc2WwDQQbRkxsdkQHuNC8R+Evb+AlIdc
rVM0uJDD+M4pY5XyEWLz9Oq5Pda5SNhBGE75wWjVMso7shrouZj2XVLE/YOoFIioAa/AMbehBHqq
rV+sNHbuNBB4OZrwIb6enKIkwASkx1PeYO7By9Q96KSon5PldYN48i5suIDnRvRcKNOmrY8Pi3A2
DR6xkDw1LwXoqEfa9KrP0La0UdgElbVeeCaRTRwaPS4vHGvgJ1ZzBuNOH+99nY7MPJA8d5zBgMQb
rYinVxcoVQkzkaSMFfUWCXnOQQEbOFpFPJ9IZwx8ieaEZxFz5FrVnWymQ9H3Tsy9M5JmrWmZeh3B
SGPOiq8Jyq6MoDDm6kazUoq4/ZTzrnXpxf3BsSqvDHypXitACmhY9CINmmJoXskkMB5EhPcDIZbx
3elT4kL59JpbZov5tUJY3gYALIGotandfSexCs1qSEzXXqtrHovDSi53+pAZ7cphy/tpNnPt7Cud
2cx1SK+vveZWhSWF/8asr1Q/1c84FppbQ3nRdehgwVQ+/o0EBfKBeWxJvPL4vktSWB4bOAP6LQwl
yRxfZQt+nVC/V3bU7iVn4nBbd2HLJAb4lrqpsuB8hZb3eUb4dBUitdr1ed7vhVPwalg2L6xW4JWy
3Si5cQS8xroU8r6te0Lo5vhVRRX/SNZ1vQ772vpi+5G9FTVC+FrAuEJMD/Sgx6Zk8LxWdDTFGu0M
3yGZm9PZKFo4mzmnhiWa58HMI/wIWnUHcuUS7nNCL1JPOMu07Xog8fOqof6jd3EPNq5uuWzmXOsD
kXkxYWM7x5ppr+uJdjk6Wn1dTnZ454RmtXA4u4hJt5jxwdBsbLBPH9DrHvtpytcJ3+alHg3tBTkE
5TGKy2nFVp8toE/7jxLqi0+8yiFzy8XL01vfesJhmkQ3mNIIj54t2WxKx6iDUeF5xHD2yH5bJ6J3
hII3LH2mSm1jKsuHJqxcumUxG9I+raZHbxyis17Gw9Yd672Do2/tD1CIV0lT7b1hfqH+VzxnBVAI
1hwekqmJiImeEw6+Atw9QZpl8pBpurXqQ4BRWSHqrew6+1SEBCsI+L+3/I1LUT7UPnUNIm9r8KNz
J7kIbgT3piNBbkVhGoA/aTIvBEs4D+SC5vskcR/QQhU7yqWYM3S2cqtiATBUyRBfJh6FG0h+hxDc
x5dYD4dt72n6TpkGwfNJZ62Hno9R4lNcDRmlwmianBObC/GYCntX2mO15XNiAq5STqcRWs+dT+LM
a5915uOIWe3KL/wZ1UIhPtUQ1IORPezWZu7i1mT+YGD2vJ163hIKwLHZuuwLV61qCcUmKOH7TKvJ
DOpIJVdNyjAAMx4lAEpKojdqtGorsIBQ6uq0DWggrCDAm0GHUjEwRZS+EMeUHaOh3CvyBdKVLTQg
ICRYzLr5qMgs3fIpbqHYpkuCF+6REF8RXMHwntQ+thmih//s6uT+eCo5e3o7r7PC8k5yAgAS6vEm
tqGfZVZrXxe1XVVBPPhIVVGVH6ap6i8d/A4lezQCPkBAlaC+x5SsUgutN0GfS/hjC0h3lWspnxE9
tP4SF0z6VJjC2aECLllyRlwhzVxT0ugSbbzxQ6u5mChmc6pzeww4XUvehU/OxNl2IbNgWNuHPRY0
T2aX4JEwBpbE3kqBi2SiwbMqB6kgK6XTypHp3hg1HzeOteKcA9e4XFJd7RmtvtMvkdMxzPZeGU/k
aLaHynS/GLPzPWyr5jM71vwzBnecRBLkt5sTOQviMNootytuJ4cdS44Zkaa3r+YgAuFYsx0aAe8V
fXLUrGoQ697Vpbt3MwMDTSmc6lobInx75QT5lfINMj/TSwGudTl+MsaonX4uCqSbZuPhFEr+h73z
6o3cSrfoL6JBHubXYuWgUMr9QqilbuYcDslff9dR23NtX8zMnfcBDNtAt0pVLIYv7L0Xc+RVMnMD
TWPZf+ad0EmTT+PPJtSXOhB4wm8bVABHu02rB8yGnnxtqXj43hKaHBiEOU8JDUNnXmO0XfypfuNp
yexswdEzMPTnjzAGiEfqYzrTrIitY5RN3WeRgXPvho4hQjcPxc+MSFsiXpc+/KZ3qfEdHwlP+soC
F9qhrf+GXZQm3AoT9M4YJ7tPza6JtRTLSBTwktnlQ97gT1t18aRydqN+rLaWL5lokILF6RGLgQKn
KgEGx84AMpYUivAbWRr8jF9PmMzc1M/I/i11TqPSnPsM9SLvcpMShgRIGJWWSxMz8UvTxCq7U7LY
PX2jXo5GHEjS7qItxSuvvGgQAA6WZPy4ji1/1nbarEqAng0pqtAJJ2Qa60QCO2hthyAPod6BveZR
F+AlCL+N7Uh6Km5WVMqQa4ufYhj4rUNjYg+XuLu//TqY9qhFw8pkPZkES6ejTHMNYjpX9BPVzvRt
4m8bwNskA6uhgGlY5YONfqzc5UnKuAdlAfa2MpsgwxlMgW5JhJyMbW8v9mlu++rBligq+ArZtwYy
bPh8mWszD2lrPUtPHSqGcVeQgxpf/LEff44Os1EU1HYdXxzNiB+zeRRwc8AJw0xz7zPXb4hKrT39
UcZ1N+8nxvDhrTXwofdi1HmPVOW866QM+fKceSo19n8VJhC+E65dZv/xvGYuw1EctZ6/v5Si+0zo
XpIVb1aBg8buRwKpOt/5Q4utc/BJvIErm0Cwy1EAU+/ydS77kvkfcbWEBK84D6no7Niq04PutAxR
WnYr4HGaBKsk1xQNNw9hnl9BMeiKz+cNyKrEMmGOikdTDxpVQuaQXHqitUX8ZKRwCbEB60d20u1e
FoN5X0TedEbLlDwvSyyfpLDGX2P1/2pQ/40GlRWnx4rhn2tQL1XZv/81Sv73n/ldg2ro1m9UMA67
NhIRmCUyaP1dg4otQ+Wn6dj8dcLmiW/4hwbVInNQJ3RAh/FBmUY2yT+MIpb1Gxk3NvZOtme2w2n8
n2hQra+1958GvSxydRIP+Yf1DLkDf1/f1EuVkSExx7duXZOSnmuFlq5kLOzAhoQ4790qM8vtkEUx
M6/ErC8R9XOQJ1H82RFuVa3cqMCV4Om4lA7x0uBaI63K+VhwsW2KMvGYhTPSPFdN1uYvyYJIseoW
/TM1o8lHDZ8RA42E153XhTaO5o6monpy+95lLNX443iczKSVlxbE2CbuMxygs8jnVTY72aVGxhsQ
towocdbO+jDXYGQBqQdGWi7Afeb2G25dUJcizg/WOOkzIZ0eXYStDxjbzMjaMquKxSaUpR0HlhMn
l3ys5GHIB5feeWgPY1WgOmyTcrofG20n0kGsK+G/yJIEMWzh6BSKCNIgSeVL+jLZXR2Yg1mvBzCT
sW8k7T5djBaYIQ0IBrGhylNIYC4FSU+BzGAa9yg53qCSs8VY8c1zlPVlMO4SkdhH+qzurgNB6pwk
WS4fHJH5lHV+GraPLM+WA6jMTiMUqI3I0U1bY1VbyPrrXeuBgdzgZJeXKrWIayfyFiM4E82to6ZL
oJ3g8vQEzyb42hoQnFnNFO/EBAK/+QKnkmf+BGU4I0B35HnWTmI8GEVm+OMpp29PUGhOUO88AsM8
zXXrdc1m+200hUEwAA/WvPG16dMv3Tr96bMF+snYmgnADRpSuzAe3CI0tk6fuFRPrKLdV+bcBOXi
5B/PFBnZ0SkHLMPwD8M4mPMhPSSWX4L5ybF3GhWwKXXX5qYnb5Wba6UnCWxOIkCq9Ux4QqAJwzh6
cI027E2YrCRJtstoB6HCTtfeGSxaHerWdeK3cYlipY+Onte7VmCZHO1ApF64h4419pvcnO1DMekt
4b1L916JOv8QfcPcz8/gjKzahnFE74VeDmIlbTFa4rY4dibBfpYZ5Sp1OzX2Vjl8i1OLwo9cZPtO
4wjaVCB19I3gZP0UpRamcty3u9Hk4e3y6y65Y9Y7A0nzfVn1xi6WmZfe8lRz2RR6clhlQs9Owohw
YUvRjWuP4c5hlLp9kyh854rYBOvseOlyLMMFwECqz2vUbu+8RxDPemFsCRu6cWJ2HevBcs7sCrtX
8pjDb9hs/S0DqXFXM7vZoF2FNmO49RMNxA357fa9OrNvQ6PT16SYlBunMS54OmcS8EhX8Mza3npJ
zbrDMmv9J3sW/bYiV+M1YvZ6ahtLnqsxy/cd/hMmuk60S1NwoiHBJquwgbUtJCvc2mn9B3RH9ook
GHH2Mvd5EfotoUxEWWihc86W0T7XSaOBT+vki91U2J/SbJLYWk3xRjYpPsxhXqpoJXPdvAJoHDZE
FJs/NdeDb9BzNLbZQu7/0Ocf7HP9gKwPIhG1YcaWlY2O9UBc5BQHAu/3h+XN0aOdYm6i1W/t733B
hKX0u47XqEHhebRBplkj+iYL+SB1p2Kw3xQBhIB0E47pBAIh8vaTDeBUkqLsrQZnSqmJSEhZuQO8
PAMr8CNxj4SOcHweabZYLKTV1RPz2Zcx7Nks9PeaG9dkCpqNe/RYzPgr38pJ73bK+M7PvWQ/hlX5
6Sa6v851klBWdaHWGnNlqUbZOIROeu2L1jvM5jghzJntB0OrajTWchZ7fzDDQPbLE3n8xpo+JqIf
dhuIEPnInX3QzW9VHslVEQ8aXnDDgobFPvbN9qS/RmS6XCtWSAHuWPkCJZ2G10yri8jrjEgMd/qg
Lxw3ozD7n1EmtYDcbXZ5eYzizhLmqyiX4nYxEv92nLzlbi5togRVvqZo2/oU4jh7cAEtZEFHAH+z
raouIgi+0d+9emjX1jRUVwal5CPMMjaDOB3gBRt99HNaIn1fjqX7ZrIH0PAmEkm0cMsJ4n4esWMj
PFuXFXd+j3jDleuNzkUQdKsSMMytFRniKWrAIXrSjo8VXKq7BnrSuieKgCPrx/MPtpL9gw03jLkV
al1K9zknMNLoCjCWUKgNYxQHtMzzgIy++YHxEjcZRkxKbFFdJqInAnJY2vNSVvI+dzW2cpl/aUZh
U0fPOMsPpqNllxhYyJpU/5TWbhSPaZfXF7f25gddGh15oU7sXy1/6vej10+HagoTa1WxrQjw8eu3
Lairl8KvmpfIK9u7csjD5xr68GmYmmkVS295YgI8K40bGIV2nDcheySkQCWhERafltDUHs/hgf55
pB92hyeyk/A2J8i/1hoMkcCxrWrDmFG/w44dmRvXI+C7lJrVB0UmWeGmc6F4B0y/vcoyOY69fLUm
l3DIkRiPeSpGRi2wHI5GYjgfgtfXgipkEUdUgQycVPdfcKV3e91aeNB7pT4QjRR1yRasm3N2k7p+
ZM3JgkVDS5QB0YOwu/bkdB6aqt2iiWOs+VXx/bc4/jfFMZFuijL7z4vjQ/mZ/K04/v1n/jBoWb+5
vs0wFDHU7/TbP/xZHsGRRB06qDVV2KRADPGHidr4zaX81XkcEcn9S3D0e6YklHmGPYgWHJPAXzS8
/xFL3rL+JvNQsZVEB/vKxU0hjvj4r4qLQYDPWeJJU6O3ac2OIH+3UxY+THp0vM3xMgpWe93MmnxQ
QJksEsbZYbhwgVlgTYGB72PDNGP8dAeDG1s4ld98PWWyF/kEPK34qWI9gS7bFuVSfitsIhyo1sVt
m0jqq3Rszcti5N4SZGkRFRsSap1d4ngPlEX5tZ2G8VYf3wuQK6u4i7PnftTbN1y7oxYsY14uu4zt
wTvRr5Ct6UdnwsvMiOX5RCU1rcwelf2mdprse6xlBCqYbcEwY2bPsKkErG6eXtSqYe4Pl4jVtkm0
brhYa7ulj9jkleeaQYtPmr2/l5q7hjicWHFE47OZuqO3QeuToHMqqWOCTMuqDzW6fqsgH94M4OSD
wcy7EyHJ8oOCtHyz+oRunCTi+ZTIrLmf6zR6FzFBUuTKVtQ8w3YcgMog99CDKSESY2G0eWebM3dR
6ZGNzMpSuji/kuzGM4vpHqvBsgVWv5676uC6ksE0LhzSbgZWAda8kyJx74yGXM1VahYfE6EQK3Mq
vDuy4OsDc77+AUh3x+gfTzu6VxPSeG3krFuUF7snhiklVu/EaJnw5QWvyHFccsYUesRkfpXYjXum
zBJl0GpIYADiDA+4TFr4MwarWxQmxmuCvPS112Dc1xJHc1n62lkuIiUXitCTCvxFICcoEktkDC95
NtdNoKQJZxm2zQmW1wgk0V8QwsyK0dnlVnw7WmW+qRsfclYp/abk0eOOl1yb6A58plPvjdJfRBQX
9i5KCsxVgo3kNwi00PAYxQApzRozItLaL409rWRyjevMfBFRkdz7i81vM3W3fTBqgdSlia2TIdJR
Z+1TxXvN7COy5oDZiH5s9nI2xmuE2z5wmEC/aWXUHk298H9IrD7t1oEyAyHZlF6ykU3jX1XMqQxI
SqsgmEamcxdbCckgOFHw3Pog2T8sUnD81RCLbENdX6x9uzfYFBnlI99j9sRTML5zIZNdOmOOj24r
Rn9jwJkF8Vdaa82Zo2LN6Yp628Qpzu616tZaw58bVWTxvLWGSkUO1Ddp6SLggOnMVf46lUaquKsR
Gbgcngn7Wn30QWbyn6o0op5myB/n1Ll2FWk4+bnU9YmoJ+CY/bIvJEL5cGSwj0N7NOdjjNhz30jn
zqBDWdeWu1A4siZgiOs/TFCyx003DflbGPoz1reQcC8XsVEXZLWoghK09gOLh0HVzhjfVQh1EJeJ
fmMBjj73NrwNi1H8qqu6HFs8miI/HLMN+35ORa6Xa9iRh7BKxjF/mkJpFmdn6PX0zlWsEH9t1cug
QxbpZMGi18XpTvwzRbYc2mcrhz2tZZ6SI7WmPJjteCSa1blUdd3uih6kbj7ly64eivm+qTxxGEi5
W1WeHR28ucvvZWu2VwJTpsDK0mQbginYuDVfJLbbFeuGZGWQB1GQojcUPXyqPjmP6ZEBKK9kag2q
4bDZ+Il4c7BErewUqhGtDs92fUWyRsfLQCEgsct6ZglvIT5rq8DgsGzxy3S3iW69ESkWrSVw5g3j
fO1Cex7uyVyF5DHoL6WBqj2MoD9lM6l3ZBAtHMOw109pIvo5MMC7bfUufpqUoJ1J3rPnzu6h8OoP
WJDIWhNx1Qm7Y4+GBc5sbx2Zpnd9U75aIU5yMZ9cxA3bQq8wvJsQnycXbo2O0IEN5bgWZT4y5mQn
uXdjIwtmpyQ3YuwaZt4xvOjE6I6t2Z3A40bbGcvNTpijtTa6OSMvnAnU2iWy/QjP2kr4ePXyFkNJ
u/iojLaONFakslknh2/7rKNGQ8s1lFcdDclOxQ/trHnhbJqr5WZuwzTk/CFr0UMPdN/Ms381l5Y4
+Cjp8/tMm+BP+e0nacT6MUsi47QUfkOig/QKBAsTcnzgNgyWPU6/Rxd1zppxOEYzRHobAnUK1BvR
fIPeB2HcaLRPC9EigWZb3Y3wk3u71UjgM7M4aEd0eEWbFUFbQJIGzBXe2+hvVhZ7FbAW9LR4VE9+
qKMXwz76nk/he9zpzb2oXXknJn86JW1H84d25YGJL22f6Rw7eNPBRNYteXn6C5i8ZoW4kII9JdKB
3Dq2qZn7ISciLzzNdxFOT/PWnBefobGb/3S6sLxZ5KYbluEse4tE/nborBvuMaQ4MdUQqyYuVLBD
TC4fc/CTiR04IMqKuKepiz+sPOfa8quuC9xsuHIS5uBU9fyODRr9bum4m4TE5zUTG+WtsNZkprWH
YjHNuxx/jupQ61tbGt/ssXU2DYD6h8JHQ2wzN3vpK6vZdlJkBmdGzBKGusAJEOmWELMF/Q3hnjuD
EL4TuA7/aHdy3pdeMh2cnkckKarOgRBBx/ilxP9vnfzv6mSh64ji/3mdvPtRtVGCBPlPQQa/fuaP
Oln/TVEsfJyqggqamPV/DJE9+zcVQs5+yCXmBtM7f/QHaYOa+Y/CWAdbSny4b+NzNRj0/iczYw94
zV/EwehmqIl5MWpRQnHxVPy1LvZFVdLWefne9KI3CcNr1XdM2nCavJaa89AC/aUva169wnidJfLd
wZ23HfrCXgkNkYaIgwki7dApGWJpSPvgK2liO+v12lVyxX70WwaGWOmrGDFjpWSNmhI4qnH2VfsS
PSr5o5kjzqy9hAeJVk6bIXKvcDu8O7kkwCD64lTKRPJq9Ijwu8AYagJCtpJcoowMmrG4nTthYz5D
lpmizwT8tNzbxBSuK1e6gTHL4ZE8McAzStoJSxNZLGpPnh72jirlhZCVZCWUJNRV4tBeyURTJRjV
lXTUcDoUe0pOSgu0sZL8mbvIalCC01lJTws0qBVJKthqR7lulUA1UVLVTIlWTSVfrfOGPbOStLZK
3CqVzFVaSO0gYXz2KRJYcKIhaiVksWzG38WIUBat55F1I/PEBLVrquS0S19SBKCwJTaovBZobnu0
t0j1bkNVDA5aM+1rE2Hn5FbG1Vei3V7JdzF3bgtf3oPiKK4Z1slzknvtQMEPqht1UM5c3ozkRngj
qypoZq8DsqN73F7WwaT24R5eoqWoo7F9aEwtfCCI0D5ZGfmtK62w231E9BSrqzq5gdkrX0OfnRtp
B/4zScIZ86ZqQP1XIZ2MR5/+R0IgbTCd3btSsizLTbbRuRjtfW969ZubpKw5qZ7y5zIr7RN3X3+n
C2JgrfJrbWzkqKwjvW7PKA69dZ2YBgfPFyQVxgMitE7UJeyUkGyopdLLY6MtSB0ar3SbVZIzr1oZ
hAfd6MhDTzOq+a2QbvrNFSyp11MYlRuMB+FzKtgDk9lZbKYiAaqaqbRJ6LsnS60R0Uyk3+o6ZK3o
GyTybhMG/9si1aZNj1r1bibQ/2Ygm6ZcDZE1bbqEFLyFUmzPRBmLlk2GwLptPKKPdTN/niknvreD
ax400xzSIOp6jmpb8XficbrjAGoB6maSb9k2EXBZ2TjFe14S491MGGwZzXeCLORnewjnbG+T3a0c
49F8dYn/AuBe6UhxHGK8u8omDdmc+R5qL+cFwbNABiUeudzMYzGvp76o32KuP1pU3Bn46JFNQcIl
vJl8p/y5NgDLzg1qswSa1M5gTfLDnhAlhUNV3369s5SIB482z+DlcyHc+4hoZrJoWyCxZhh7979i
irW++JmrbX9pl8NjR75mUDkz1ppEffAvtRNGoP7JnQr+IlFf4mCP3ETWZD3MG93v8JxLK/32daal
8PqW1YJnelgZM6KXZJI+aCofPCjRiujZohShLCq9Z3b+gs2PEsP3heXeg5+3DlVG2rmBMGDdtkhb
RDS41r4mTXQ7DFZ51AplrBOhrLe5JNO6d+PkptQr5xYSwnxqiES7hnpKHBPl0ibmjCRe1beBMQvE
ltIuYjSKDA6O2ujxG0F1Zts8irWHasE6vzhIJ5oISU8F4GXz9W0VsqgeEhgUHludsOwDAys/kdtc
vbMi0tHxWuHK+QLVOREvP0jcUW4+cdYv/AsjwZvHGDAQX6S7dLnpyvhmbOY7grUexwbBx2hX31jt
raKC/CPfu4h+QBwW3cXElK3yPt4XafvThrPnm8haemQVpXCvUwcFeIx3BJw9Ry14PluB+hyF7KtD
e0OG7krUcxV4CuvX8xwbCIglnENNAq+s0J86BQJ0Ru7hmQEc0HHBBBouFvqkmG+SyV/LKV13DBxN
hRY0eiCDxkSX6lURkn+pQIROlaUrzx+tDWsilHmYk/b0QfCkvyiGGjzDMiIADb5ho0CHjUIepgvw
w1JhEMlq+GjhIpaefc9jkvZqHEzEDcATtUi8dpr3AVeWtDAFWMxHUh2LmYG3pvCLLE/QIgla0qB2
nOphUKBGKFLLZwG7USiIozKvbWu4jmU60GC62Q4zcRzY9sIXrDCQUzOEq1ShITPHeHJmlB8oH5jU
gI/UPWHupUJK6t5QbyaFmdThTeLjqLdaVb01Ohu2icDi85yBp2QFqSTwjr62R9iPRtEEGjTLwZh/
mnN9rRXmMlHAS0uCvnRRfq4NaJg9rvj3+QuQmY6dSuH0AtD2DIoUSBPCnNWsxmXhfqBAm1G6mCgg
PPCbC0W1Hz40UDljhefUS2++wZEDs9P84neWzJbnVbkQTstkjSBoSJ859/x7TisWfgoDaiogqPxi
gxaDlu6zMqvXrEDHVWcAEe1s5gJLIQ5zARLWrOv3QSFHG6/z16kxvjK/gvGlwKS+QpRqzvBBvs9b
E5s7fQZiKo2agBYFNrVNhH9s6rRLa9lP0Mj1wOEyRJ4DEtVLeQ6zR1r3eN7OUnFTKRK8T8u1x6uL
UOcpU3zVylWo1U5RV+UXgHUUIDmxQ6ZPqTugvOqgtHaK14rokui7lvDeMupCPD4aujYHwmvW8bNR
YW5ozfQbV7FgGaTiVY0bKitT2Qvr1rupx1p+K1k5fJMC4Kyj0LO2gtC2CkebcxVxJ/+i1MYKWBt+
sWtZPkXnEb0928ovum2sQLckEg5bL1L0WwSwz70C4jpGC1rbRHXLl1jpUD8B6Y5ZOpwx7FqcMSUz
USLLa7GyFsljkEXMTUV65tFSqN5QQXvDX/heQL6IFGH6Lp3i+/Z+qd30kWcfqBSynaFXzSaZcgJo
pV1ZmxjscFkIcWsoHLFkLLqvY7d5cZoeb4/CFqMtQiDlMqXTrDoJMO0eMoU5RoqsHXWFPq4VBLlS
OORagZHTL0QyRgDeFmG55JF8dztAyp1CKmdfcGWFWSZlG+CywCM8KAgzNcNlwtpFCsIuInwdX8/y
ln5Rm9NyxAUlmzZYFNQ5UXjnQoGeqzazoOAuF2Dw846UOx4DCgxts7q5WxQsOiNRmicXAOlZoaQb
tph7z8y0N7P3bwwFnCYilwLEmfutr2jULGxUpCaE6rZNkjVoRC7xL341DiueoNVt6aKnqP1hXnW6
tJ/NetpNcorWHQHFs2O6N0woDNbVHgue0tg56JSC3Gg31VhFP5pp3pmKrj02Vb4ZFXF70qfpmIxQ
uIcUHrdswnMSNVemGfbaDb30MC/OdApTIhDQx2txZmzQBl/9jLurcXIHzUlUWFScG/UOnlAa3ZtO
2gArGzoZ4QuR1ghOQNNACURRA02BpPloRm0m83k6TNS/y9mmVMmCNCoyezN3KSHMHrNHfGDZlNJE
j8NQrQvWP8TcE8o9f8SZh5ydrXFYCYZvxQuCrHtN90fG7L7SDQ7yIXSXZWPMS3cTpSwZ09G2LqjT
XpvFTNgMOteEbMMgXXqYdlhf1rlvp7eNW9vfSdmfg5RN5XdEEv1FFgQ9Jsb4o41mHB22GC8eOpY1
eETraE10P+i/ujvUguKMaq+5RpQqGxGi25019xt5aSGqhyF9J7l6RlLfWigIwvBYaAyAo1TXyXrv
YBWMyRSEiNR4VNY5oUAWVCDPf/S1flrZEGAWk0IbbdmnK4DpWU3R3jhMkPLK+ohzSN9hn/jHOVqQ
0aTG1wSYjeV33UKZ6WZ2epay7KjjO2tvgg89tKn/oJPMpK8aahkNw1WfHZYl9DqKBGs+W1i47slF
X17yVs8vXVx80ICyo6hEw2CSDbJ9msuwWidl/NEUBU99rSk+3ZHQzpUM+347EFK/bQ02FpQvzkYg
X7/2IdoTaqCrmaT2rZkuDJMNkZtHdFTNmjhqrrShlM/OIIdTU5vleclHj9Siuc9vs7KBnb54Zvwd
V6EerULELdvCiHkU6H6LbYHWsKIOyH3v04t0bhxjZBtXBOveS08gyBvQkfL7EuPkQeNtWhq3fDLt
g0GX5WOpPGGEQ3qnUPnEgKwSA2ssh0R5yGrlJquUryyJcJgZymvmfNnObHI6cSaksloJfvltE1GU
pF8WtVK51VB5KecaqfZfRjaqZ+Vrm3653EzleENqOP6MlQvOVX64FvfJfsIilymvXKdcc0izz1k7
FPRZOOqcQh/vIuWyM5XfLlPOu0V58GzlxiORk9xQ5dDjjT3R+IWMDONqqxGjfsi/LH3/3Y7+f6B7
aOpU4sI/n/rsgasmyV+GPr9+5A/loG2B3EM+46KyZTjqsGv9Qzno6L+hMLfIrPN+QVT/MfQRREwr
uzbDGXzpDuEP/xgCGd5vPrg9la+HGV/FQvwnUyBbLT//VzhoEQPk2RYdkgBXBiLJ+9sQSCd4bElJ
TX7oWOvxzFmKbl6NBsMphfnwz7WFMS1O8vYD0r14jONMu1JczDtmpHONgtCzg7xDtrLSw1yymjGC
3tdqioexfut0ndfhdEQhp41Vcpe2U52tNOTihwqNEqEFQmy+nGpC0+EgKWPil/eNzWV2xXK27Alj
h+luaMOPctEWVqSWtG41Hsa3U5knYL+7Xr77UT2/u2Y8J9RUHLYgjkba3jZrly0dcHNEWVh/J7o5
fe8jOd9pGTppVO/z29wubeDXUebSFC/9DzQHDNjr3DpEhCreR7GDhUhLkhWYOfGkpj7Zr4HqP036
MzkD/v4VqBAHvlWW3h77jb/O4YrFslItxNG5tKZ/sE1ygGsxQbjwq0mj/hVNz5pHFP5d5dbiXErB
R6sdr7KDJNPpHuN03rBmx7azDONlCe34RmBL/zSSTHspG7u7xjODCTtJ0wsNNWEwnurkaam9XRS3
RCh1ZnXree1Tn5vkNykKSSTFI2vbnRv7n2njNN//dJHc/TrB/kzj8v+6lOe8s3RXncAERcIm/D8B
MjUZE1Go1+WDVRXhm6G+/aiqjFdDWAA9WDWwcjKZlaey31gx1SOZ5P2y7XiaXKZh0r/XmaGGL7ac
biOYo0dZmfZDOPN/DaFxP0DDG6dIE/I2HhzjbEYNLEkvfGYYI8j6ZFSSlXIMnCzX90kpSRPRWm2X
4btazxXW+kUvOKfNXh9P+mJ+lg4bglYY+34I7f3stUqKTv5MMs3ZZrKl2OhMGVD3v+W1nx4tq5If
SVyZtNGm/Ki5X8OzgmvS9ixjwpiCFKHmtk/kdOWizG7cUeNi6gghy0xACknKbjtsHRA2KY9gCNtF
kNB1DOskwbpcYUTY6UvLnCJhOuOWGK2mkm9JLZzTSxEr8wpCtpeZTIsfXk4ZgSGFXn1l24CUMUEY
2zLuuj1mjOSU971+CbG933mlMV5sKhV2nuYA0KuJl3Q/k9HgB4sViauW9NNt1xscUKGGXou37KWt
rk0tW+4LzH0vVtw1330MJmeLPWigMyn7dxDNv96zCGv1BLB2KmIy9vkuv4jRfwpVFOSzhCAxtGuM
CuEeX1+504yOKdokvXXrDlBCfHXutNXygckaXUff1XPA7j/+TAHG3NSOCI9NrzcvbmPVa9Y7+q7x
asKtMSQ3g1M8oVPwmQq0Nj7+EY5wznd/rkKcT3qPB5ko9mlDdyquSDwzC20XH3UetPlCFFAScLua
t6NFxcsNtcro0eve2Ni9JjYJE3Vecxqnmzarlvuv07ZOcTEniTNf2sY2zkYNU7fKPf3V04ruRelu
X0ptaW4YIrIuKzCFx2s6reR7qWc7BFFaEQyTP8REhw1EJswLLOLMi71bTwfosvnXl+5XwNH/PjLU
4VfJrgRbfdFFPVdd2n86/LIxOgr9FjMqcm6N7tk1VnPbaA/p4vMJjBRlh9N02mM6JyPwjKn2a2gx
ZTztPD3h8WJyDTIUypvw6GVj/Y5Ek7gLn5IIYLDRhm+MrfgwauZ7aJJB2/7nHwAZokrMETyXxVdq
yp8+QAlbsjVIFYI4B/t6So3ppqmjaNs4IV6lruQ+EzaS+4VwuMWUsa1tQGzV73qo2ydDOiG2XBTC
ppird3NyEQtJ7G+xwCa6bXIvfMzdBgNKXEZ0pP/6vX89j/928C3XctFtC9cXxND+7eAXbdIulrSv
1WBjCpbQmH5yNofevsVX/2wA5LmgTZ9uc3csdz2eOFYbZekcvDoZjySFJIFkJnnIbYnVDLj4Y+8U
WAklwp2gbYbydvG65Ez7Md1JWAB4kjrZ/Rx5TPAVJdb3LpTDQV8Wj3ALZW8eCFEoSVSD71KneIgn
NfDscYC/CLIP9pqHAbUjLWwTkky8zTsz2pKWP70RTrDsWjmG1N6kyy+lW3pBL8T0wwCR3a5EYYG0
7mphbBaz9rdmlX3H/LrvYrNsVia8nkNuMfEqXS51aoLp7uvSI/4/+mxDLR43EDV5e8zPjsvUiivt
E6PyIjXHgLERuJq6W7apHodvnHnjDysv1B1EHZrUDY/kdS8XS1cGKKvgzlcnJPPNosge9VosEa2Z
k7y6RfphVpjzmiieDhn67aBVg0ENH+kZl1m3thnI3oCv51nyr08EisS/lA1chr6J7USlgtlf5eDf
ygbu1cXQZWNzpSvv3WDGFjutvu7NuZwYiZDME7ix2lCg6ILEplf1u4NuljUQ96RNVHSHWGtc0OFp
jjuXER3KKz3JghGbZIFXvtz2DZOrFVeS/n2Wev7E7b//Lmj2fwyJa2lrVuyFS5KEpyTUlGOXsezt
TeHqM+eBBV1zlZt5mG9zI0TZ4S/FsPfonNbzUrsH8hGemLcD1nCJosgDDUwhjn7tnknITD7FoA+f
JEJwi8xKQocqHL6TsRD8qCBFbp6oklN9r6hK+pcOi5qtgXpbTwAyN745vxh1DSa98swV7ycuVowc
yp0fgSpwU9FZAXYd9wNRY7FGnZAdKzxZ+8XPZ42Rw9LsFsZG1UXA7MFNOGTxM8+B5LnTEFgBdpQm
kPakSF86VgxsObLGifYxdQsWMLTmGSbDOv5Ec2BckRSqAgeH6VH3Jh5VXeGsW+JPkOrFQ79h/1Lo
fFxk7BAVlB2zky3/H/aDcrTFxFQpHqplrfPlf9g7k91GknRLv0rjrtsTPps7cG8v6JxJUSI1hbRx
KEIRPo/m89P3Z6qsRmaiugq1r0UCmYhUSCKdZv9wzncQSEVRJw8h5Ax7tRip9T22QhCdEcDT7KQB
Saf88edr1CWVtlmYxXwvSJuMgq4pwMlwsuuBVi7GOXLG7IioPmP8P7II0+w5ZtqIweibUS3wSWed
CCyYOyH7FJFOt5bact9pbDZJgFuWX6abeQds+tom74sM8TWD3WiFdXfc2MPgB550kxi+FJ0tYmye
wqShylxNMPk6H77oyiFdZY0nOP+FqO9G60xoqEPZiqwe5zijw6y4CFHED2YhxoDLgCmG9Ofl+vVB
+o+e4Wmuf/7Pf318FiQLJOwLkx/dn9pULhEuj/9/Z3v4/Iirf/AVf29sDRIWEF8RfUB28ZeD7f81
toagfbUMx6ZO8/4QyvDPDHHGb6S/k5MLhJ/zjIb532lrSdr9y+mo/gYMEViXcK2SW/8XSiM2raZ3
ROhesG1qhygsp+ZUggAALuPBJBEoZDjMLdaouu/mjwSjO/53IPo/Y5Cgj7bILCcwKuvJdY3pNRNa
cnIsMWHfND385HXpegUHmvSrtcY2o7vhQooQHkVE+T3rZRNqq5IINKs4ZX4id+ym0vQiSIVgGUiJ
sIXQUR4KQlQDkfZNQABTtC6LHBEY5/0WkBl9cer316z2O6Sm+hiecxYhZ9mb3W52h+Zo+u34ieDo
3Sa/9BNZof6Wj5XY6STIvpPbpwdM7d2Da8kPi7hdfl+ssSmk1jY+LXM87fW6srcIprVLSfsJ5UMM
2xiWeRsGrU+N3QaiRu88bB2kx5RryZjea3Fsvg6Y4si2qNfAtutAJrF+myEr37q+KdcAG19zJ/Gf
J2eaadHx19UY7abJczcDzr3QGoor/S7RjH1rXtqioNNjzR7oaZKcC2XbQ/mY3Pla/uF3DctDgIAb
B+jLqSHSdJdX2vBdZiI8zKFjbcnKzn8WeUIBoSyBqnBtOHraau+byc9e2QYx7U/fHMMby1WUkFbZ
KGthU+Teu2n2kGlFit7Zq16LpHhtNL512dTg/+JxAGyqORsK7WoDHloETo3ebCXGkoVZzrYPnXHi
F49imeCtgimoD+qJfG4G6W7BPWBWR1uR7dnRN1zCQpBnUQ1iXX45JHVazRmK3oQHzM2M6GZnRvYw
z3K5D8dYD2LlsYwtU2M5p08O38WqEH+Q32enOeVyoVnJ4+jK/OwoY2bMWuDOJA9s68bh+DC2Tbst
pZx+dJ6dox7WrS7oM63+hdMp7TnzbWNXiHQ8s3xIcDOV8tx9GUEnd4w+4y93aA12gySHEklrX4uT
QYdbrZJO6BckLPoK982CYq409TJo3MFfRR6kG2ua0cliRDcBOGUNU1BdJCTdxsN2UH7U7MuaWhWm
fxqKgkV1VyszB7uKdutj8EgafijRuPVRLrN8jpj4FqshM+NfFaqUjefl/l4ok0jraJ/u4sBLjuM0
JZE4gtXRaiOWuYV22QLdtBXKaILUAvFxK061MqAUHlSCHMr298E18q2p/CmZcqosX6YVV/lXuLBw
BCpPi6/cLVoWCkCyXrglTsiPglJZYKovN4ynjDGem431uqDo3MxQDB8grVWbBe124LqAnbvJwgUL
neCW4wXeefnYvwCDqnCFleAlU+KaWf9G6PhqC4Bd4SO+9Hx+Jbdir0CfhGSYKxBmk/LyGMuQsjgI
502inD6D8vwM9GTb2NGBCfgzb0lnh3ex8ga5Lj6j0GufmAS5N9/q9y0Zl/cjs/CgmsTR6flYo5ky
p0MSFqytRpe8ssLUNsaXE8lTpqRM2ZMKiVGJsLP0PVHmJc1lLd2j/0YPrGxNpe6LxyltzAA1ZGBN
tX7HRoXlMD6oyMYRNStvFIenfpE9bzcClhgJNPapQW/8dWSN+mFpjE9UZO6ltpvyAB3TPBSyd1fI
ZYsAEAkmON7kHQFN8TpM6idN1DO6U1xoj6wP55+FXtdYcMW8n1NWRWJuCkaAyuFFRRkTyexkO4Eq
d52EHOS6uXSnJO6n5zLX7W1TlxElIY4xJN8akiUOIl/5yUKIPm9Wpcf7WTnNtCmH2G53s4YSwHHf
uASXve372k8jbTSyiXGsza7d/0pDrbrYTlLdZMNQtIbiTY2jf0RLESH1zIlvq4aBeA+p0TlRrL/R
VnRn9LGoz6v+GPtE41nKMAfjp3tYlIluVHY6XRnrJPZC1WaFy8aOXDTbNjtSdi/eWmbesO5FbP+M
lGZhxK3X58ybMs7MfBUSORe08FLOscaGv6qd8bX+svop0x/xHz7Cm8p9gzDMZ8Nya1iAHpSqJJvu
SmUWrJVtEAid/Z4pK6GnTIVGWJa7hfi2jxEnAAoiAgCVAdFUVkRncHElksLqPCaJMYHuWrwDjeVt
wcVI9UBf0FqGu8l05XIsTcdfi2S4jth/X7XJATTcF3gRlC8yzeVcrrQmGl/0yG2OvjJPRl6Mj5LH
0d9zbkLQ6fSzFJp1W5b+oUfnTOwtID1wZ1ng8OwxlTALRexb8ZFQzk8DltZCsLLvabcMXRRb4Lby
0A+EUQBD09snk9tvI6/LN9LqianzwjPUi2xXAfaiEk89xA4wl8Ya/hMfqHjbK0tp1PXpypxyaJBe
WFBvtxzfYzh+YOGrdxpa3tMySPHDEHn+vZW1dnFke5VW4TzC/HzWZ0TUGWH2rPQscWg7bdl5veg3
jSOGZ4lx8+i4xUeqfK8xGYbbJktUCAvqr37JYQhOWiSPCRtKJIuRfZNRWT0s9FNrbDrOAF/+Cl/K
fIMGNp6h3TCoQbQ0vBpJou3xBTrnok7SI/b1baWsujqeXbQML5M22isdiOYmKa0QbMCQP5G1WO96
0G338HuMYJI1NMUm/OkhfwvQJsU7lBtsE9mp7yUpJ+fYtsdTrazEg68CtOVQresFmJPtOssvuKtP
cVGWgZml4hFjo7PtjAwVIsi5lZtadwOn6qaOjfdQshArKuwyjPXO+cj8bXKn80yY9DP54Ej/lPHZ
JphuR+yKv02ULbrF1L+zp6R9Z//Gctbv8RBgATuIMe23uSvfR4NzxVfW6oglbKb2oTmOa6130OMR
pYizFDu2j6tDZKRMTt1JVOR3QAsuhoudgwEHhQ+kSBf5M7HO5SNFVXYqG2X3dpTzG2cUJvBK+cHJ
SKkvQLy2hYtP3GOceAdgDx7thIscq3mx1WMzOgs6sU0LtwCTg/KcD9jbH5BqAGuwcwRFHsbZOSWR
cbTHd2lw1oI+dOodi+vlvkbfGGROaxyrpS23mHynj/7L6i6V6z38MsBneYTLyEXZt3aqZfpRZnH9
7hJAoCu/fBGRP84P8qvoi2absoGvgrnU2sMsdS8o0kzbMxLM3EA0WUEmp52Vd/VkojTMbHczDgXD
CFBcn4DJTAA6y8iV5sJOcXwlTMzSe+reoEv0fDtCndnqYc0NOobGcVEYAC7heo1PSt+Hlqb/8oTn
rDrFC+g7BHuV20UbIMHtitKj3QDgvzqgOy20EzOihlAqUasJuoW3+h0wf7Snqw834gtNgMCO+awk
TBg1nlw3f+MXKJRBE+utvzV6TK3Jol9FzYW0QmOXQu7sjB9TLfJ7KMMcCIOZo2skezMsF0jEj94U
9ik5PYMXVz+SvsCBvirK3C+exBRnmX0MHS/JTt3k+dXTiHOZlLHuc9I0JmwllfIqbQGYYuXL8XwF
JTyaNcTQTKznOMKgCxagI4Vhnn7WkCg/R5+fkBrB+cbXVO8aYMztbA5Y3+ZwalfGQFQHfL7k2A9e
c9fU/N+VdKs3i0+elc3tlu8IvtlnNQ8/1dwlwqmxNtZTyRxNN+6qZPIOLpgyPsEI1S+id58WmJWr
Bj3np53X2P0XsWDsdvxxg8atvbVFY61St2jRTdakoI5xDJSHmPRVFY/93s47T50G85qqDxCHTQlj
jlLNnJJs77a5vQF0ZZ70UoLa0tmEJY5O7g1jw7XjzgUTHY3vp2d1RX7SYL9KmErMvpIa6ZU0NGwb
ep4FOq/cjUENa7K8m99Ij76PUjKeVnruT4/IQ6P1kEZJGHT9ot8RbGoGaSflurXIoV9Jx3N7TEQ1
U3RuYeTdqPagcDE8W8m6LI5TkaZPkZd3bx2lJz2THC5zuUSPhbPIrade7LCI053md3RfjlkQUxQO
YwthamI42df6YU5l8xiGhd6tSalNdz2S0QPD6fLWRT5U3sZoXtq4ZSsG3vBbWUUvIcO1s20y80Kc
qGt7y1Rb29JH69AP+kn4Rf0I6hMfd0gmtbiDbGVfy7j5EAvMDbYREzmaWqwvgQcCOAmSJSKQVAcw
dZ/lc/6aEtb77KVjuGMHY0TsNAwTZsXQPSNNGD8HQLlBDfINtlNU47VnSJi2yCLwkZULOrXOQa3W
AEvsGma+a9xd4/eFqo98X82Rq7aa5odGeDiQSMtObm0EXFBvFkbGICHNjfQ0Y2MKeONoxBNANEt6
JmwhORSWLy7Az2hgJ5eHSde+5161PMcRGqaVa7j8csgdq43uZPNrxlFh8uSPOqHlYrnXcEOtc9Jf
dp055Ddss94aH5S7YpQOwKXRyWExM0RmVL7sYfxqT8y6ASuQUAT6T1XIGk57xnQHCq3UFQJsQYk/
N6MASJakRfOt6vBM3RtZKi1IvS7NGGwBqne0YbEX9LGLkAsunrt8aqgQxwfDR/fo4lHkLxy0+bUr
p3p6WkYNSfNK62h4u4del6wvNn0vTFGvfKudxhMvSevBDY6aGDG1NCoUiP+7sAcZ2whlL0s07UJN
NE95Xkwvfxj//IOdrfHXvZunM3V2CKWiKmO6o4QRf1z81M00khdrjBeC75y15ptEsmKdRp990DxE
4tG7WVi7ITWPVuZsNbvdOrGx8UR4V/fszKpuw6+6w+gKtTbZ/fMfTukU/rgX+frZ2OfgJReEWP01
aK0whqbUQ3O81HV7ETW1YrhPhn+1efwH3wSvDJkUKJV08dcXwEm7iaZ3GC+JSawc/7havsVh+rcF
1X9Gkv9yJOmptJx/MpLM86TEr/vnqeTXF/0+lfTEbwi2TTJHHXwXTB/5+36X2/jGbw7GIgQvv1MF
WJggY+ni//kv2+SPcDN4BAQJemo1TeQqU39kub+pdDkyL3wlw4Fh8O/MJYlp/PMjBIyALFpkPbi9
BBPDL13EH3aPiZswvsHPd5wafCPofivlfwX1WTeCUc88GTZoe2R7ddawKFZZHszGBs9BLSxpIPet
URBi5VW5e1wWYYcbUFfLuOqwKl/Rohf2zgDho10zP21fG3iPTgBlNkqDOVScngHGEJUyMderPKRb
waBLfDPs8t4949sWXG5juxzYEXX2qkzJmKebsNrNoNJJA+KYgcLLsEab6Gns+dNZ/PiyIHSeD0l0
ASO0iuu8k8HsOaazNhg0mWff7GCp+IV7NyILWRVDf5MQwLdCElq0opDTLS52I3ms03S+TrHeXdrI
LG7KT1NuxFRp0ES8KXJWpaNHdHtpfcudGvdJNDZMRKp5HxGheDSVG5Jjd4c8FoNkXCXV1ilxnYCA
UAbKLzPl5MAitZXDMldey8Rq80fDJG/Cj+33CHDwvVPN/hohn/XQK7/mUM32OjbMh1h5OWGti40G
7mg11Vr+YAktv1jleHN0alrnyxBaTyL+AUe33tkCvygTrOxkFAXgXHdqbuAgMJb2cRLdUXbalzFW
izJqkP6sj5vGrKpLWLfFrxRX53YghnErHfYxDMLkzXT9H06IHtMIwcm6yuvqKtcrMNFXH0/bqlWO
2Dp3joPyyArllk2Vb9ZSDlpLeWkT5aqts/h7qny2TuWOay6NE6Opee0oNy7bZJubvNauQzUVj7ly
7ZZZLi+mcvIqB2sQ+tm1zdPuok2QGBI+sc/oGEOk8OZ0mZUvuFYOYcPhJ8VjHK31IYyeFk9gJc69
BupnWlZ02mWa4gioa+NkxaSjs3L6hHAw3ke9nV/ZX4PmxLHn34RyL3sAERmBKUszXojlYkMpCNKa
GyUDHLxbvlzQJk+0UM5oM7Pt08z6um4te0vpLu+qyVremAOSjsOiLAbLFhvY9jOc7ZbyXzdZNu4o
3KOt1vQn4CTyqMfuHdZlZdxWHm6s8CkgqIm668viLXkGASfNkDdDbHKoCV40bgQU+DeyefRtKE72
AKITkTw6/z59iPGSa0ivDGUu93P7Ru2Rb0p857IWGNBxos9flnRTvheizbdgKfGrF4l5cmymT5ha
Tvn8qSlre6VM7nj8X+3ex+oy++G+Vlb4ERbKJlT2eILl3zgM5b2prPOaMtHnWeQcZmWst78s9qmQ
DC5ZbWuWycdKOwplyIfG+gZMutn0omh3qBlMCt/jgou/K7DzNx3WR1xgpTL6Y1ddIXcuiCtNi804
1sk2+x0MgOs6tPJrrbABJK4RuUBXdoDUMl0LhRcoFWgADna7W7LJvbOhEMwtOIJ2tsNszQByvCJL
eMHKou21ZnYuDK3jEsd1Je1Rx13Dnt1fNwZ98cP8RUAABYrN3PvOstjZuO7iP6VUhVsijzNA8Un4
MFteco+S+6O0a6Y1DU6ZJTE+3HpwyCpu9e5dtvzKhAfU67bOzVOUl7TgpsMjrUeATQo7p76L84eZ
Y3cVT5x3BJyDJBbl/L70PmFQIeczavbunMzT/O7PE0yIItGbx6bFEqSj0oLbVNxXWN8IS/GpSx8i
J8SVVNMTsS2xKfZyBxaHXNLqUGeQwCgSOwJi69K/dan4VVfMbyMTFOsYezlDBc/AYEAshYcusCyq
MLCTop9onHuHYX+duNrWWAhv8Myu2M4xtFwOd8aZU/8S57M07P3M6v5YlHrcc7dozY9MSytAcHZK
AtAU05TfZ61X4RmtJm+f9QxAzpPduteJC/vRakM+ItnIo8ekanC+ScByx3gpZrkiXhfIGk9/AuMR
nURgaKGwCRWoxa0hU4YmAfX4sTIJE27mUNt2flpG+7DpDjPRQ/dx3ueP4P8tsWoHQnDiDIBY4C9j
/FZ7toRCZhd7A5Dlh0fVD33CQ6eN07ezz5HVGkyX7Jpx2DISZDzUdLqjNQzDCiEnyneO9l9lZlOa
E3M33nWDlA9oQBoIDO5M88zCvcbf4KD7XBHg17/qcKE/mlZP3riTMXdCbr3DlFHch4Pj/9KnuCcb
JQ8ttv7Z8Kpl+XIpdHFAisSaqrDcT6f0YYElKPR6eOIDCBdibg5ONRwKTttAUj/Ma5SCar0Y8ioy
qIu9l36YnTOjqfxTS/UUW0Fvkhbl1sl4DRvbfeEe8Tc1e49tz4oT1BYox5CsZVROhzaZph8ZXY3N
YRSFL6QdDQ+ToOnB1RZrD0nqSuJlraJ9I0klu1g5Wiie4s4WgekXC67uJvuEG5YhtYChLPPRpG8s
wwMLqwIzWcyHta665n5pLPC9yIW8eWUSrFNsZtPX75D7jG/OOI8/Qy9u3lEhD9tSS2lwtciPiB1u
Zu2IbGx4KB3Om5UlW+2Hrc/yfgbbTXwiYP59L0ix2AttrN/9aEIqNC9hf6gN5JXrNEkbRieocV4b
OGH2yqusDoQc2zcI5laDk6rOD3zmAP2CHUIKONt0+Pzk/sYSrf4W+l1ob2CvZNPaGDRn1+d2cgv9
Glkg/KOgZGWBn9azsdtYMQNfxxjYMGWmOM9j1xyNuHPXbm3r63noJU4tHjiR10tA1qgNRw2zlpua
3YaEJx9SjqyvRi+7tWQTfs61Ac2/wI6wnkRaH6Sw23JV5GX7lrWpUv5GvTTQ98nqWzZjbd50AKMb
Uima5SdxVtYd0Ix6bZnudzuK/WeBWPajimS1tWKsi+sJNVMBnSPDCDP6GScii1n9kAhd3PmLLd4H
p83xY9W4R83IWWCgWrP1XYzsibvQsF58rETJyiusCbBny+qzrMxqD6yYf82WPvP2gNbnm5eFzRBM
iL4+Bn8AJV869TvdeXd1fPxhQTqZ+lu/UECC/Bl7niVd9itM2can37BX2oSFG2lH3BXhNywV5TNq
bFcCW4ynUy/7mb5S0+Dqt5J1OVFAhzTKHmCsJt+aUlyieQAyUAyQp7QNVj6WS3PnX+3O1y89jpZ1
5BesIR1M8fcAybWVZ0Rih4bLqVdOO9jfibY2CXJEKvNS2jMMzLQYGS4bmmXAi5GJDm0/ii6yM5fN
iCTnYIJS3C22062X2sqBaun92WAD6PZt8TNOzZ6gtd4VJJcxel4NmG/Xmdu1zxGqhO8uMpftUOkk
GvFuLsrUZvd3sTnBYaXMwoUZOox0khaiKOFMdvpZY3wqVzSf2FS0OOdosYDCsjZ6zcMpf2JAFu/0
xNHoD8L+3LLTYQpLnvspaws/iHRqxGKEjrqQObYtEfrtvcRvCGkzo+yb9OAxrtgbswWIEwdXZ12b
7oat6HLKNKM+jrgYzvyG+dm0k+RHuCTAzhCDkc7TDNvIt8pDk0cWuJXltUaG2weGabQfEQuaB6tp
WI7pSXv4av3+0yX/yy6ZTPB/2iVX48efO+SvL/i9Q/b13wxHCEMBSARTlL93x+5vrCgYlJnkjQvz
y/Xy9+7YUt2xgdON1lmR+sCg/N4d2xBJXAX/g2+PBkd91f/57z85H+Rf/vuPpgA49H/ujpE0Evxo
uaZSNtInfwUX/6E7nouuG0qREFnSFNNJSyXpQpmZ3SbLyT6LclgOmM64lxgPc0dlX9fV18X1dYeF
QmoPfK652TjOhgfb6sKXbKGfOTXqEow79B+H6uuWCsve0gLyALgyjZCCmYzul9npxmsPDINJ5Vzk
ZAelXv45qMt3aHrvJcY8SlHwdTt3Xzd1qS5t7qBDrK5xFmv5Jv26292ve75UVz6EgPxnSRUQka9w
Sf1peO2Sxr5RyFAt9EMd/upUCRFpw13GookTGBX/26JKDRuh++sUwZ81Zxn/gg5BPUJgDJiLdhIP
NbIL2IOzJUEORdPdIlpjZKFqk15TaNq1KlM2WGIoosugmeHB/aqFIqoMRg+VZZ9xxGQp2pvF4B4e
WXItpBbvczeUG+zk8ZsBXnsKLK/wdlLNM1Y08fnjbBCABbqMuqWvon0y5tEOC693dOjRdno11dZ6
KQr3sYgjEmaICs0FaG3ON7oWs6duRreD4Mmu/M/Z0FER4agQaF7ygcbLb7vADLPm2IdZumHiTsoT
XTFu3WbyT0o5+TUxQf7p197FBhwIOGYQ/W0QRbOP0DHuCXiR4BBDrwv8BAFkYMPZfmzysTsawqM+
IqThWvk5zn6tLvN7g4WPDj92Se9R4Ve4S9myfst7jOxApjuPoULFqDde5kkFLggf/p0LCDzCC7vJ
QfjfsxznwJ8SChG25mwyR4jc8Kxld+zSwopXbjxFD15X/yJEbe73erc0yVoDZfELUHZur+DN5CMI
1qX7UbaWq+3RdOcvZNGkBwwIzQZtfapSztzhozZ86IZjy5XHLbv1NasVsA8ba2tUPgOViUzu+6WT
UfrS6HAthit5EwleYGOh8d0JY0hu4yziB0Q4s5F/8u4i6g2Imkt4bRHusgk7I3GfKygpLozvSwSy
fF0YFUN1uxtYpYwIymfF0/X4HpjC1yRPP9pyijZjyeg4wCIylPuwNBSzgPqDTt8NBuj6RwrzbEtq
RsHHm1RhzDakzmTjSpRcQbaPckbqdRE0nRFu0zibV5rosE1gb1i1kVWs88w4mZ3PXko3oJNU9o1Z
7T4fdee81HaIbrWlY9HLec+whde9J90GAZE9h+vSa3kC7bLRLxozHnctZW+hsQjZDKdLdzSLttgk
jLTIr/PHc0860npEdbZDhtZ3K1DazcmVTX9kD1vcZqO0y1VSuc7OTUsUgL68LjEfzKxKf+Fffcaz
tnJzL/v02spepy6hWlWSyietN/MLGm0RyJIbOJkc45HEKE4tjy0hgETaQt2FrcdKERL2GHkBTQ4r
vz57YDX84tttHkRkfa20ytqnXXRzUUdADTHSIMSOH6SJPjgrQJiYAhYXQUPmqle7Gp/w1MQMY2b/
ICp72Zi5iwLFTM2bW6u6NV+yzWy3zgEFU7Fx0WlOq8iW/Z0DMG/TTCm7dbZbr1Zu299E4aTrmDgA
BmExkMa+E0+40PpTPbr5xCElOVOYf9HJJE6o/dAJHoG2mkXLvQ7jnJY2Sh+WgbMxY8m2r7DB7XuI
6ufR0PwJtGU0bUNz6YOu1IuAZDqyn5OsuRQ9bBrRFqq0MT90lzU8Mo9hO4WkVWFv6jZolQCYWLwo
V9JdYLcujGsQIuS82qaV8kGFBuf/SMhp5TW3BnrnZOqmALF8eU6YDtyn0mPZpWP8GMpsgYho6hvd
Q0+e2qLfttIrvjEL8h7iLqKbiHj7v6XoNk2nR8ZBusG9MfQJbVykP6HJy3/J2e7ehBHZj6KZymvT
kJA6M/vZ5ojf7oal8w4MayTUFRCrG8hfOYdunPSPiW2hL4ul9WFJHmnLasCim0155xm1xEDsGPdS
OkSVdvAeZDHOj5FRuB7qQCMhBc0HEQg18iwd1iF67KTBkMqMjavHkZlH94ZPOFGCRwCNWy88UAae
oHe2ojXEEpitYRcvRz2v420Bu5a1Rx4+x2zvY0xIjnyHQ0c00qINydkcMrkHQNHgLDem70XXZ8Fi
1cuTNVg0A2EqWnztSRetRCOfkfCY54WC80xDADogd/WU562Jb47bG4+oT024VmkN5ath/gU5IX6t
QcpDDnGxicoKUgUHU7PnRp8+YkKnnqzYxiiK14+8g9Fi+2vaCxSpvjuS0XLtepADgEIto+u+6Y2r
Jr8zLMVM/zaDJCv3qOHa5BXLlkLtdJXbcxNlOiqNpYrZ+5cofza9gZxutoYJdpI+LZ9eBzc8zGZ4
nLhyBKGYNu6+th3DVRTP/W7Ui6dxwouRZCMBvayaD7yV+Zq8m/xqKaQtFP5jH2n1uiFW5j9A67+R
9f5FfUz5+M+3SK8/Zfe/XuidkvLPuL7fv/L3QlmAoTaJV/ctw3CoSP+I6zN/cx0TD6tLwCdB5SZ1
9N+LZf0319IJgsHQ61qeK3D7/n2VJH7jYnZBXrNqspHG+/9OsUyEzJ+LZduj9P5yjuMGw9D41/z3
iJyxvExRrslC9KfKKx2YE2YtT9ZcYBaxgeKush4MA5IIrD3E0ekUKMQJGOOe7CyNljvsxbYla/UR
X7LGhjn3XxKEbrsYFxXi5t6vTtXkNNveBQrLPRI7BxlSZG77FOlh4Gj2iE3Zc3JnZWeOux78OVs7
TJv3TQjXy8t6Pg9EZoOY8qJnQht8cpkcFOa+m5LsPb5g2wxpu0kXf166YQn4leYt5Gt93TF6vGJN
MY5dpXK/plKOG/Kx8kHFrADlJJLszJcYDGp1QcZFpV2TsE7lOp7Scd9aTXW3jOgF4VXpr0vbDjD9
9PkprGdrO7cAhk1fMov1F/Wb52SPbUzwI+vESPOtCwKIRdY4F49R7HCwo2gNUhwta6E3xsk3kucq
Y3OHKhBQCCsaD0hUoIHWX0eDOtBkYnePWZ2KhxCH0zXEQkHt67a2sa1mNK1kPWjL2u9DHwklGCuz
HgwlviI1GCzUGmQEGSasSAgwFGIVTtZrnxFGTKz6WdizCXYtvo+8ZejW5qzbgIXRViP4RztAbt9i
nzs0b6BfS7fDmLN0RHZ3e38su2dbIhNjIrwYG20w28BOZ6tYtbJ0eD+c/rx45r5L9beExCp6k2rY
ZGH3EqL3Pvpj+zxnsKx9vGbv7ZjODL5q1nmzF6+RXWwig7SzPI2im8T8hRdAVPmdhzrikpdwVHmV
i1is6gJqGjMt9yGDJbjWYoHQvg3N69xU6caJlIBvqX92phWBkQJMA+IniR6WkRXE5KNuTiGRswCe
GIgiQgZxSo54qYVXw+q+MfciPbMT2SHGehSdxk7Ph+tEklvz0UaRfNfHpv+VpINxdbnCTmnUWI/o
GtM17Nz+7EjEupAmC14y9JztHePC93Gy+4tWI4o2R/2nXRbvYhxRORdO2bDXsPtVnlj6PTFnkIuL
doa7FpEAwkKKvOYhzMlVCfM+wP3WF3vdZiS/Jc+NiiQvx/GdDqnS18bcJzVgy4b4h0wlAEFnMfEm
dBSkJeUMuzioKRmJDGeg4CDbJzSK16E2H0bHeMOH8qYDdGx1eMg0UkW9992kxgct4qbdDZInRo9M
99UJvSd2Rz91EEaMuJhRomVGVufkA/iiOAeLXfpYRIm0NfeMdYwbfwNXtiXji2ySE1vy8TAZsKt5
mO14CvpIjuadBOod7TzkZlFA+/xWJFrd31o4ofxIcptqffgw9GWFNCir7+bBGtYSESdDMx90kxUf
MkJgmquJUqjY96HBxMrr5/SUWXqabRLkVhSZeuXcScdCuGdV8SEmeWjT1MTzuELT1gY8hFe7LWaE
gcuJZhs9YifjXeblEGRcds1OOJOApM/jluDUZBVNefZtQtGDI7QZT14itnbZAV8JZ4OxpLTJm2xT
54pCR9H1YYm5Y4wun4UswRZFc0wza1lXfV/vBlsmwQDb6m4cnJFXIF2WJ0THzsHpPIBTeqe9sAON
e1TIehati1wSqpkojsukWWRj1ieWDd/McAKU2krzwCp12cCXqk+kDFd3Rm7hH3Fs7f+yd2bLcRvZ
Fv2V+wNwYB5eax5YRbJIUZReEBTVwjwkpgTw9XdlWe4WabfUfrcfbEdIFFQoIDPPOXuvzUBCVMKE
9NZTiu8zkFOsVI24t5BQP/qOj9/OrTEBOAYhG1M9T2iBSFBdBnmWfZrxEzHE8CSjRGilLBCfc2So
i3joMY46HonbJkN43BPDOZ+j6RsJzQO/6nlYCyIyn72k7rdj2L7a5OmC7YsDhmpuaZCkpSOEJudv
WVVhA1y0/8zG4m5kRyxuOQvOQ3lYaTNWDyndJakp3atZstusPc5sN4T1MeiOjIfIc/2dpRX6MdG9
etmUfsrwkZlxPOP7JRUQCH7grxHc0JLFRbMzm1Lf6xO8DybS8d6VkDZdxDtHt5M6ferG37S1bt70
9LyOI42l9Wjml9CFzeO19H8hQ7b+ImySb30C8I9EVx+lJhzZpTRonQMfEHsRGNQVNJvFSh+tu8ao
llo1mhMsSXs6xXWUnPHnAFbLa42hRBasHDwllLki3MheHMeiEGtqHxKuqwZsXFHLNR7S+qazKNXn
3o73zRx88YOu2CMS/yqCqF/3mfxSFOQc6cZkrPue7cZo4r3fIF7tZW4xs/XPAxnSXVtaZ4t0goXf
Dw7j0qTYNBo4rCm99Hqr3cs4Zdjj+oeQiTxvY36OPDLKRzcjxpbJJP4ZV/mV0CwSvZMFzLScoe+W
jT1OH0C8TgvZc18vok8iFCdpN/UnNL9RtTbZObFpJ6NFNLFuTQgLbVlN+tot/Vlfx4xP5gfmnoH2
LNEFTKsEmc28SpzWRNCSlR4e4QwfBGJPugXTThjRQ5aBtljNw8xRpqUrch4yg2K3wpdKvkFK5KJu
0F6fKmN0FhhUxa1ZmUwFiKWlKq378aNiZx68LjWOuNHaLaMlSUprgWoQDnA2HHS8Oiz9xGpsxiHu
dlieIYgVrJg+foAXguVgT1Z9ehiALlrINr3i4jNlOBR6AZfeciCtBBKBrR99RcigARCWzl07+WIj
fVw4FnQ6xjclyyv5C9ygbMpGfHVR9EQLAjByWnSLhhwlDh2FZe+Um39Y6bPT05Drad6xuyHnIVPM
Ojbw9+N1B2aBaClz6kkwZ+fSMeSxty38KUaN0Ho9UtAsjw+McctohXt/wJ9P+XGk9NX2mhAuB79Q
Ryeo03a9NUAZQ7VT7acNuU1o3/1gblax1burDL/wp9ZRugiSjNN7P27EJQ0IliBzYkqWFcmIWwZ7
46ahI7ybjXgcCOMYmVXrE/qUhddMHbKaAHI+8Wk3ReoXaJP58p8BsgGvb50tPdmeenumImP6Iy1+
HoVTW1nDLko01dRIiIOyCFGltefi1+MEJHLU4qa/txNb/wiEg/luTVTnMuotP9vUk11Cjsw6HXIs
5R2L97y2uEnHKjC+YOXMeLEdHRMK5y1kTzhNaE9AwV9LPBroVXvHXHbgTAmPdePiFuyYb0CGift1
58QnLDL1JgD6eiPRgu/d2KfkL5EV37d5g4Gwdcp8a5cuTkO+tIPft2JY5QyRvo7MOz8HnLk/mJPr
HUM4NsBtp8G7aXWOZggmjSg4Fbpj0d31nrvCaj/S0qa0jRx7k2skV5mjo+8bcwJS1NJC+2TVNgk1
rc8sNAE5xV5iBqc8naZ/mXijcHkjZmA9TQ6JREmLmN99xtzeTkvGQF6IsCWJ/RXUFJOUu6LZTGVn
XXp8rmvHxR9ZTV62RngLD2Is+jUMp+E4e+gdpzaSl9ZTqSelHJepQ/lcZXX8ggSWSSrdWTQ2SdW5
i9qoG0RMA0FR1YjAPOzIE3Bjd0N8q/fVLM3xpm6T+eyLuX6opQHrjfU8/YYXon0MSj1/jgw9j1bO
lAYHFOPhIQHgdNBxSG0g3ImjLiL33po7uZQ4WPfmrHOB2WFUx6B/PTFP5OxPUprjhD1z8C7OWJqL
coPgwNmmuVbuR6RyizrI5WPV5NZG05t1Vws6vxGDujTFw5F6nnlkkcBIVcS8LN5gcmBh5bMyyvRY
E/UalwOZYbZRVGBiGMdWRcu73tjpER41orxCpxUdEEgXZ3ha4BXEcp2Alvk2dJX86hYjquAaHfoJ
Di4AcNnY/6hIv5P1f1X/G/DUfjYfe1DKzv9bvRDb+2ZOpozi/OAfczL3N8hLhuv4AY50+0clqaGT
BssgzLIdVJxvZ2XOb4Ft0RqwyK76fcD2vfpHYwpdzXQB/AcGUbF/b1QG7O1t9Q8sjK6ErhsGPQhT
J1qVX/9hVBawgnRhKLSjTdPpHshbsZ5V67ZQTVyc2y2bymBerGuLVzV7DdX2BT9G+EdGK3hSTWGr
NYulITokPdeecZim5bJUjWQCY+J1Rm85qq2dnXVQq1Tb2ab/LOlDS9WQpqvlLzXVpDau7WrVuA5U
C5vTM91sAQXloVMtbqbJhG9YEUu6HNrH0gqQzXudvcKvk38lv2QBmeJDyjJg1Z1ADNHfTwGm+lQ1
14V06LPTti0udOn7Q4UX4sj0YiCtRzXnB9WmT/OSslG6aOgi2nOpaufbqrHfqRY/AaKzu4q4nefG
1ZgBSDUOGK6TAe86JaCinXazGh3oaohQO8K50Rt/l+cARtSgwVIjB4JTj+CDyR5S4wiKf3OdqRGF
EHiDOzW24IHBo6xGGUINNRIpllHGmIMvqzgiqc02nqN5B6wj7jJUg5EetddmNJG07Mbr5MRRQxR0
Qw+C8nIFsuqJGY35QRaOCzKFWrlUY5hYDWT0yarCc91MdKfzKk6aYCm02NCPQ0nU2QNjpCzrsQlX
vvaa5aPBiavKe22mndMyx6Qga8k4gNDLpou+p1t0KJEvwir9M7ocXQkpBMKnZhqE3BZm2+xMzxm3
SExh/iYkkdyOhRp8eJ3eEWKksVYu/Lm1hkUXJc4N24W+TA2CvNbQwSDZ0Y8uYF/1dnZGQGvV2kor
xjGat1Xd0KAh4zZP0DYwQAHNQvCRNbQe8JVhJFYNYWLZueSimaFzaQCw0HgO2irR0gy/c4UH5T7s
smJb0pf3olvLm4dBboIw5pS4tee66S4BZfDkfpB63+oP2jBBoFszb4ByiPAFuZy5wfzgjzAFM7dy
9PEkk5Koro0gJgZBA32zj5Vfj/fseDOKmrQUprKPp+wAWjTSOHKCcKn1bRus2eS1pzhzkmxlzh4E
ZyBL4ykzYGtRYIuvDmQWqkdhhhdErqDfGNWT2IWtNH4KnRLyiYZN1Vji7Ndv50G6A8cBT4ZLkroq
3PxdWR6m1Ih3tBG0dTJ7VrRE9TI9NGEM2sKCNvMxS9A3LxzhWp+J94J9GxXRrYgnceuKxF93A25p
NzZKCfoOu/ast6B7OACCHM/nXTKV9R3JF4ybRgGM2BMGqGN7IqtyQVO0Qf+SkqUB9QWyFLKshdPS
deFUMSL61kCnclIvPb7yGT576lgdEVj0qAilbLtLP3jlHcC1aAt/Dbjj4NwG6RA9hnk9Huu8JsxD
gBj79I9g5H9imJI1iNfhv9sqji9l+/LWVPH7j/yxFdq/sQsyu9PZRuzANJBt/MEw1c3fdMc20X+w
WQJyBCnz7074fzrfmChwVxi4riyXPfXvpZ1j6Xm/98H9o8NOy9uxfHr07+AuIux82oyjeySznKM6
m65BwAjJtyy3fatd9xA0WnAoskItkVU5MZNuHF1Ddj13jGkecrz4WoGXwcVWxQFybOxw54eMeJa9
NWBVo+iY63MWczLwNkWD8FeeOz1L6JVMpse4HF49xlM2mLxwbwZbtK9ZJO8hOnsoLylalnbsepsc
NgAKfhGtanOeHjR/Br40d+QRLOkslOiyFLRj3iKXIh2nHI3codGso1DzGkJDdrnwe3EHoCV7aEQY
fGrz2cLBzxTaYOo0qN5R2cREPU7Bs0bweMUlJnde0ymFp4WoXGfvnMpiDTzev81E6X4SngeoNajk
Z7yTjGBpl26qfsImiddQ5VWa4BEqK9Z8iAUawO+5yPcpEIHP1G/i2WwtghyNKgleq8B/zcfp7OsN
LbUhIwyIf4WnoXet28RJ9F0QeMa6S61gOZIYyO+xAnHfpyX9KX2a6PJLMgMWqFJodaMlYUZIc4me
g+HQOdLm4q5HKfkEIQvBXTPJLZaX6T5ozenAyi3AYyUoOVDLackOjlnylefBuU8z0N3rgc7ALT5y
3CCOS/+oGg0CF7vyMZ49NCl+X90xc/aWA5ZIBCJs5ifbGcyPGqRXsOPCtG4rO+pXQY1+pPCQ5w+J
MUPLdNAaJr0KoTbLfg1pDlswAJ2NJcHV5nY6Yo0OxfxZm4qaAO1c2+KFnPc2JK9XvTC9fYxB+2HW
p/Dca6K6qbSoL9ijtOl27Gd3MPBzD3Znknv7x38RyttDfNIcE7vnMtHRMgKUHwK7bA5pTXFWHkjd
k3m18rpQpMHGbDQiz4De4ECUoN3mNaA7Q3/9Z0X931ZUmuI/XVGZVPav2fRGhkfFwA99X1N9eFde
YICzUKo5NUD8vqL6wW8O6jyWWcxhvqPqhD9WVCv4zWBuyClBt2BvGirR63t1gU0Npm6As4wi5m9X
FwaKvh/dlLaPkZKGioMeD9KqeUWA/lBcWK4VN/4cRgd6jCSXwPry7qURzTzjZbdNBAKoQf+SanLc
18LGQQwLPSC6YOh2OJCGrSUMsdXx8+u/D7XfSAZ/lAgyZf3TX41bwk6kmwS9G/r7NN+xdSa6D767
94i2qm4DlCm3/gxKngzA0MkWRk9sjmFr9jqhSdZF5Ixq9cC0hiN7+NUvS+O+JVtNNOt68grvI6Hv
0RlLBG1C0LXGpyJGzN3gqqvnDeoUzV/lDkTT2wJDeKtBqOg0f0eYxLyy9azE12bk0kY3XtFoaj7E
0xChJdDgFi8DJxc4YNp8WtHmZspG4GxA2HtvqGDedD02wSOre0xQSiB962423P5DUDEbkI0oGFbk
kF8WvUzFl4I2JWkNFtz7wcaMvkzA29M/w/ZubIbQjPMD2JY8Y3Q6wSdMMQLe08YCGx8x72jCJ3Kt
tG2TzM1BRKmx7XurfU30uLkNCpyFbtoesTofapAmj16ZjNiTx2nrtX0HPyEeDqM2aPRvZ1bcHJfg
WdjWdFNG8UaD1o2ohxbSRbMZQllpqxp4VbVSPUlmGiEDQr135EkjDfYeuTheJS+e2rVMhvEm8uYH
vY/y24b5F5OHgCNjK10j2tCNtb80LSyJoI7bxUiJPrMz64l70f2svgzgR5Z0wYs7Z5gpBpFxGdkJ
nU9LIakaOSN46Nt5FmtKPXMjVLtnUo2fEn7oflTNICzS5aa+doiMxu2XzIldxSE1dqMV1mtc6NrC
Uu2lUTWaEOZJSmWaT9x1wSQsazYM0PRDZFjBgZLfP1B60bkKVRML3m/7WKnGlrj2uLJeQ3+oGl+W
aoFZqhkWebTFEMiLdUF3fdGoplk+Dc3avHbSuO/2huEJ/bVatdoy1XSzTGYIHLRRoaqWHINvecYM
PRwd2fZrXAsBobFxvgYXU8JUgK80qxZfrJp9/bXt16gOYH7tBsprZ3BWTUKHP2QJ24i91A/o/AXS
eDGjNAbtoXqLJCOdBH6llT+OzQ7rFE3ITvUj2YlpTYbEnO7NwU2bVSWtKV7OHXaoLTswAR8eQ1V/
YYrCMymPRU4PH0Il5QiDatyLofbojC2uUFvLu30wNozXawf71sh93A9wC9pFYeTxTYRo7IgVibtn
K/GBPShx6ADMazKddEGWof2KZh9BQpLL5nGWdXkT0Ivm9s0iOzlkfgORpUQz/US9XbFP7RFx3hi2
iNAseEwdGXleiYp+62WVu89Q6wexnL94wzyuQ9nae2QLeLFcKEGr2oDvxEooPxFW4jeL2ndhohXR
zEAsS5oM0T1onQmvWuN9LkMv6FcOBjBACKBOBmY2+M/gmZIoAfDLQ6w/dHFxM9GxNBfBNAz7KqIK
xSMCvZu4Gz/HloqAYDEkkXnb5jZTjIZAFzAQ8cCRtGzzW0Di9Vaafkw6BkkwGkI1A4MixbV7dlkO
jkUMdAGvYl48cRASZGZYXbUeSRY6ATwWNxqBPO3Ks8hUTlS6sscRKl8ZfWKv9Ipfd3lGGTCrTGZG
NM1JmnF8l5gy+1Cr7GYftjzqsR4vYC2RsV1Dnp02y17TCHIo4lYVA41a1b1rkynXnvElExQ9CjKj
TUvFRzO6jvhS6sZtNrZKmG5mSxymwpCf4Dxhv1NJ1EZHJjVawtWsuRrSEpVYrZsMRoBOkGMdB8Qd
enJoHhyrIuY6NNz4nl6a+bEaiuTiTWNh7FomaXc4/Wsc0VOX5UsTCO1nplfA5mxMX862UekqoUra
jkUgiH8xxuHUAU+CjWJIJ8Ym4+MpzpCmEUegcrudAcMe6dLd8I31PbgEWiw3wgMo5GoBl6ClMt+g
arE2aC7SfZOZ45rmFi5LDY5PqjLEMY0Z/IuHjnWelzwjxWox6VT5i15l6AWcH9F3OsK7Ma7x5N5k
qqjy1oCGdQ0wHxACHjvfda9fG/jl+FhQTaCDtfiQg+Gt29h9RQkjV9K3axjOo/WUYCXdpxQLd4EV
G1y1eDWFClQH1Grdjlp9k4Ys/bOT30STH77iRdoHHrYl19EYaRqFtvJ1MI11bafnyYFCaVM48APz
aN5CweY7lSrqHb+5voS6aK6KeMIDTeeKnDpd+5yqqPgGlc3RdmgbLts6JkreCYbXwSJePiMWddUw
UNiqc8mXXMXQ85QyN8GqQzq9naqk+kmF1rdA1eIF22lztHxB8L1jxcgljBav/LqfNKzcpDAGSgJE
AOAKT5/+5KZdV66FK7Iv+MIjNLABiBCUrxGpnGmrQTPu8q4YiU3wJLW0r6Kxs2TQlj2RZp9geWZP
FMV8XUCi7HS41cDzXibdfcjGkKFDWkCQsuyGgPASfPWpTSS6HBq75m2YlcRbd3H1earCbtP1WrGq
Op3vC7DYVPGypOVnyxEFf2YyfDWNMlujPCfn2oub4uSL1rhpWc54i9ppRhUMyGrBucvEQurDpVkw
ychecHx8ajWDqL7JsBhup0F9SEljp60pfQ3tOS7reEksFalfWiWKCwDK7lwpM76tbPnj1aGvzGZE
VinjPk2uSxRINmtwISdYhvFqrHjFbhIsJs6KcGQikRlG4451ChtUCgS6VahgAViDBcNuAUGgmbXg
QCwyRDrmqpA6sT8HyGJpky4aBSHwrzyCQKEJuiuloEZaAN5Rmz2axGk63AhjxsAlr3yD5so64HjS
fDRTRUAYrjQEjFnYja+MBJ1nIFwHCp0wpA07AV6mUuygP9rjapRhDAqIIRL+4tzyH0aFYqiuVAZE
Uu7RbzIW2jhQmK7KzdNTEzPaXbK0F8TM++NTYwbiYljS+yyI1NpWLrn0iwzy4qtthMrZ5olyK9oG
x4gWFbpF42tmyxBe3G+TojbuiFSIiwOg9gB9lAeqs9TtZJnrkb6v/TTX6cwPGm3RnrC/kU6g1R1d
fzJxRvxT1v0vZR22TJdK6L83yi5x9fVf/0eg8Uv59cfS7vsP/iEcNX4zTN00SHL+zgz5d3HnGb/5
gW1DbVdsEmW/+qNZRhvNNDBlXdtjvytK/xgc8cfZjs5o3aJc/DuSUQDI74snPNCWju+K0Vagw5ng
13+o60QT4U4M4BtpXlsuUqwyDyihu2Qd+QTCJqbzLIncO+VanVBE1M9wUrW9Lr2zWUGyXRZzjNW3
tYv7YCjKO/wxT06oR6TR5CLdVDbxG3OvWfsGqCFLs+ax05Fn5rfeuc6xlpijcZeOsnkJrOLkyvxk
aXIbdnW46honIKNPqQWG3ofWiiRH75NzwX1cEthGjG5ZCTCSPqoRx2Syos+M9/U712gthvnypRql
ilBrGMpOaiSQfGvzNFsVqAjXXuWfPWvcygRZEQanb3igT0h8LohiUK0kPYSA7NRP8x1v+lGPlPgo
BeYZJy9T3UGYE/OrA1o9H4zXynOfxdRuKsD2y4aolY84sJFx+O4CRytyCgSyi1Lzz1iTn7Mhf/F0
QmR1dVhvspO6A11BZgvYiW9pXcKrjLp0Y+VTtbIK0pAJv8YtKofHyJIXv0S2QgMUE3cevEpQpFsj
tndRNB2z3qz2M4r6pSZJhKFlgPwzOZhxb6LTHR9dLLmytp9jKzugdXtpRPoC2frsxRy/Fi7GeZsP
xBLN5H26s5kubCaro06qAQnY2WHmjL0YOZIqhyggy4obZcZU1CFy+gUTyXidZAFMYY141a5OUH9q
6l7GxQu8BpBiSKEArqDUUteqbX6DJuY72ep3nQlmI56PhL+yEkItqz28yZx6vlk5v80xklOWjUf0
cM7OrwKXtE6VeWNPT3PYISXrXEgqgUWaXcuFSIPDhhLYM0DgFMXA/NTYgvANZ3xEWYE3rpTLkr7m
CuTnSzkQCowe5RV22HEgMRmlY5OcM+E9J2QKMe66BReN+IO088nsdshymp0Yh0fImbskqTseVGsX
FXxHmu4jyOyYQvb9fHSrCTkJocJLRJMWma88CSOxgwsBEmtRt/pTGRmvgSWJkgWVRl8ix4k2PIqm
f7TH/FvBbr/UXUzgfTE+WqERs3N0hA2bisAD6GVpQOYkuIL7bpTuOQjsZ8LmoD3bzrl2bG/D+QQP
BN9NjNxrIS33OUGNgwmKx1Ej4QT9av0ZKG0AcTyGYwmL7t7C67bKxwjXlLCd5RR0w05403AAnzEg
K3f9/Tho2m0WT/kawQbaGK2eIFLmw6GIRbukPLBeKXU/U7a6Nwb1B379scLduEJfU6erABLgystm
+RJ65NRwtMdztE0B/JK/FD4VI+Gtq9lu4WYUZrIc45CU7+xzYwGezMYc9ATRxGiHVnU3oSuxR6RJ
DaJ98o0Rm7KndgBrPATGWnxXVsxeoTI/VRrkupZ8lPXQOy9jOTWvZUniDNCBeJ2j+fY9SOj1HLiY
mIseCXWlcoadbhGVPP5zar5WBl6lVhT0NshEd0cTZZfH5I2/BdzjmceQyGd2YdP2b23dQxdp8tBN
mffsae65N4Xch0PzTZPN0Xazww+bzl+A2N6NP2zfV81Bn34ikw2aherXf1jFATZAiJJZtbMHlQ/W
i25JNtQ5cQThX4b7i6SRP9kMuBqNSh1nro5A4v2wJbBlX7qTV+7wp1ar0sgORDniZ7RY0H/+uRBb
vO060sC0HLzmDOLNwLvuXj98Lul5o5VC/tyZXfYShKyGajlOmessceRSc/B/+ubn1/xTO1Fd02cD
RzEeqP++vZeRVdIIYMC7m9B6rZ12eARwAuYZaZ7UHIg7fF58ccemZXX7+aWvbuYfmHXqe1T9VUf3
PAMBh63uxw+fF7KpnNPJL3dt0VirlHAeMDa4BFkujoghsp0ejK+yHUkRlsNwSAeImQ2lyYKT52vs
4jIq52MfDey6xLYFQUHUKQBU05dH6bJ8+65JgUdKOML6EwK1TeEMl7GInnQnLlbuaJ97P9eWY1UF
W8ep6k+RAyvLJidg9fNP+hePEDM13XSoaXTKgHfzOjNPArKy7HIXm+3GrvQ7mLJ3haI+/uI6TBv/
9ASR9qCOVqhvmNa/vaN0rfyRX+RZBa60b8fxbjISe63nLMKlGyDt9LNTR8F6nw/THbqF4j6O2EPt
OfomBtZldVRJkWwCNhyJjwNtGsj+UQvcswVEOPZZ7p06KZYRwYBbMZrjc+SY05aEoHo9JlOCwrtp
L2U2Po2Nyo43E/vQJT5gJLerjnaZfANn7C7gafEtkjqwHbX0W1jNT37Ub7Dssnmjt4knwPtxmaAW
hqplMRQngYLyvZ/voJojhTX5s+FVf26wXSw9gzPWz2/kX6wwFpRDhnO6T0DW+/SM2aMKhK9V7mYJ
z5njxMjKRjC0u9Cktfv5tf40a+AtgC9g820hncUh/vY7Q9yIws+eyp2TDRek9AdCv3+xYF7fpHdv
mkc5bdvq34Hpv7tGEousy3Udm18w1Js2GTHLhPOrWumT2Zq2XRMeGLHtAs08yzCIgQPnB20MPyK6
/OK7eIHMYmgWTJ2t3ZCyiccBq1M9FSfDiL7NrrTWXgi7NrfwqqN2kAuare0NIUVrgm0/+IhLaXX6
0d6eCOvJHc4tBnYVRsCiZlaHgoq5qLkFTq/A9Mk3p+QRFEl2GggWy5xoIgGI7MYJfTBu4XpZqjza
Qe8uVWnGa9uaj7/4Tv7ijeW7CJhYsQ4z1jfffinYyLqxmopyZ+BuXwxxASoWSydi3IzPHHMHEo5b
q3zyzwiT6mXYwhCbjeK2S3mW6Wog+iz7jQwVmtA1qlUf688yhQvgE+6Nz9Q9K4vAkjTFc8wAfAWE
RlvWFSRZL52edFO+zi2MTY/mg8XpEFQJ8WTauM1i/WniIIZRI663Vi63QS0vEbZRqMk8nzYhbIvW
HaAg0IpBJ58HW9OZn4K6GU4/v0l/8ZKwZ6h/6PBTvb27RzISXt5JbO7SL1ccccYFvqBtYOtgg+vo
F9+IYSDZeL+2MZbDh+gQ/oaZ490iqkYulmn35a4x23JtuG218sP0QMLxDotCQqY7j+Q8USDRA2KM
n3ICjPITHql50Ve47KoyqJf0isQ6cBEwJTkxj+Xkf2kz40bD/gOgul3GAaf9sayslVW3r0U6X8Z8
Ohae2ox5zCIrewmlOqVKaMmzfiIxDjVcZS45rq6HLvU3ICvP1/JytkcCMh1+I2Lrg6t1/EQth00d
9uTooIHYj/54dy2CiOepVrLLqkPZy8eko5D0swjPlKDUc2b52HQR8WtKX2gNj2Zm3AktOQDDgOLk
EYpZZtNK/Y8Gj2YRDuqBrPthY9hNu1avUTs658qTj26kCgjSp3ifsGvkgtOSHqanUWTEaNb8bpI/
nkXq8IoxSL/BAP/adN1K9txg1GmnBBHjMhg5itu5/ZzGA4BpGxBv5ewGmNDakB7mQsE5Il7grssP
FMVbAHs0v0mtJINsfnJld8oN53PcMrXPDOc8tCRUoG5YqsJonJtkSwx9dSQz+Jx39rPZJL/aj92/
eL0564CXAojKE6X8sj+ePHL6z4JwwWLXetMr/rILA5gz5wtuHnMSJiHZy7XUrlA9brqAk971nS/j
bjPJlniXlB8ThbXKujJdQ5Va+Qprucq7SNDg9ct1MPbTLicpkgItw/sX2cla4E18FVoenOomAOUU
sS92cxzclKzlS0RsZ1NjjcFj8jRYHLf0xkKipif9cow6vPE+J+uIwpD9MEbOQpY8x2zykx67gRW0
MbtLg41mGfQE0fX9xXZ64rxzEr4Zx1ig3WcGIPIxDUlCKwzsSDAgXt12rjdN3V08qgNUsO55YBOh
yOwfLazm6jTfeX/sr/+wi36hzUaq7HNm++8dtpuqJ8T0pXwjzP7+U38oJ/zfkJCZVLiWz1eBeOLf
7bUAXTbHFt3xfNewTF8tyd8bbJZFg431k7YbiCMqmv8gfk3+wN93OhMcHcPHv5Wobb07z7Bwwwrk
uOt4aDG8P51nkqmRfZWgkHRoDfurNNWMix6L+eQPSb2pROqrMySRiq3mhY+46AhRwC900JoEti4T
NuhGZIpWultuM3se1NQmLxY+E/FHv8aE5MU1CNNK74KlEafjLVa4/l9sfsbNyGH2yTZBYNQq6JNu
cniqdHyaq9L0hlUjUCIbkd7IbVdo845Ov/vQl/34C0z2u42RO2DbiDMcboNiMb/HZFPSNEhBCOhk
mDvewRIKtkwFUdl2nfpc/L1/eET+oh5+t5pdr4cg0KKxyuGeI+vb1czUQAhF2KP3UiOWdYzyL4qO
ogKTvzMV/qv8RInqfzhHqit5lml4SBnhSyNmfHulGbzEzPwsB0OFugIJLNjBydG2BJglD8RA2Nsp
TsPL3/54HlBrFDk8TD4E9rcXTXWzlQXz3X1PU4/5qYL0tuCz8GePDklgf/9qGEDRc8IWcAFfv71a
FPjInouUzB9dOtmpbK5uQbBSt30ePP78Wsa7frS6n6RTcBHPAohN+/vtxUbiU2Ki6pK9iMccV3eM
WmYlRMHRpjHARJFTd9sjmLmRJJ3uIFF3NXZgt/3bn9nRKXQ8OjXIXFlU3v412Ka8qeiZyYo+I1qZ
UVq7cqMwfAzcmjzOn3/oPz9DNPPVvJkznG8jnX17sQYpitU1bgq8cp7vKzydq07jDQbBiId1ahM2
YK8MCOb8+XX//JbQaHANxNkwLTxXf1cDZVEqsXDW6b6UYmDszbcprV7KRZmQVPS3rmUHDn8+52Kd
8sHBLvPuWjZGPtTeQbJPUMysxIivbFHrzXSMJml9+Pm13q2312s5nIgZaVCq0GJ4ez/xU6ICYDq6
nyeq1VXFPO6AIX8wVj+/zvtOkfpMDq2FwGWR4XE1316nd/O2cfG0EfnkDCnzQib2COJLKDmcVh7i
JMHZOeJFwI+JRCtco2WIf1FyvHt21GelS8VCB6fedPX3zw7yhywRTsffYWhRFBuDwMg3a9EphPlx
qCIfwYhrTb9Yz6+38IdlT13WZAkitQJ6PnSVd1/nELnMT0OPQA6Azh8bkl0OHCunc42Qd8shrQTz
iykaHO40Rt4ylP007KVbjl9B34nmtcb4ccjCMtxFSnQdgoY9hHOq3f/8G/qrv6fDF4OomNMBrP53
r1YGHUDSu9B2jL7cL9PU281yEDlCBtj30kVRjMgB5wZMDebcMjsR3UOkh1WG4b7PKvsIqTTcj4lv
nQPNbb0NaYBVClg0ADDy87/rn59aX+du6gQVcCL5k4RdD0qkNrlMiELTJyyK8FQz1AFtt/75dd69
9Xx1PqwZtbiRssIL8m6FTTSTm6K1yZ7Ser4PEhVoXYIuOSJydh5+fq33y/n1Ypi4TXZHBzXq+xJ1
8luntceU5bxqslXkhzibcwTLJGpnsLxUvPtIdKLRj94nrSijLaKB7hc3VjUUeRPfPq7Y73RPZ2LK
F+2/l4jmTa2ZvBnhzutlM+293GQx7QKM6vuor+d7dPL6FycO6Wkk14zlOk4j/j9riBZgaHRsqdUO
Qd9Pd1iWGBy0Iq2bpaAoIGQvK+ZTHrfAIUm4ucy5FX4bxj5/8qd8PsGGpFgIROM+eILejVn4znFo
dBbclpL54vSZ++DGtb7rDN+4ibEJ9ysiWzXSDOV8j9/VAieCpOu2AEb+koeT/mXWOMbhakCGEoxl
+I1Md6c+lIWAS1BCj9zNALyhbKAjoI/E0IczQgXUeoFByX6JwUi/ln1hfZDXenkMB/rELQTwb/nQ
2XJVkE8Zk7yTxqfI4s22HZYWoxmSL33M4l21kfMtqgB1k9fIsRHBg06AqkzgFDAJcu2ttHUOQ6UH
4sD3CPEpU+F98oVs/AtOQp63/2fvvJrjRtJt+4swgYTP1/KGRU9K1AuCFEV47xL56+8Cu/uelnpO
d8w8n5iIcS0VUKhEmu/be23e/ijbZdXSW4T2boDyx0uMamnwXzT5PRsFd+DiL3+3Q0pyiWaX2LYm
WU6aPvr5R1nZ84V1Jn9umnm6+Xy8IeforVXG5l1tNzH53RqP7ZEMas8+WfDbLxnIX+LydJyi5fyc
rWhMntteM0NBjzG+lTiYQaSbikzsPBf6AIKFZzcTzkWOu2nGdOYS58sANMHAIWaWtwvxeWHA8TlT
nMQXuNLRpmv85K01oetAkgB2RMCNzLFKuSwKaWTbT0E5ttbKsHi2hW0lbxixrJ2ACfiKkMvALeli
JIe5X+g7d0JKtu6zVt2aY6NukhnZ/8Z3RPIt93qmJgJ/n8VC/NnayzgsljyOgGYQSU1x0CcbrQQb
GFzJeleOOWPJL3p9iaaZ0OKQoxdOtG7Ud4Vr0DBe+OwU5jr87ClfAJ1lOhE23jHAtiYB5q/xFJmo
mQNGr5s56hZ3maoOA6GZ155bGTSZl1K5GQHCiIw8PUFb2UqcfqRBOeqmMvJmB65eEM5Bcis2OlqM
RtUSTh4nRzNoyzPyZIeSVJ5sPKszL8Iu9WloQAvghwsfo97fVg4KvMYrs8vM1dZwkf2bQvv7LMGu
32DGhHqc2i/49qYVGZvAR2eYntlgb0xDaWR9lrUWWGR2UhGIAVobGQNP1XqWyYjju5xPqZC7OAae
Cf60IlMSnEVsDDXWoUmuyAlOT2BS2jXBbTl47yUJuaOl0rvOS4uq+xIVyU2rIO/jOVGbcQ6cNQuO
vXOb5MkLPRjoXW0BcsnXIBjcdd1juMtkYa4z8AmQTUwPhwnWukTG9108v0Gofq0Ho9umBvWV2cP7
aqHqOtJv/togl6Uaa9f5elYBq9pQW9+gSJw03S3Kfsl17CXTJnO8x3EMz1XpR197fEfb2JnVKc4L
JmBn2SMV1nztJbZ96XXX3AlKgZSuyIbU2rvK/GYO6pVTpDSxSeRsrKj7AUe0PsyiIk2gDEcoCnNk
pydBx1WsQiPyrwY354aqnGITikpLP4FHsXdqygmgpDwjzzA+mhs2Sk68mbxFmu6b+VMLdfwJUeD0
MFcu+4eqq4NoVY96vmQEHi9McLg8GQHXaQFAWlHMOcaNLLgou+hLG5n3gTtN9/40z1tbD8N2WX9g
X1b1GK+Tuiluux7Znc+blh8xBbAVsDLyEdqZvUgWIAfPSq+jyOQnTEXlRJ0qBEHvR9I/1ClHH3w+
iEjY5u2kNp39MI2IJtvaKm46s3/2c03ALlL2a6fR0DiinISQTe9B7N7hGoC6WXfZrkwz99aE4A6t
Z4i+9Gk0ne1BbfoknE7pNOCepWcnv9mpouHklrDzyexpjWMp2/gE8pEACWsCgq/HgoGZsnfgiJAb
dznQjW0xt0TDQZ80C9Csg1MGH72jcCWD5rEercL1v6hJS7033QRCzUCdmrQf9mNEoh9qreW1MhqP
PBcoEXZV1Wujb/wDJ2h5kEpYVNrF0P6orSDY1gvzq+nti1845kWGLZEkDpwPlJolW5jS3w9+Lu/y
sAkRMNqhzeE/jR3KFK14NBKCbkWfyxM/qnxQLvBjFmEQvKB8nO8KA+qd3xtUDQC3bALMsZvAYwgA
V61Xcxi5+4km2M4DuYYxOXGesrmrbqE82StYUOkxpKR54QkmCGnGdTOGYj+6LgNblhcgf+Y6LKR1
GzW5e0A/a19JcGCrttbuQ+g2YlMEU7XPTaqBue6C12Fh1jPRNOuxQ0a/DvAYExlLcuM+HksrX5UT
4uuoC+HFwwW6HsygujE1uZJAris4GJ2Rlts5Mypngbbk+xzizYubeRRxqiY6g+4MKkL6nPw4G3L+
0XMcBwk0DTgIDSIg7VpiWsExwpruQF5btH/uNSd2/HiY0TgAiOqUi7nn7erry5QW+W3tuf1NQNfz
YDddLNeJDA4FBeUjDQrqsARBnyuiPy7pgCnOicbiLSvRJ28JmW++OBGcP4QV2Yd0C4gstY/pgUwd
aknkjT/7Xf2t4KO3bVMh0JWuJvQSqdP4imE+nZgEOuMY1eTPsriadLbikpg8/PpnUluTtQnajV88
gZthfZ8MSQgzcXzYk6XdbUsETRcE8tWbL8rxpFWKnliyBiJx1PvZxauPtL2/FebYvaVtxpzd5Kwa
TAJtFoH3cUgddZ96cyj97juYcyhOplOq+CM25oZY0S6PebH7kmNSb3w0XlxeFN3M6wTi3RNhOuOb
0ybBSzRICvVlSfY8qT46QFrqzkXuF2sqIuXB8Jz5hKOBoKvCG7/MPYhVk9r2xoD+J1Zps3gDpkys
2UVhKQLpsunzhqoG0hBI2bmyuateHZwyNS/OlOSwjCfWDMTic7HOh8EjqCqr4mFFlLQ6CPosJ2hH
9QAL0aqYzmbCJQM7hT2FBA74NpAWE6spu6SMNhezT6eNR1zf5k7CvtjWLAp726z7U62T4XvN2WjR
H+ebkgj2j6YNkm8hQBYyMtjiXGK/tgi3x19y8Ew7fJ5dy341rNr4sDBXXYXBHD26pU7XouJjlaMk
PMdkXFmD234LEXixnTQBEHTJExvjEFSjZ0L7be49+znCFUH4D9NrmIcMqgIFQgkziMRlnw4nILoS
EIEf7DBBEspYgnyFIFGsFJuTje/HACbKFlQvZ2xIrE61dGDestyKy7XBOZkwLUR6sxcdMINa0A2m
H6TOyD1neWfdIMvdZdDt11nhnayucEkCH8WqcIddQP7IGtqusfFDhrOZKnGe3YIcTgEInQ+OqyHY
W3OTrQrwZnunT9RD4xEmbg1BdEnL8QPrPAgjXRCdO47WKaGwu+2oZp2Sds4P0qQ8YKkRKHjdDvs6
7s23rIeLzBmfVYeN0MkZKmeL/qnZFVMPdrtX6VUmaHQSnAw+B8Yeh2oPo6y6mTD+EcmjvIPbkqdr
FmPA0aQm2TJAnMdW8FYJmqZ9nuI77bsffWtU29qo9F54CT6TRn5rZwNA2Fx7aPaoHWikxdCdCI4z
XhPP2VVhjAxtkNcQ/k6F0bxMhb4ZshAGp/dUtyHor4qCERzfs9fqj7SJnumQ3vtWCX8zo2mW5q/S
TPDpAs9b+b18E67ZrTW60400hPtU5QmJX5X1pqRgY2VETPKxdcw9BHqI23bpUOPx8emfR973YiQ1
2gKVQ3wqgpxtNA3DF23r74pEUC8dsHX5eQLpTs7RFxMbLAmkbZAB/qhHcPMzcO7E3gu9HZvkqxpV
dwAMc+U2T2YwDljvgF/FXfIAPCE++GSjrNtmHL4aVguYj8jTw8gZ5moYWkI1iLbnNQeC6dqJ/9WD
b4lku/GIW4+n9pg0HuVR2tscJ3wZq30Fw3pL5EXm0BT3NJxS12h3caHuIcTId6DqRN4YaGJn3BYw
6My9NVqTfcZf0nUkzWDpuc2tdvk8q8nSV9j/3kThAjfmMSp6RjQNWQwWVDWdFMkAkYI7go0hzmfs
hw6+PfjGdT/0RJ50RpUi6ZQUTb1u4siZSTrpgxVCqczCjy70eAG5Ki0G6JAcRKyAg9TGCiqORRHD
fthUTC/UmZaexlwN4csQcUAIkXPuiIKBoZlodd2wxj0HTThfDHSoayshNLWfG8+8Tg03Gbe9nDl2
DD7T0tSlNrqq5XQiEjX+SLU13aTeTMKIyPRORHSL42wKX6LCoMgdOb64F53bbz2SWmrqXVhPq2ry
3Eu/sAuRTvTITGO37r405cjWITc8c18Luz2yt+ejkSIY27jigI4BAhOrL3zOVyhyvnl5YW2Slu0f
ytX61m31OhNjeST1KcXEVoG5yDoW0s4OT3bsUhTAf38J4ICdPzs1n9cba8fYznizjqFn07PJCIYx
faf4+vlHZFBY91DnvAfQdnJPU1YfiHipX7uCzMa1ai2qBIE93UyabY/BYZNejy49hNk8TCz5gO7i
vtl9ForrXNFGUVWwGTLqxnmR1IgkkljuDckt0t6k0a77cu8VbvelSnq+QALhZMU8ovG9DurWTXLx
tRhMfvUyM7nnSbXH1i3VbabY72rCgQ86G/RF1fPcr5XJ94IoFj7WLse+Zozrag2cq9mzVeNsPwy5
327GbFHrJZqqCMVLJgNig3GwQFsALuM2xyw0i4Lxb2rjSlZR/UrxL9mbWUpFMdBn2YK9XIlc9pRk
oDsQSwMVddeTKOZc5U1vXrtYrs5VqumQaZfiVaiz0+e4MxJIfkBYDbb/BOvlba7v4r6DLz8SqM39
xcRrGNgzKIpwzLrLh+WZ5ANdNoAmd/xWCmXAyGOjSLl2RK0vVinKfbWU4rqh1BefaLkbshmCTVUl
GsEtI6B3TD5bjssH5qn3EFnS2MoYJR6wAOr5PhROeJPm18Lkr+DxaY9+ufzTqudpCQ9tzVrY/nwZ
+aAtFkrp0p82zK+xcFGtZD1K76Rj3McG22tB+jtv5HLgJ9w6/ND4Bc5jymiyNR9KHmH1SimxJH+n
tManHpH5lRRTeBrjsHoFgYMMDjdpvQIOxI9pD/Qmpz48hbWoXjO/w3bZKMNezd2Ym/hy8lDcczjg
G5aYsJcQbBhG6wB30F6WiXXFuaX90svl8RYEbZ+Gisc0dpV1P2XocT9fWKvL4vdCF/UrkVxcWg3d
eMr7OTz2lFzhHgVG96rJnIpMKnJ9w9+TLaHoTL5vAzLMdSwSjh59/b00A0mKR0gCyYhMy+z5dfo+
5GVX9ErDYZZULEqJhmvst1HlzRebEvilLsbwpZ1wi6+1p8U5jyxxU9peeHJzmzvvOfm4m5LpcG/a
LsUP2qIB7GpGwVRTmnNrl5ICPBSEyAH22dUkB0aJr823yExrggcCg9S/uOadrlo33FScTneYFsIX
JLPlPiLN6lFzIPjww5ovLPtlDLYmwmbfrcHaRVaBRNOeNWYMDAEAxTn2BV48/kBwZoPFm4T6CuFI
fVNjQBeqY0PeUkqtIyA6CLRWFhFgV6Iby2v0WMNjYk7Bez064UdSKfz5Lsl+q2hiZXLAUO1m1yd/
XYKmOo6yCV9Sz3XLVdcSf7HxKwrcm7xOqvm38vP/CR3+QeiA9ceiefO/Cx2+zFVBwsWfXUS//53f
ZQ50zSDr2CiScQPRMFy8On9Ad4TgH6EARz2MzPXPNiL3X7DniT/2HN/xOGlS7v/DRmTC4FkEnSZd
B/bSaCN+iWb626imn0vs4BdoYuIjovGGSxYB58/NsHCYBKEezXQ9FO8RPds4f/vT0/g3PX0e1p9r
+H+5wC9dvVbZeVErLoAJkOhOJgz5SpklkcTUvP/9pX7tF9CDCYLFXGXbdDAcWsE/f5lZdFB3ckdc
UjefebdJz4DHB4YGwXjWuN+6VEXB97giTsjcm7XVGXpdIeJMypNpw6Ms3skbXahj0eDEdET3IYWp
PcLu4QfuVtzmV0MLLcg5m16tj3kn07B9DFJzPnsO6TiPc9PvUitxTx3c2tsUtXbCXo8oF3KQcN8w
SbR4E/DXY/VZTSB0CI7IC4reD40kKqPFYlPCWt9wE7QgsadbhPQN1qkVdfI0q3xgvWwGCHzAIaZd
MSa5XZx9YG8bV3mgOEXmTt8MBCerDGNisgKF03Iccx37xjH8Wp/TXsbGw8Sa55RbmxBJCbKsz9Je
hXs/b5Putx7O/80a/zRroFr/W1LXl9cuZtYg8eCnieO3v/bHxCGgbQlUN3+gK3m1/pg4LOdfPqvf
oozijf3Deyj/hd+Ct5h1zlsQXtzCH5OG+y9eCOStvB0+XWfu7j+YNH7uRUK/RHyF/ACVjmBO+4va
Q1e6obA9eNhx84JaRKKGpewINVZNTfft79/qpbH5P03Az4shQFhcJBKPsvWrgjlylZP7ce/cUQOq
X4gasx5nunnP6FRbDHCWid2BXfortID28F9cmknWJDUeY8mv+qfE4PzeV8K501JxadkacjvOk6+2
PgKiRztQ7I47E7/7UkFjL/L3l1+mxp+/uW85FjIoWrD8cL9e3rJpa4A1tO/ywsjYUhhj36xNAsbr
U1Itl1NFEFz9/TUXoNxfL8pQcYSPyQOR1M9zaFmX4RDV0rpzmbIgfAb2kTgNDbSXdv1z3bvBFXZw
Lg7Qq+32MYfTdw8S8J7DGs+h8aqFVhal6tAZbRRutdbOq0ejsFmH7miKM43OWWwSTVdp1dVLl0vl
pW3/g5Ts52VnGTXUi1hRETzQT7SdX5aCAHAAzenYuhODwVgZcJEwf0LwpqwqHrEnVmeVud0/rEA/
S0t+vypye+RWvBj8588PzzNMP0XKJe5SMYpHuGfJvvHL+IOCVHOHIZ6ygVOLa7YEMcnbMbLWv//1
/vpi+rZA2sFeA80OlNqfrz9KWWZgvMnEMDx1nywvzCw5K0ZjI/5JS/JvBootJG/Won/ApvOLICGc
ffK8zEHcwapR9wagh2wHWC2kmmvb3bvKHOd1ZKHk7eTMSBl64mUxUk7saQYB4z//4vihmS0BTdt/
GbUWy69sgKPfDZxAGuIywry6IiObUxCacvlfvCScKpf3kn/9VRoq6tRMDHu07tquDzYlMeJgbCJV
nQffrM5FmzpHm3PUuWkSRjldZHFNDYwcbyo/IDZFqquz4Y3qPmrchRJrWvQMMpAsokerHMcUrPhU
jtYkgpdqOknop/nu7x/ZLyKbz8HqW/x+7P9c9J2/ijzSPAqHYJbiLgxTs9lpv20Pn+NG9UX90rZI
BPJgYt6beYB0VeQ2SjQeq26W9JvmAr55kjlNvtckHnIYDk10A62p7v/+Pv/NLEhX3wkwLXKzf9nU
GcoaRkAZ4s5FEQRicHnMoiacRJihIJ6j/aeRvaygP02ByMMY1biZIDOzp/x1G1n0kZWaNKXu4FFU
Z7cv3NdQquXfbDD2g2nTQLe9zqPVH4ZUQceUqM9pmuVDMmRJjQxp7t/titJfajIDmAYvQWI7TJzL
mPh8RB2rhkfVDM18x47vDM4juOIc7hwtkj+vNSEW/+A7+c2F+OflhMUaTbRvM3KJnkcX+vPkoINM
+k0yR3cVf2stkaG0m9Q30psG13p/KMcY+ggAlpQsItfIIdyPRRjvZBwl0HD4bJNmdU3ZKrVGNHHA
JkcdGf0h9joYluSAzvYKchtANdPWMqLaNRlPtVFE/cb0K5CQUzTHLn1GCD0bJHG8GWk3QV8sYo8u
fQpQyiGa745WVXwOIIZdIbqprsc09BvaiC12HEzHxleBCPFGVHP+3cw6saGGDSUMfBU6gpkoiHe4
NbN36ue43CQ96/cJfRG2wcZO69vGJAcGd7LEdOlUHQksPvioFdkoRv08lHk6bezQ9x+gTcUQPUgL
oY2BBmmkzRC16HZIKWSb3lvBG4qPNkBK0/XZQWMRt1bNgE7taDUQlI9hIAhljaha0QWn2OFJ+TBP
oxjWPuHt7R32O+HgMOtLl1aLlQHoiqO6vvWjIm/XSjpxuAnSST6TQMSymzFG/HlYIgUAhG4bCoQR
6SOkBPkgerm7ynVfO+mwTSC0Q1yzBWQiHmtWgS6Z+WuzT+9sE9oY23HJElOqiMfyr4LMzwZWZhGL
oF7rcjD9+mRTF5kvnl01V4YiUGwXcQaOEX4miuiGKIlJ85D996AEr7yKrJizVAIxDBZEdN1aTrtr
cYFzkqpfJtPUX0UXwDMYA0UbOLDe5r6i8Jg03R51f7iztF19K2Tnfq1sA1ywV8fvDBT1IxpCKuI6
jsqNSRW8JtWRemgb1S6mD39cM7BgrxAKVCrarLNhgNGr+ncH1QlttSSqH+nMUogay6DLyDArsUU9
+mNY0dxSlFQqf1P4KGSw98x4EYB00v0OF1insCYL4xD5CQbKjgTWkFdgYxKy/gokFAxzIbO0bDdz
MxfBjoRaNj/aVfdVlvGkaYJXoCcCNkPM4A5ls8m3t0gE6xmqWJg/KaPjF5vDnkVhnu1hPfqSeUVW
zBUoWqqOYzJ4oB35pnwGBJL6RbYdvyyadX7UJMVGZ5ptsJnkxPAqo46fPhuZshMnuhvIZunXGr3J
a4iigmq/yX61zxeHVjHhog+1fJ4sq3vvdOwcvcFj4nGYhyh0y23RQgNYSDZdQLyPzcfPjcvNceKo
wDtE4fPgUanM5qI6Z2VmPTZYkPlDVS6v+n5kfmY6C7FmOUjFNkL0/D+RVnwnPBPi2jKXcquGypbt
AkLnXluLlZpGl82faGORXg9lwxSDjjW4ippCXkm/UveW67GoJwYz6uccyR4uuApdFlEfduwhrILu
vZHLo5StIx67buC/ft4tUV3Y4Gx4A7cV205QVW4y3wJ7479mueeQ91tkLSCOUVxDAxCYhtgZztYk
Hkeh5ZYu8Xw/JBw37Dy1sBxZLM+9qqfNvOweOaC7r6KY+VK8klwpi8fuPUECc4+lrHsf6dAhLkjZ
fZrZ6L4GOasoyqTuvc5ZbYkIal5S0MbEgCHpuv/cKGjYvvNJpbn3ain294C6+WkbbkZZQfru2Dla
hsS3bQKwDfPajHmlvSo0r7s2zyqq8qge1tZyt4BWWHi6CmZuyB2ZqckmvKrolrkiq1/CYaGOzJll
tNvQkuzSO00lc6TyWh2bruXOR/7OuKJHM6urxmjLYv25wRmWrUpGhtD7b4cfoqV5aOTLkOrrzqgK
HCNraBvW3uBcqNwGV3HhomD07Tbfs+xwg7WlUr0KjJLcZZhzISwwTC50MpZXSIRuqnajapdtECtP
v2mnu8CZuvdcdvxGdRiwueN/ykiwAJeOy9xGQK19zOIi2YtZsDEwPfvo8Utflx0ZW3yd6myPhndP
QBQdRfD03C3hru1hmlhx+2V4EgAjrs0oZWXKwKa023Rku+oE6Txc6iky4kNBtCy7NK9k1II+Cewt
oB5uJnQZwKQC8MzQg8pnGpv+Y5oFDQTHxkz2JE0wRvI4d1/jYuKZkmXM9/+cBLCQq3tqUDyVPEvk
lYdq8og2ihfOWy5POzlYE5nEdqwX9UsqqupMDl57YLvfkM9o86smVgcMkoWc5zCxBaW8Hz4b8axu
1Rx5ry2qF1JQ86KASUlrfhO5vPE0a7iTz5GI2Ep05ylhCnAFe/QtaU1MPk7URN2tVKE1HYNq+YHS
BqzHzqrC5lC0gpTJXisJXlojdNMe/Rrajsgv6WJHxQM1OPfVTlPxaBkBZwBIzyxNKhAYFloesm2B
AQRjmJIGOCeyfvGimhe9EZO6/fyGrETskbslPahFtrP/PPDqyahftLB5RSOOqAlTt7maONI+DgQ1
Aeuk3rolyErd6mDid/rcMX4um7M2GVF1DtnIDmK+O9AxTItWYABJsopNOwycZJanRuNZyU06iVxv
sMzw0nt8CwKOHDR9Pe9rGUfyCikQr5WebSrvtrZ3Q5eLAIB+xHSUZLxc2ICYHeOudYGEMeQR3RHj
fR8nNBi30+g3hzmhArh1sTq696qdSvRBUGj1mv6h+0p0F6OGPy2fS2VybM0H55g1FWoAib0nPxUA
L4stUfNW80A5eWKIhBkPGr6OuE7Sz7lPWamxryLBJM9WJFqO5E7PeSUuGBOfD+C3uWg5uI+pxbyw
TKxt5LPifI7dMMLeA0KIqCLlJ/Mbhp7w7nN8OqQP7lMKAfuxbJzsQvtjaYWYsHYcIACnOJpRYv82
IIqpCD5qGnTjGgh7e0BVBcFnrt3XyKOW8jkq6GDzUmRWKK6phPIiN6W4xoXPQ8g6KH9rD+ov7Ba3
ZCaCS2Ss/caiCIGDPUF4uXwhY6KVunjaYTo5E/9sZiPUbpjvxbVw+AoMOfHoxl41AfyNeLP8sGGF
wf5m76qaQTOkFbO9nYgb17dQ2seaQW0awiLAemLS/pwBkTJmAP6wqBRrskyX5btPeUq2P/HaLAsQ
OpnInqd1jaqLkMWIGM9dY6CG2pbDcrcpTX21tZuZ60b1rO4LAruRm3FUI6lhZuPnRnxvDBgBo5uU
FgO9cqvEqmUvpB9GESTq0A9jGd+ILjUrWt2FuEagzl24KIg1K3/FaDdFqNvH3h3YhERGJp/NqU72
Za2W70sC2q0zWP7DEKjiBgfg99gIjXUm044oycaEXc/MPmE5+ojsrkJVBBzH9jhSr8fK5gVWLI8p
WplmPSeoknpKnpIdyuw9Z+nMc05qftDKnbTaG0Nq78wyIL0xairIC6MqjkldpxckNEKsWTWLIyd7
dSBsvgSuUNfovCq7+pAqZ7/gWVBA6GAwwmgy90g7VNebJ3hHZKalIYSNtYxj9lSDA33Jysv8aFQW
VRgqRQOa/3AyHqLU4udBisW/Q+3nIdmuRkJgmsDN7Kk92ODC8lUzsscpli1dEwfqHmkaOzz6qOuh
mXhnloNyljPLTrbkVZUx8mW6jtxeqH2KTVbF/sAJJ+5UfS4mYcy8rd2kyn5U7DFZXWQtt+myhgsj
DZ9D/P90B5azc2SCLgJUQ3cQ9hlzWuUpPzxTT2sPflzJK+T6znGqpbiOlCufhdF375aeg41nZ86R
Mxi/a+lZrJ+g/BmtRcRspb3Eehy58vpz3pRpxuRI08kmWazknciX/WYdyuCqQE1WbMKa8tWknPqF
uBlC7HrmvbbhFerpLe7JGc9ORuXuvGiZmbWuWIE428UHy42TH87omd3ZRToAOs0wLSTnjbwyftth
NNRIDFbmIisD5+jThfWPHNhUvzjYyetEpbOvyPohb8GyAs4qvftqorB+DAJByc6VzErUeXgkfmqw
bIQhgNN94bGweCTBPMZUrDcaWeiRti/vg46W6eBzy0xy3IcXERpElawwdxHyy2BLIrm148rxI/hu
9QSmSl8hsk6e6iHKCBAkz2DrctrROxbEwV/5+Eqs9ezUxm1r4CJbs50ug63d2upgAdn7PtS2+05C
p/6Rs6v8QC3Ysd2eAICzr7KoXJAOIdiUQa0Opq/Adrx2M4QhwsYGDFizbSrVIE5SpFEu4oMo9ZIv
Rd1HDx57fHJaCyjkWecubSl3vpZ2TZC74Wffq2bmk1Dj4XlIjFJGt7o0OLFCnQT9AiEHHVcrR+/l
szrzfx2ef+jw4N5basr/e1/48pqUP/7c3Pn9b/ze3PHo7dgecWQ2h5cAXQLVmN+bO7Al6Zpi04MP
4qNnpDz1R4PH/5cDVgvhFpiSwLZM+38aPNji3SXZxQcwiVEMW/x/3eBxMWD6VL/4HLZK5AYsMM0/
YyVmaTsE/SzO8hCG7tadSX+++dPTuP2t7vRTAMBPRbblEksmm7uAV7hl+g0/XwJr4SIalPowhvYq
08HKIOI78Hik//+Z/xdXWUp9fyJzERymIENyFb/81hnfKvWjd/+j0vNfv8gvNX8/qRwk3Vxi0He+
eTcnm0a//f23oGHxcxWUqwTQxB3Mf0vFFm7ML4+rg+SZUsVvD65Rtt9hV5rEEJqTtUXvqA9umOX3
5LJQaMoHpFudOexUZxOimyqxpyo27ZO6bZ+tWNustLpLN23v31luMbobFuLpSrZegmq0NTd2D6dM
jGH4AH0YVZ5fDOnjvFgs/NRPzyB5sF1V9bciqDdpEHQklonxMKTtGig8RTOETgSQGn58YQVfwlPJ
4/WStkJoOiATM3P/bJLzgG/QL1HBunN8MRvDQ9ezsENMzhGx4Y7nfknyWmWqJ0l9yIarQRb6KYHE
sonrGACN33z3rMLHg1pwCDOI6ux8TfqK1V05mdU/QQt07iZygNh4+Pm2YmVH/mZCHxmEs+s4mq18
VYtLgPJ7m9qOWgEBG+9tkrr3DkKhKx+k27bSgTXjg+nEJSSK7VClCI2jaojvwnScvsu+mO9GbQ9o
gEPlrymecr1E/5hKL/wa1zj8NwWn+idMq669mbT40bYKApjbOf2HQVkiXnPS75+llQTxTnm0OcfR
5IOWB4y7/1Ih3wY1SUV+zbnQ2xR12JOXHtroAxxo1ISMATnl/jKKJr0P+zk1rtPI+dGjU8DG2w/v
qVZPjrZ+yFK6L8pyo7UzGMnXPlPp0ZwxBFF5acSec8ePRSkpV/HU6EPakLGQYvoExhrq/nkw+bxC
cR+p8rNTId3umQaTv2Zj5J+LYCBgtZjCrU37az/Agr6bcis9RiUZ4bKt2x08e3NfQTzDLOB50VqG
c7gNFGfEtc6D6EThwCKJFuRPamlYsU3a7zkzZIfUTccHgv+GBwCz/OFWLtnqQeLe5RQmVyZHnhM9
MWdFE2jYcih2bgLJ46TiK8JNgcdnYzF3XveTTNNjin1vV+ck+awUIasksbWo5DjtR5g2E/MhLekS
roilc2/YFqX7OEICIoggfAvpPElGiRFeW5PEe5TFWB0XyjzIKgwgN3PcWps5mqk/6sg5zXXbUDVZ
RK+FHo+erL3b0LBJGq5j+9YnZ/yKU+tzWDTo5qi4gf6mQXrArOlZx6btqTAMKlcAmeLwrceZSoLG
xMbZNgYOdNgEPxwqDB/YHvp1Z3TTuSUd+y0mb3IbDY0jUL0E5tbo2JGHBDzxPEIzAyev1XuOh4/I
4REwJ1Vn84BwZj4U8COv2LQ4j2hK9TacAw7n1GTFHhBfu3eJZPgaWOFICIIb35lFYx7GBAroxhkU
ck8/GTHw4H75LrKuPzXFUFwPtppeW9suL+UQyRtiEuxHxKF4DYmSMLaqEe55sqL5Fgal5hjUBrds
WstX+gTTXTsv5Ys07q9V1wAlVcgsu0a656xGnSsad1zXc+891LNNFC7QgAPKy2Bcu6bFBRoObDGR
xWF/17LJLFfaDDMfeKDnbvCFV6StTOaHk3hkxceELj40hHCR5+d1BzEyCWVGwcEyBIKuPOnuagp5
exJfo2LT1Um3YVUBQ286zTmfPNIC4qqJHzVKwGgVjTDmeWn+H3tnshw3knXpV2nrPcowOBzAojcx
R3AeRCq1gZEaME+OGU/fH5hZ1WIwjNGq9b+oMqsyZUJAOBzX7z3nO6FcxR4ZYlhNpwN/2+DRNIrp
MCZjdYGnbMbH+VG1jGWux9DVY0I9qRg20NolTtHA29u1h3YWjem61OfUlzCJoPhKizWBewT5s6c3
a31Uav+32jis3HED/FyDYTd3r0w99Zad3/AchmIaFibq2ds8VdVrXzUN21iX3KWFwAiFhGnJFKX6
FkXetC4Yh+waghh+Ejo2bUxoBBdvWtq+iFKXph2qyTopjFfCQTCipmg6f9V0MJ7GesDUa+gIoWfp
rZlL+4GwEdTmA1ZZui3OrI6GdFO7+J06NynGNWt44ukyRhVGMDv25kviCUVxjzq/W7ajiabTSmfD
RdLUz87Q1Cs0kfxRoSwyE5FJXb3JvM06MO9xCyGJFGHx1EVZtm28Nt+i1PbJVjT0Razp2bKvmADo
wywCLdoXxoDNnoG6S+ZhG9ug2BJ9B5Q1YfNU3bWHGQkVc2hrxGV4ERQ20iM4dAXeAhflsCvwfJkL
F5H6HhlIR6fc7bJDXBtoRJ1CNu3snZp2DadzVP6otHZehITcICnl65uDNxKzYv8N82OXbr51esmx
fypbLhshnj8Mk1svDIXQGe689lhGkq6+NvDTuxYRdAVN1X0LyPXHm1I4mVXMmZL2hW9AAw1kDd6m
CohSqHzNpQ9pq71VaslT7xExk+eVfPAqqa1tQeio2zBhCd58BfPHrvZwxr1N7HuJC8AykNQWHja9
EK/BraVGQe+bDieakenAiBbYNCt6CdyjWeMrzH/GfMP3JhnZj3UipycWUnArQy0ALth6D3mMvQ+o
NAppVeZbl5nq14aCFBBzZPqXaZ+DS3xTBJu+Ntw2TTLdTZre/SQVVfuSOaWPsh+h3cqF7fX375Qg
ZPs16vxlB2H1G/1NbBFhPA/8hE3Gmh1nHOPWmj1Ef+Vt7d55jGkZ4bT2s9WO4rlTmniGGjde86WS
m7AKtdUYRQSclgJvie8XV8w81T290Hxt0hAnEdUart+eemOjZSlq170xE51OR17w4avjC1vhra0K
sunylpSUgoW4GexCv3Dw1q1R+DT7bGysdVllMDqVLniJHW88tOirb5gjBnsmpNjx3tby5Br0pDRB
f4ITysVEF+gaBLy/xt4WLA1BpMoCPXByo1dxtpc4jr56Psk4ja8Le+FGfAz1SfDzT4CskrpAiV5h
jAh6Gisk+aH1tidjlqtjhU/G4ZpNYdybpZ/fOGqaVjRpWoaJOM2fdJgP9iKfaOBPLRx1x0AmkHoA
mdvEiW8sRB6b1sIUIdoMbwktoFvD6fGbqHK4qZyaT7cTEkLm0M8E9jRlDhmrhvKRLRohOiuyKvae
wr5KYHGNMbJJc6bMTl48thBKNi0bDjUQRsEL5t3NTYWdBDuM7KBlIewfe6M8VLAFNmCgGA1WSa49
1rqO8trNOipmAYk47XCH6EHNq9nYZUwU08zscTvIrORaoE438vRpHj6usxLHguVFxuubSV5kGJ9F
3+uvI9LSdjFEBbNvMbMkal7MCGrQYcKse6cSxznIXoxrF+L0npAHJPQwsQEoZJ4khqLpIDwsGFFM
d7rEJkdQSIqnwOd/PAqtCkC0o/i/bBstJmc4EbexRa9mgQLP39VGLLYRw/Y9GSAS2CBdKu7oxgnB
oiKKD6+NicHAso2yB3OAqI+nOV9PZahtG7toFM2v0fw2go6EC59XD1ZnAVFJIu0CJ+VtS6zaoiCE
ipgR7adbMe83RP7VarFIElTvX3IbyYo2GDunHdRq47qqXxfI87e+j58wpy65AAqhwIZUurOmQgwx
MNo0TMPx1kSjvkxqmX2H1/cdL8jNYNbWxhz6bK7bqj0RLebCmaLHvginpXK1YMduteVBdEsk1/kq
wN+NP9L9quXQ0IimLHBt1hVj8z4IiL7BiKa7Dd5ruxTr1Cm5X+KABFWVKQU7NtbR0r8qaeQT/B7k
axmlEH8Kq2sJp4zDb0Hb2Tu0VCAgxnbo1oM7FQ8lvDR6KoHOlDQzw4swluVtnidMhoOEIAZzzAho
KTFpdg7kEAN8wip1y2TfduN0MCMv2Yo0bHcamcLDqggqwXhJTbdxINVDGZCwjDPcwRc6KMDOk5Tr
wVH+0ldhuE29Kd50VcKRXE+jA/FvNMyMpnr11JRdGJ5m4fdJbY9ud0HoANbBdkiSizp/pbw3/hpk
7l4ZXtvoS2XaxV1XxXDcyYPoaVsy8UMw4W1jLaw3jYtV3swyHVUG2Uc0IhW/4ooInFcRiqpfduE0
3gijie9yuyk2bTSqv6SivkJVEJrXI/BGGoehc2CEnj+jFNNBV+et9aTPX0hpQGPXQzckKDtvL8LI
FVchMopnAs7s3dBU/SG1g+6i18bkeyNiLOghM68FafD+beeU2Y+sdvRlJw3xgsmuIN2IcLqDAff3
UjXYrCQcOUwwXS4469bke45aI75YuZOt8X0b+JuIFroutPFn0jnuV7NwcszekwsMOp02QDziZdyR
9UyNN2GxCzOcvK02kEw7KnayOI13cdmlC8ZzOj8vX9vDyKkCvJA1kXhK064upxVpPo9ail8xb6Bm
sssvaNwgFvOYPiZG+aysGOymxO+Dm9ipSBWjMt4Sk5A9FklWXDZTau6VwtlLPZ/hm2ccl5Ruq+2s
uteyHcclqf0cmxSSQE9evMEk/6nRqpxJE2ZXTjH9wtQi/wsumeaSj2J6S6kYvwyGVXyJq6T6Wrbl
4GxLjTChReQzsSLozfbtRZJQ0gitye+EZfT58s27kihJIlGr+vjQme3PoHfxdtLeuUQhkl9YVLbf
8xLpxeg7MNe05HoqOhQ9taWl2wYUxRK3YHGJTKEPweqUzTXu7uA6phhaxCKNawapdgUIQsItUbF5
z/v/A4EheVd807xFS/wRLtpmOnhF3d4mOk0GAXTuaVC1xYeLdFojz/y7GsnWq0VCgkBb9E2Mw8PU
wvnYOPhxVkybjW1cTezspWYtedXSB9jZJEbCDVH3tp7W2dKX4B3CVt9MXdfiGyKnQ3MLsQ1D6Vya
icR8k6iW8FdUILs4NoNXrEno9NkJF4yqSDwMBueRow7fE8g13/zM0Vdl4D2LQfQXemmYW/4tJjC1
qnkQkfjhpK666UjveA0mv9t0CVAEntsYX3ne1G87RUiFR5L6lsTHQdFf4aEgUnp2ulA8Rl1BfGE7
55ODYl30OTXVGEpvY2v2trFC85YzyBMbcnIzlJM8VBX+0aZv5LpMc/+lmAcYqerdnYY+6noOmSDp
SeMUYyqq26G26ex3fX6fE1NIhavdZVnW7Bt3zO78SJO3TqUHxE5K89oIO+uXEeT5soj7cq3aKDj4
edje5PYQXsLqtR9ECfICEeTka+1fcU5GYZjQvGe7XXelRQ5cM+ioEVu5Qy3TLgs4wtuxs9KHhh13
0Q4kk3lep29V2j4GLUT1wdElcqUC8HevvoVe7uziIOSLRSF4YCPVdpnldZeUcg4RKciT6qBKqH+L
/FfbxF0E57Z8tYBC/VW7TYs7PMCM8VrocazTqW/9CwbI8YpuCfOcoDYfW1MbxqXmIf29jlIVmMsi
r6phYamitDdVPkwczUKF7XpU6WOeeTm6sdHbhtFMeaOF9Qge5+cwAJ/RCQjGp2ypgz713x2bU4Od
mtmSoopDUoXTfDKwVWaRZ5COaOw0pCgH3n/7q5PJpwzSAuTzIthRFaYr2h3fazPC4auPPvZ3vq9j
3+/aQb44HEGQWlzaSr+jhpJ0zmgTaa1rfBde2l+IwrbWsrJopCS5ugl8A12B5v8K0cPfErRt3tWD
96sahPYU8Op9MREohiu7Lip8k2rwIfEbzkLL7WJLykGLvqDKV+RpdwtsM9kZ0fHHLihgV8eWHtpb
42PIgyThMO80F82GmFV7Gs24qCxYk9WW83j2R2rquec6Xw0Lhu5Cp8VR8b557Az2QJ3kqN1YBJh3
4WcxY2ZomwZluvq8wzv3of+fNvPvS+FbQppgm7bN1vf+UnotS9qPBjcWusHjEAs+GXFnXOnN2XCO
98r4f1+KeTZGEY8rHvWr8QjpY2pxqVzl7WWSIl+UitAan8W7qIIh2xYdi+vP7880LMOiD2djFDi6
qB35JKkXUb1Di2gvTBglC6lo2XEmFYvPL/Veg//3/fFCM8JwMKgIefQoEzb/qSw1tcvG0EKJxnSe
zc2N94lJRzOl/XFbjgYdxHQKr9p0GM5cf14Vxz8lYgHmN5KMLvMYzzkGogz1JKh3bqbRgGfMuZBV
/+Xzm5xv4vgilsnCRA/NrOg4/2sw+Fw0nql2TUPr1ulDqojAsfzr1NSn3TQy5exab1gXiiL580uf
Wj+WKW1TR/o5m4DeL1WMd4MRmJaamyQjbBK7Ceir0Ah2ND2tFjAYbKwNjb/+/LKnXn1sHNTm/LIm
VOj3l7VqTxZOxGWdKiZyKeu+IMWddoFk1XpEDfwXC9ZijwF56grXOLbBBKrSDTgRXI4J9GNlVlsO
/8R8+o5+Zpf5AFuctxkMmCYCd5uN5lhu7k3TP7+lnNr+e/22Nke//TE0rE0NSREcPTgI0p30l9Cf
m0lkI/0XixYPKi4nYSFK+vDSOFYzwYhDAOEE4s4mifWqDNhiP/8NT+1y/ITz+Ar1nXlMXRawCluR
sfW87QIIuxlFeOOwMERcnvn9Tr2FYnZOEbNgMWKc/yq/Df6Soc1nkyQbal+RCNwX36RbnHGmnbvG
0aYW2Y0p+VCrnWE2V5NUW+Fmd58/sZOLg/WHc4+laGOCe38fnhe7vTIbtSupXa+CVjcPZoE6Zur6
6GuoscOArtBvAsWYhfRMfQ/Y9dyO9vHVwwNnM0Lh/fNoXczP4bdnKZByWLO/ZhegCkTr18hlbyTV
ZarFECFKL199ftMfnyvXI7TGo46C0X387lUcq9yxtFAY4n0hdmu8c0LDOVNKfFyLFjN027Bp7eKz
Pg79QDnaTCpJq13UkE9Rl8QQwJq7dGJmGZ/fzokrcRMunhIiU0njOVomXh1F0zi6xY6tDZqFVl9Y
o/NYqvjp8+uc+JnInsJizm/FziXmjfu3n0mWWWJ5yil2U6SvVfqiEX8VJ/kM4jgTw2N+/MZa7y51
9I2lRyVnoh8Iyc6jcZ+LYJH1Dil5g9eB6uzy6ctoU4/h0vPVqhJ093UFq0ByZCUpwmzWMdPfLabA
mgEdDnEGR4BAbDcuD401ACDrw+nKR8R8T8KcBUSIaRHnqobMvyZuDk6XDtd90dLBHuE5L2mzEZUt
o+nMjc6m3aPvLF9w5noowHDPEpz2/pkSGKZZXt7yTOuwefayXL82Ovd+lDJ6yabWOaChZn6aQqhA
JLlxkpGeySD3El5kZDOZNaoyATL1JfM5GDUyBP+W3Ze9S8AbjSUSkqp1nfT0GyPLATsaW/B5+gJ2
R2c6By3WiMwQhUAcNfWrpoHdynXiFS085zIRaBnihPjbgf165QU90RvBsBLcocfTMgkf9qZaf3Vm
4McfrzX0WgYKDr5ZlPxHa80nfIbqY+S5xFp92RkeiuUuH3ZBrICnDb7V7z6/4MeCxwKhgKlZQI+a
0wje/xCw6rquL7Ni57kNVs6oyNYVsbyX0iqbre8GzWVI6/URL+K5wJ4Try/VnC4xOqNZAePw/soE
wHRa2Mp8R5tr/NqRKPmtYt7zCMA8/vnHN4nAg92IXgf/OS4dmYty3hxJBiKjiqkIoD9Fu7aFJoTd
ZI8ALHKXNQP2EUEoTfvPL37iPmfLLIZpWCgeOpP39+kQ00PbKSfEjoDNbdXnj8HMAEf8rv64DMBz
yPvkoDAinOrY10wPqA4ACqc7UJTPI7meK9NFGq1Sy/rjZUq5gWAKYRSnjw8c8bIuCmL12hRdQduv
Jknj1Ypv+t6WGxpPP/70AQo8cMis8U4zRT7+bAVRWuYirbgt7GY7rRzzghkiM506tZJzSQcfN3su
RmlDaWAz0D7+fFVoQ0KJGHA3aeIxtLRnsKU/4sF6BBRzpgaZ3+X3Zw0uxbFUcmt8Xo5NxbiAopEc
3GQHrnZt0Sv1CjtdOGk3LaaZ8pia56rR01ckFwYZ2/zSHX9eROm4gKqTXWV0B7SyLwVaYkslFZ4L
mS7C1jxj6P249oVO4Q1rnKqDKx694zYpHFCZnWSnte1hTLudEMlNJPUzl/lY2MyX4WiIYZrq47ih
gJKbwCn+1btOM2dQOJHx5cAX8fN1+HGr5CroRg12ZnyFx75eyIlDjuci2SmLjhadHlhD7S8nl3dx
1TBQd6elhcnp84secQPmYzdXZePAck8a1QcOvp9NkOFCmgmePdIFT9FiL/MyAT/mMaWfMOEtMA6D
nwOkitvRmTysa7XubJuhCvZQUNJNT1k0jXZ1D6AJ6nxZUhzMZUE1w+mQxckvngn8H1KsfeZvf/KH
IRCCFYc7BxDO+70PSUKYMtlId3Sn83U8evFBG+hzfv6MTq4ydJW0lIAKfSg5M1HxGQmKdJc3Dtn0
RbfTE4TNTnOuajnxwsIeoLZlH5KcYd/fje2kFvG3ORvRUFoIWfxwP0h92Hx+N6d2IEkJ4JLGJGl2
fHhmujkErZYgHoJ02Dl8pgDDwlqr01c4bn9eRXNmRCbKJ2POzjk+oeJokCRL84qOif9jfnYqkneZ
8p8/v6tTL4/L2+4gyeVgcJw8MdRJbkwFL08a2e5tMhqM2Hz7B8OWYqMC2/3epySv0C38B5Xz/5tI
9Pb+oIgFu8HH9+Ohh9apHlqiS/AimjdNrkHWCzZl/ISB4oHt+syH8dSC59hjsthn9NTx0wSSj4QU
pPWuDMpkm0nbuetNaL2fP8wjxMDfmwIP0TH5HFnInI/2Va/F8mTTct+5ba8/RaFebDQUxws/trqU
2ZzTf4kNt1i2RdPdVGOeXNupY23BRFnrCbgpg+W4XBkV7HG4fegx2jY+d7o1Tn1tXGdm4+j86tQ/
718X5de63WcZX5tBMCZoqhej8YolqrJ6HznuczvQnXDKkCFGbkVPSd/Ve98rvoUoOiY5U3n7TOzp
InkLOWrlwgu5j88f5Il3jZk2JajjWDDnjz+IqcPfIRoot/t8+lFORrPRS8SUfop+ZXz5/FonHofx
pjG250YtVff7x2GSSqAL/II7Iqh/6DQcVpmtv9Rjmu8cj5BAWuXNmQrjxEtnGEzsqGj4Yn0osTuV
joSAF9xebH8No4CUBuiWzDHwL+ARrL5Uqq9WqDG63Z/fq2HQxaQjRYF4vFMKzUNu6NbFjrPaNexX
RVc6vaMbH0A8Dp6wWARnat9TvyQlG20A0+D0exyUxbsCHFhUxU7TA0xTRocqIbeaux5D3S6THKQ/
v8MT3xxukBoKLgz92rc39LemAImVIowKHu3QBUwuhMIRVhXVykIR+99cyptZdZKCkRin9wundETU
ZDlHNMMr8lvsY1B8nUZeRK1hnNm+Tq1RgBksT8G28qH93SGJyyc6A7s6ax9Je/hp29VjWvP7RUF1
50KQ+OPDERsYpgtgQqZJhTiv4N8eozEwazPriRxlc0Lj5/T3qlWrkj7AmQud2JhpqcMLhGZDppg3
/56/XaicoLjqPkfANLCfg2HYulP1eGZJWPw7jgr6d9c43pW1OInFHECLoN9YiCgqD7Vd2/dmCxXD
T2HTRQGGOLtX5Wr23n4peuUgFmJW27oqofnXoobMIya9YkABZxnGugfKu4usRh0mIcI70wuGZT5C
7vRLPd9mEA9wmrvjEhmsvw9tlyGFjmHONuaUm5jx/f3kZYitcoOchSKr1VbvKt/jADUEN3GqUx0W
MzQ8idRNCNhpa6h63KeAhK87K8yuOk11Owgnj5js6iVPONlk9IrUIkQouEOcmC2KfirXfhvaiIWT
/rIQVkT6TdxuPn+8p9YmX3HHYJ1Yc3rl+1+QSIyqGSVrE5nwSzU0L1iAb4SlbaysALbcF//Fa0fN
TbFH+/4j88kOx7yyAmK3myqce07XvZns+yY/U7x+bPnNSZgMtqhNaNN5R7dFEEVoqcHLd4jI78oy
UmgG3e9V8oUh9BWClGVrm98ClZ85Mlmnr0uXlifK4fq4IPNK4pHK3qYnUozT13DQcQkpod1hdNHT
NZoZzjiVncGpT7pqlWIQZrids5FXZrcHM7Kw417bW3qrbYxG5EsfYSgLrtwy72SC7cWvttFxUMep
uSSqJFh5jSHpvTjTCrjAg5nAd3cnu1pAxBWwQiawrTF/HyIByp94PuA8uum0JQ+r2uDo4v/HOLoM
IUCuHZj2T5Vln/spTu3pkmBS+Ci0GSxjfmS/7RGRXttZnpBXTbDUyHRpMfb6NjGa7szKOrUX/Xad
48KoK7ssLYhD2rl2quN4ly2QmnD9+ety6oMIqI3Tqsm87QOVSK/Mkoh6RWp8W7jLcUbZ6uZzkYRo
6uvxjOns5MXoV3Jm8XC3HZe9UrEZ5SnvihbKjJPotCUFZoMCFC11cw7fd2ojkLT9+Vpg2ftQ/Kaw
XWSMimqnYnVn1o5ckqDxXKTqZxOhWQjlmSdpnFoX88ybAywSAtiB79fFVJcpz5c6LR5SUiYm0zi4
k+r3Jr148BjgK0RZQQIvPes+0v1wNwaYGoIiyq/cwE02XiHGLw6WIOwZfkCU0ee/9Mm/HhsibST6
t97xxtgPfq0lIWVOX5U/LS94Cs3uIbXQkfwX13FcToocf2fL3PvHUHfaCGtBkokNOYVuTvOSj1q/
Klp15kN6qmydI09pscz/5Ry9h1bv4eBAe7lr8IyENRLXPr9ThX2IXeMmLarHLPXONCpOLeDfLnlc
sMaTSNHo6dlO64dt0BY/PZEibpcHVXRnzhzWqfU7BzTTiwZ/RC/p/XNseleU0+BkbDPm+K0Jy19k
xcklESnukvZtsJy58cuMHXkdVbPXQDNmZaZC9EfkzbOgqfLsV6QdtSaOBVxt+IzCRj0Ek0csbJ6m
y8yv3c3g9O6Ta7NrEnRUI5jS6mE1JXNrszB/6b2JnQVO/lDq3+KivUaKU64bSr7I7fpFNlrRus1G
86FEdM3H3rTPrKZTT8Gbnbq0OFi3xwPYNC3rOsefsJtA/k7NZCwaXTzbpX1Bz/S5icb+zAVP/cSz
MwuhjEOz9fixlzEgNWg/2S6qYNF3ZavKzRu13gIeRfL8rEn//IV5004cFYQoZkxukNeFY+bRLx1o
Y8qUNM12MpvgMvetfBCh0S1za7QvwiJNn8jJgk8vUE6+2QXcEER/1k6EFiHp22o9kWtnHsOJ506x
MVugiRrnOHFUcXtydMnHsNJdAvBgHapRXuUhZeMYF/VzDINkhy7y9cyD+DjuE6gS6PrMuzb4BfP9
koeoMJV+xxtdTz5SVisQGwSp1qb2IYmQxWstWCkoJ23i8QIVLkdmMjgvxLmIWuvEXjn7wpFjzJhJ
cdze15FGyKyJMnzLscVoZPY1RBaRCGirc/uCJ+Psmxg1MhYrAFMpTWRDy5ijkjPR3fZWr2/G0SeG
QMy5482kf6Uszrdhz5LCMZVsEPXZWyT5P0fE2GzZ3VrIOFyjFRYrpeUz1a9y1kPYOis3uDCLxHpI
rHy44bXFhDbyIjyHbusdUt35Sycs6szB/NT9MwHDg+7ME/rjxhHttjitG4v7T5PhgfhKtKhyiJ4j
Qws3n//opy6F8BqtAW50PhtHX02GTuRUz58lwinDVVm5s5tvKBOgm2nw/Pm13n634zdt7v5CKKfL
iIzx/QLLNZm2EGo4HHSEtCwaBsaYvSZhbP2y6MjeTI0Lo9D922Yw+2vT1II7s9HIs7DSclvmxHy8
/YX+B99wBt9gCsZZv/12q5fm5X/9zJuoGa9fsp//53/fqJ/Bezj3P//Ib3BuAbQRnL/HgYhO6n/4
DfSS/mWTsMwQF34CVSZ1wb8BDvJfb/vszDxwdFjcLMZ/E7qNGevP/vsf5v+fABwQ5LGSfltpzGLo
ZTL2ZDhoER18/BlJ6pZDbutF0HbBlnpL3vGhWiiAljfYJYS4E7JiUytSnUxN32fR2ou+i+Qy8bui
JyCGs225cMAJL+omShrrPiSPJx2ebbfTEn0pE4VtsctpWE+53t+SkKb/wDLS0znAkMakWhkh6CKz
NQoCsIqQ7N4Oe4MgdC2s4kMW58YvK8iJOvLqyn3VTMgug8QI7gCVZToSTMuBOcm9zUx8S4rMtLK8
VL9JkqiYv0yybRfAn7JkMaWlsheTJTSKV+3VHWRIy1KLSRjznGt0/6SXIzG/hEgc7Z3Obr/1MQm1
Qi+9OaNMhvfKcZMQ2Msw3nbIyr1VafaZWlsldwySZgI2VFdpuUJ5H15UfrIJuihYNoxaX6O+a77U
nQzja9scNFwfpXMTYeIj5SkawmiZYttfYu8OCVL0kMdwvKFoeHBsvJYrfonxqz8W+ULTUc4sxsEP
Hhgf0vioi9FP+MCE3T6SfnhBY2j4Sq/GsLdSDPqbsX7tSXb1pW7EmbGh1YZVB4lk+TyqgeN5UMUc
XR2E5VqdY04Ah4moPvMn98ZNepzrVipYEjEeMVh9Q1hPq9iua7WSqTP+1bSEPt1yJ6a+NJMuG1Ze
Gg6rSG+BWeqQqjItDn85KuXjjG9pV0ei3fSBJVcEprartgidu2oSA0BMWqkrE+znXSIzdRgLUldx
jxt3mu3167wjzc0X5GjNNiP5Y0YbrQZemms6qBPwtL/ZowFGOwOFvVZeijc8qf43q5TzeQ+51LPB
57lrHgSpnlkX5uWtSKqw2E95BGdVt+DeYoxxI6kWbVaLy95n0ANbLef0BtnUEJaA+MTTu2uJ3woR
33fOQ1bmKP8dIKglgUTg2hZg/vQVRikaZeoNJWsNw+x3IVq1OMTwM8D3lQGBOZUzAjJIHSznKWYJ
7bIDSVovfXcormvNjS67mXIr/bx/Mf/m384o3LHMs3E/vHFy68KkjQGHV+eghmsV6Ysu8N41ZEUa
y/4NvaurzNnkQRTdMh0wYLoR6xQvCuXjXSflwgHWVY4R+EQqZ1BkYJ26y4kMwWplasJaFiG/5opj
fmcs9TdaUPxGDsKRPicn4+B3rjBm9tfpDBxCZNWuwoBeEytOYMOLZ0BRqjnRtQZSGOfKG8ZoHk2r
VTbTjcyZc0RedxUchF7fT0MTY15tte/aGzSpfgMouXY82tdNYdXThhZW1myCdiy+DoBasenNZKYJ
CEexFX6piHPSxQxbo0JpduxE44OoCATeU0zNhNA0NSXZnyG4Qif2ofwVpfqFWvaLjTnq0orsGnJa
ggdz1yd4yvbKH6HSlppxYUFkRpMVm3eEx/I++gKa5Tp+64O29Jww7cfbabDcQ4wsOMFkqA3D5WDA
A3MsmtErrpRsXdeHh2IEMNQifqsCpMEUr0wSdO/Qg+jdxmqJbZRebF4UEv6d5QKxWmtRiXNYhIPx
WE4iWulWavI7JyKIX1XlxC+x3mhfYGd2f9X60Km1KoTgXRMDlqaYdN3MkFqzV6AbloSx4aWSYR2o
C/6AYHzJMS1dEFdHRO8CEXEWHsgwsbGagL21iR2Lx1R0q6FFnGbWUgcfJ1VgzYnkHcJ5ZdG1bLIe
JyqAtlZcFTn2MswdfvpogLh76vrpWbCEMePWMyjQy3VzJ4He3kk7MlZB44+rxgyrPdMjMhVzSMnr
VLPR/hZDP9znfi2uSW9rgRgrJzOuelVgsm4mGW/dqrC+Vs3wlUY4HrAGgZ+xMiI/dZdQUpp60Xbx
0F5lM/luGo36PosLODTwSofgzhg6n7huzGXjBNwCsItjx5BJ/cA/VDW7xrWA6ft3Mfk/9dS5eor2
M4el/6CZPtRTV1HNnq2i34lYTMDmf+ifisolvYToBAZjTBDnwugfHJZn/wsaFYfTdyQs/V+SuZbU
0VEwM6SS+k8hZUlSUNAp0VI0iEhiuv0nhRSKqqNCyqODxLiEw4FrMR/Wj0p2hcyvaqsgBG4wV1Bp
GsiuWWBLBQxUStH9pQeZc63ZdnFP7Hx+PXHGWlRupuNW99p4bTgzVQZ4wbhWuLBvQhdSJB7VnKA0
R20HL7IOTd4SZAoiuVrZ7uBai8KHAL7w+UxvYKGEF13aF5d6QDm6KMz0sgxVcutAvN1muhdufcd3
gBalAqhHpmHJahO5naJQ7RPmZ1dtTfDuhIJVWwI5YCaS9a55MbJXPkctBuClk5nxEsxgsLTCtsME
bJKZmRf+PZ1ZCpmIZtO+nfkbU/HiJCni1YRM6IUa3GbNHwjWfSeHDWRTedP7gxsAyKVUA9hd6Htj
9MUuwTn4vS9U9cspI+/GinN3X+Df/hkMpl+BIi2N2wjbKo5FS90L3s5DnFBAL0YwktmSqNyfIC71
JSigCWAt2nBwYYG8DvQ8uMBsq33PJWrQhVEW5rU2Vfl+jKqvHV+e+7jnk5CEbvclLJsGsHszZItU
m9Sr8ElVV1qSeMwuBDHbMiAVfcq9adG6+T7VEydamIR/Mq/yEmdpQid4qcahb5em6J9pI5g86Tx9
hUDf7LwpajDIR9H3iayGy0hXN9oU2IdENeVBYdu4KP2UwtV2QCUMbm2uIG6N4UIfW1PxowbJV4gc
FZWyqlr+bbTBNmZtpRejAUNGFZnkRgcvpgHktxAEbQ0wkh5uh4qNuMhF+Jw0UchwLi/REI9DURBu
bEPHAMmPkTskqpK5HgsQtJBor1qBNBjdhW4lgExgk4ZzoAxAJb3GqUtKYQopjE+BN/S/oths1RJi
aM4ALq0ZdhB4cBtJe1iIanQuA0VxbpNZgGnUza5KWAWXJlPBkaTeXmhABEZnpHQqgyffmUy58NpA
vFZDLxBLl7aco6f4UyVtTZpsgbPqwN+sChf465TZ3l3gj1g6UYCXIe7WcOxWUtn4L73ue+5YyV5X
8CeBFGjhqqvbcSvycLjAVYORN/aa/ItXxP5XLSPH7+Dj5InXfIiMH1Wv1+0i1Pv2vpvI3F13Y2L8
1Xipny+DvGpJjskrcnbBPcJdMl4SZalu2Y3NeF/3eHZ3wkoYlSrXQz5gjvXCy6wBR1sThmBbfcN6
sjqd44IeitdWVtQQFE3kJMLRQGcW5O63mEPiFRyA/8vemSzHjWTp+lWu3T3SMA+Lu4k5gsEgGaIo
khsYNQGO2TG64+n7A5V1OyV1Z1rta1ELVYoCATjcz/nPP2jzqCJGl/OY1wS7Z0FckmJajAWy4a7e
hWlVvnlJGn3E4P2zgX/rxm9a5xbBt/7mNa2WrAmrrrbYiFbPWTJ0FpLerMfsqKjalz5guoL/f9ag
DcEZtTTGocTvwovOqa36TdO3D1YHCAUHne+5NZH8akZs27Bo5nUJW2M1jwu5y20ERUo0bGc4Mif8
f4KTZ3akkTlpFvIc3GxfDwPbWou+AZEsDJWxcMXVHpEi18LM1caIcBLdukFrvhB5EOFEzI462mZD
HkVVimwf9E2xmJjKS+7iT47u2emvWJK6PNigzD7lIpOYeVi9A513jocj5sQVNqHG1LyOlNwYDxsg
zjj8JPEKoWN353at8aX2Ajw+8MsY7zHtN9hc5jRa1UYWtSumKSOsJMyP/ElP32SRTi/araxbpxNx
ucVmPCT12dPYMESxI+9SHcXUf3aDQUM6Mcy2jcleW2bzIcm7hpyACCcuvwUZL3K58avg5GJvtBkZ
PGEmTMTemIj4mOVsm7Xlyr0yy8ek8oZ9107xipwQXLe6VjBxN3JdraN+9LfSVPPX2cExdztavmSY
M5SkL6ejjb8n1oyYQxfjcAP72If6AMmjEZ9mI2EUpAP8us1nSlY/t1dp61h9/zzg15LdxSrG/yHK
/Dsrm+LdbBXt1S8L80osVHLPtqj29MXzcUymJ8+tqqsEtr4OVhfbKwIf4qep9fEDMdoQW+ugmk6p
TvKncDGfXXUgwlfcZqp7c1DlPXCI3HUJkd1ACe4lSspuXY+zvc28lsLS4shbq1KLy2BHw06GaPw2
TleWlwyLq+fBzxnekl/Bg8EHkU89gnIMAcA/S4tfn77CvsX0JoZwMvfxBxw1/CPOAhMicSOUOA3H
6TdnNvRdZSQDplCGrDFE0PElqpvmw8waJ4y5ML80Qs5HbJ+8PS4UOCjGcn7NmWPA85KYYSZWoXeZ
izmCsnpkLj20tLz32I8GYc03wKy4AghYYeWU3ctiaFceCQ53cV10LptsHl+nOT7WfmbfYquc4Ac0
uwHf2lDfJ7Se++V5PiK7J/Q1m1GVuUaAW0FrgHmMo7O17QnLu2hOv8a9Kw5CGRM9s1TER3tmr096
DvSDnbfTPtJRdBytoXtq47q8Hy1vPPA9EYSIlAXblyaISl4RKMYKZZK56YmlndaDE8mHCRdJ3Acy
BzcosNlt6gnssGThkh5exrf4G6tjx8EoyGLBWj8Kv5i1iL5YnWNjf4BdwLMYivTVpL8+drXR7Csn
NUIcN9hqWH4ph7RbEIq6KMB2Yszye6h002sTBBNpuZb/YtcCAyWNs1KfLpsmQzZb7Gc4+/O2bW27
/lDp6FnY2MtsR0xEmhsIF8PSv4bEuY/lFL0II84/eBaw0r3fdoiOUUFLY4WbSu6ty8yS5hm6t+Ac
i6zKlCvdp2IJP4l48rU96w+tTDbQlnFTc1I/2IETBeu0wtJxnSXTw2zZdXbTE3hXHobeSJ89RLDi
zfb5xNca7ydv204kpZPC6Cs5+7eWRfuCtUeSg56cWLI2wdjBWPkk58p4fqH2VZ/y3Ki+ZKOyn6J+
CB4tmeBfJMWjrAK9LR2JN7bs4CEOY4k7pLr6xfzCBoiDXfqW9f5LMEzDZ2I0qCDcFtpa5w0vQYT2
2Q/C4l5axRYDBOPMy8GurMWRpsp7+d2ZvRFD9UYufmfSwXhCDKI4tLXuHxwPge+aTJtUrpo2SpLH
0B/abQkF6iGdqXeQAk5eaaz+A0m/A8v/1ELBqmQI9jct1Furi7fq608t1I8f+rOFCkiNBUFe2Pcw
nOCrAQr/y1Q4+oOBOFJY1CIL9Zz+6k9M2on+CGBEkHflLmwSmqn/bqWCPxhvw/iB/+u+I9b/Tiv1
CyLN5WFtL3J1OIIwV34dtFQmHrHECOHFm1jevIpHtzojMdIfS1p14Ervn5x5l8nNXyDw5YKkXZFw
a9Mq/E5y7tEg9Mbs64NSMDBMY8Ruzp/+KXNvmfL/chV2wsVOgdBN2IG/DE97xCOj9FJ10D0GXJOt
5ENeUymKwG22pjEVK4uTfePKzFgKR/XxL2vg/seFfvJRjn4dWi48B2ZJqHNDm3v+lZnFYU4wtw76
Q134hdoppJM7EjNx50S7d1Z22pImg03OHmue0lo1sRNTtjaC4X1nOt6HGpUs7uRxqOFxsROuEguX
rHCe8h27GX8XQzJiDhyapiW3BL9KzC27BdUOtf4O2S2/OlmYb2Ycsg6piy1nHPjyRPchnzG41Pt4
LOktmsTSkPAk47YVHOD5YEoALyYrzaWd0EHgvovJn4N98eR3zRt5IcLEemjU39OOOxqrYnwqhkrv
SfGtzrGFiy5mcSFQKEDpOY1NGNlCNy9WYvKDkyJJpSNZnF7Uj6/RGJTUYF1DUAKPiviIBPDAAo91
XWdP9i63aQYddsqg4Y+6xk8/UHV652EWBFMwQveMsRmWT4FoH8A6yZ0aF98gquxw1fmIVWcs2+HG
lUuAmGhP+WDLh64knB2VqNr7bMBHifJ1azn9+JSZ5fgks9n/wNuxt4g07W1lk1kxcGJ80fXE9xAw
gBdTpT/ipVC/DCTJNSvJCPDgL47PwUSEutNX4M2WIQ5Spvr7hGXbR7PlRzQt0Scfz6BzrIgLwEbO
ehyKmcF5P1VnesPoXJbM1zcksrjZiogZo1z5w2ziilE0245WlUZytLe1tPNr41MsD1aCd4xdt1/c
mD8mOZr1NXkKc3IwaGdXlTvIL6rjcw6NXu99yoBjTZV80QFpCGrIiKbpHDxHtqbfFccGuB4ynZdj
dWoQDmHF+TVBVb7zqcQvLprcdREl47fc1OYKsHehc5omm4ZVvwolxyfKhvk2kiP/lJPqfVMyTqWO
DM/RZDSXmIpp7RvSuzMSc8RlgHvx3QwMMUrL9YjDVbliSjB+s3Kh91rY7l3i8iZi9Mwrt2o0bZLj
EmfUDDzXPGnegiLy1go7oGzTK0NUuH3F8dU3Y/kFPdR8W02p/sjYiGwNHPE22IzkOyOv+q9m5luP
guh2sHPsxSyDZ9slvMdsWB71skSLSo3fdMvdz1hvJSs58yZcImv2NAP6e7uEexVJEJ+KLn+ZSN49
paIt75LwuzlEJhGXNLcpnK3SPqad94r/rXy28VF6SgB0ycYjPXZvY9S3cd3iFdhj/Na7QXNpiMk+
cv2RPDReFB6f/S6WbnPXlI57F/WTdzdoMhYr0TUvg+fXr/iosVoDHFtbO65fHcyNbjIsgj+oUIcN
XqEhZSP4+VsSMgOEscBUJ2qjfPN+c2HKR9DVnXFVDDr6jRLZfAtxuPvUwAy76ronPQd+cLG2egvj
UxKa1v5kikNf2wHWmLESe4w72y/w3ExeU5mThY0Psny2BN6TmNiScUIIrbz0DGRC+xO9mJX7L2Nd
Tf0X0Q7ui8AkLE8OozNXLsr/2SAG2wQCuNVyir0T86vBvWITSo9J+M5HC5/ade0P5DtankLJTjm3
Yx165qq3bdydCK5gaxqqy1BHNgFQWXQi++q+NzvjoTaLq+ENFxd8miY+8B7mFnqjFyjnQoX2gajE
S4nt1saEdnpI7Dk9lnb+sfNcazsU9BaDqz+LsBy27jh8zVO7PBpV8kVTkB3TGYlCZQ3NuS7HaVt4
REPA2eu/Ei0hyensbuhg4h0GGBYGsnm0sXSLVXfgJejqEnFxZ1ff0qKPet3ibOln4cnIQR9FISsQ
tiiWRyBWjDMM5a6x+PJWpcihyZZF8Z2ZRh/SEVcBPt8unbtbXXUViK1dGtFNhqH0LazxCRM1Plhc
SK0bobFOGaIwOc4wvde2NZpH5k3joQzwumx6J9zWk2GvG4d8+LFaXLdNtPO2UZo3kyeiw5BYHwh+
iXbw/bqzVUVOsbV59l+6Zpr8tQdTCjH9zDuEC9OPB9wlg51vTa+AmO156OxiXdnmgK0Aw0XqAkL+
vJg+WsfdF6eehj1hO5x5HODhDnPDEbgMr4Gs8uWVKbuFy2LeMfQdUoUuhMlyFKrX0BvxHHBydVOp
xe2qyPMXjLPqYO0rX+8jMYppjcgq3EReiOBxdB0qRAd5gmWHO3cgxvYI9dVmnsgmgj9v3tgdXRUW
s27RNTf0ilgx26Z9RMbXbZw05avqtkmCDLaCA0jbYnmnxm/Vx3lysnW72OmiizhMxYags/pktf78
1hSmBwG0nB+brKlxiO2ig5q96FgOsb4XuTNvxngAzikbd+3bBQZkfj6uiinJtx1D0Yegg/W8ZOcN
q6TFnNNsQnKMRmj/+NqvJs/RG0J5sufAT3BuNfW0c2ONUWA0GjuJsTbeDeVDYRmc5eQVHIVwlLNC
zL9JjCR6wvjd2heCFe87dXoMRxVvoylmygQZldSnybiWvQovlpxpcMMW10XXi7Deln5bfiOe7IIj
TnCOQAD8tTtNbbIq4ESgG03z26abrSOYIeaDIvXbm2KOnZchC7S7CrwJxwhiWbqbBbUgX83KzG8N
5nbFxkUqqzZL8t1xljJaN6XR7ger8F6mYhACbqLIzm6fdF9KJ/PNW6tzCUJdWSSgei/Y05mYeOUd
ro51hTDSUETrBKk3fq5Jblv3xbTUBY18wAWOUSCuCfUWy2hxY6jFSgKzzCxg+ZXpEUuX9hzJrnbX
rYLLuppqT+CZyYxxnYnau9N2LA4zs+7PdhMaDGwbnS/vxqR/p0TKModzCKkfQHFXnQnb9Nicm/5r
KOKpgb4Pq2tHhCoHTsMu/B1qV4ikxYivxI0u30BOmRDEZhMTFzdQEKWiXMu08e5mHJGvBtgJtyuc
dEfqbY7rJeKEdUmRxyzTV81n1QwILlL0f/jQcjrj1CFPP4ovKQhmwr+UHEQyJcINuUHcn1UuBEel
tb2lDPU/qFxSli0FI17Lo5tvstQujnDJq3OBGfGBmfK0Kcm7W/VtRvgisU7Yv6Zex+FOfJ5xrZJo
eBK2k9wBPeWbyvObSzK//xaRBLlanLZjKZdNeS719544i5WISEo9RlJa92yD1Ven8SFmGQx9OLVJ
cvUTNiJGlfw6iw3yPrWM4SkVJu/OkkYIG6Ns9T4pfX1DMDD3P4zTJlksCmuKrResD8p1p5fyF0Or
l6BXBQ7Z3AJcQ7TApdLf8b4RezXH9bbKRERI8ITJuvZikpQIKCvwMQOn+fsmwvqfeggLnSb9EgO1
36TJrR3ldbKE+SaGLU8Mn4qlHA6qtQSAwiR+Ke8dGW5GXsxrpwkfraaKhz303j81NNYvAzdamB+/
iRNgucLob+kj/yJvGIj8Khuk6gegjS5d44rl3QU+U+Okxw5duxSEacST7RNTkZeLE0jWeXjf9vVr
ElcszMqRp84Z9U01NRKw03XvRiYfHycq7h/z3v9VtfsbdXb5ZRd7MGRoCIZ/M7aDUJgHo+F0B0M4
5mrsKv+DbvjQ4OSkd8bAquMoYoFZIyse/3qMcDinTgQH1m9ZQ90c4A9/+/dv873l/LkldZDquEgO
Qhr332QOCU6WdgTd5ECEqyRCNiKgsAsHeSY6cdy37ZBu2JrnrXYcDp54oILKGprXIF0+U0TITM1c
ecLlh1Qboi2/NqIIHkI/wX+zJxskNtparmTv/ZNgGHrvb900fk/hYsWA8f6iZ/r55XuDgcuExrdL
4Ue61gEBcqQdR3pXa8XuJDALiVIn+D7aejyQ45DsSOZ7wzfoE3bxDvonyiXDm5LNgFnM7dja7su4
BMmJ2clvTLN0Xm3sBxTuZk013mCrHB5j38o3piuIHVB80CVbySGJyP8wrRQfU1VSrxZE0VJAzrtK
OfoGSeW0YUyHqGDZYWzyVK6EOvsfDC/Q38swMfE4rFxGX063JNe5PnXvVBfHYWADW8aiNNIhzFw3
yflLoMCskJaIBGxXl1pdVbN8qLASYU/B+XXjwj55jkqYvq4p4GY7ebO1VdxcclSf52yQ1KAWkEMy
puNTAvCP8Y9nF6+twyD4RNhjMJ5lPCU8JCESjqSuV1svyVNzPTROXGAp7GQDLtpkzRidu+GGKvup
jskQ6aQDVhj4c5Ecc0qaTTwv/0dMQR9vzA79wDoWeBCMSLUZKkNR6jC0dVTDaUxND0kqqzZxnHLH
SRXVW8UmTCyHopQPFIkMhqbIp502MdqjEelCt/tk4oa9xvbYW3eegWF7GTXYSLQ0bmHqNp91NuS7
VpDJN4xUV2Y+sSLnnoYirfzhqRfFa9DSP87Kal5IyXTEptVipKnk2UWLu+5pnhdatJca1zazCeHj
4HjInVHsYywGqnXo9cWx98L6jQDO+s3VFrWhXdj2is823zl92N7TiYZnLU38xCeafr+ouk+Qt7pP
CoPlo6nYjfqlt6vSqFiyNslWd+dCEfxcTMPOmpPySDgAXQsjzBW1U/BQOu3wZFpQE+3Krt88hkB7
POH0TWPRPW/aauYE6Gur+2RnAEoSRuKlDwTuwLHLbtLHVbhxwp7OKHZdPF5rRrLjoTMHYpaUxX/s
zVl+qSvFUynnYkVcRrfyhDsfkHbJk2wkqJyNxmOlouUITUmo3Xk6AAAqbfmMO0d4tgiXfSW/Jjon
VtOehA6qs88cYY8MRu9h/nhr5rbjE+oc2vtJi324IECIZ5pLmYMPBYI2GZ3M/D3kK523IpwJGfQZ
Uqig+dwPPe226SV3VuXisD6liKZc/tHKWArn5bdWJEtbqxBNM0QfpChn7UzF0Vo+VbXs72aeE/EK
WPLqScUMpy0zHKaRkWyHUYCMLM2rUCYNfKpc+QD7lTdTZ5Qi72dxUyWEOYL16Jscpm66FL3gOg6u
yQCr3B3cyJs5IXNEjaBr78sQ41YKCWbG5kENhr51ExAPp9Py4R3xqRyWD/Zoxdon2ICgaLpgsgzE
geFouS6Q3pyH2EczuMADRmLwGHAKCdYAjjz6BcibBaOIvAEQmtL0exvO+nbmc6vWSicUI9OSKBUm
oFdmo/KrbFDlMkDOoyUByGPIH6h7ORB6QNwCrziZzOKoCLpZISUjCDOZ+QTR+QHBxT5xtQkTjHUz
LCGzGUuQbBULmiYRRmvMYUlFykl1oeAxGaj66HyQIYAIkikhn+HgApR5/SS/4F5rwxPt9ccKN/ZV
bLfEcS7gCiZrbGt09PHpHamBTWeuQkoNkm9nwb9U2oA9cmaLcywu/47fvB+SKge7rerUPRqm8Y1k
+aVcDgxeX1FSLMkOze+PpSmALhsXaKiqrfjKbLQ6QwzJN7gmheew7+RzbYGhWd0SDomjRHWecDm6
G106rXVi9mzuBgHp2KjVryqh2GlNEiyngH22nlIeYerJ9otJtBVO0/lgYeFWAuXAdzv0Gd/0sp6Z
27EN46XV3RRdASIZiYCaN2/5cQ5RfbNMeh/TBfWmLllOARq0V1JdS/aJofs6yLh+S604uQuGBtio
XdYPDGYM8sEhC5/biRf06728DUmpJdCyyq/lNIIiwWHc+CiUH9/PBqsHAh7CJL0L2PLBnQBRmcm7
d0FieBwVE7mfkpHjrSQM/HFq9biOSqJ3/JpK2KUdXr+nHzc+kRli4EXiClscNczxM9Fn1Rnic3Es
l3cA9QErbXT4za6dSdgtJ4vdzE3GJz1RJjc5+JxZF/ajURLvG7OPPROY0rzg6hSfwC/89TskOPaA
liGpIyf44dMmU5SfHbtJw6AfeXgSKlZIrShOepqdkg97IQ6BgtYFHwU8y/q1sA0A6gnM2BExrUJP
4ezgw7uxAZe3HPYsnvdtVgU8DZAjfQOrMvlEV6/Js7fLpZ/oFChUSyZwC2jzkRnlfDCgiuj12I08
TJPtLR35jmDYc2r5Y0OP57DWDDO+qgm8zC5UKY7kk8vTBG3pLVi2SjzE7G2bO/kdvFby6HzhgXoR
OeVAZaXtAjLhm2xBp/EJ0re4CWF+JYPhW1DFas/cslhVFHjOWkQ0IU1RN59JMKHkkN1cHIlVpolp
RHpH7tTrOHo8tTkg8doOUz6VMecZ9HCbNtU4yWeqksxdDUoTsoCBPRoAe/DEZSInyWIgSDlR1zEV
pB71ZoQHe9YwAm5zG0j9/Y/vH6ZeuPwrwxraL97EmdpwqBzheap7wtL0rkwzsa+nmg9aUFUmgccm
g/wluXObANUfwbjzbePPdGRToMktzL8P7lz727SjgX0HioOueXUJXrtOSxWglaQla+x52AMkcMew
fYsMu/PQfWHumm7mZRLTA6hsBy/gYnk9hKc+7v+U3v+H7flPo0rH+nv1zOXb9H9e6jb/aVT544f+
Naq0/mCshDdfuOjYf3A7/3tUGTDQchcjmBAz9L/qZxhwYmuGVRu7F8fvou2FVtqn/+//uiYDzgjX
psWu3cPY3Pt3ZpWMQ5u/dlAhAh6qbgSIpoct8q+KSGsEmDHNpD6OIQX5Oq8S786BVnN5V2L+fbv2
61x0uRaGrWiIF6UfeoOfW56xM2EshlZ1DJwJxtuoyTyHi/GkeQJnEOdo+/fX+7W/5nqu6WLaicsP
MuxfNcStgdFmE5pcr7Tga08ms5NVpmbSnUnNOlb9Ek7vqNB6xFHV/gfN9G+yTg+Ha2SNVB4QDxA3
/nyz0jA7VXdtdZzbvv+KYpFw9cIaKeOsWV2Jn4ieYpzH/+GW/4dHDJbAhNQnzvZ3v5i+o0iZwoCS
m1nzPdE0/dcRvhknsWjVfWKScfv3z/i3C/oWi5TLsXqZof5qcZmZhgLNbaMDeeooBEL6FMzxom0Z
OsarE49/xjD/7zjEb8+V6F/afYIncGJDMfuLipEAUHNOYkUQK/nR+Qonl86+m2dJ3xVOLvNODUfp
EhZYDgbwHK9y9KqnqmmCicM9J/QjAe659tomzapFIzWumiYFaleRetZ2+A+rgGTiXz8wwB2Ecu8u
wvjq/EYGIL0sycp+OHgByBf1gO3FN11SwBNLaoCmUlJ1nqw61SRnY8EOeEIc3BXQmbhyM/X9k+hC
YsR1470lTtf6K2oI1hLktPqmnEProgTBPafRBNPeUuQTDG+bPAeZE3C2IROGA95ohY3DjD2Hu8ZT
1sVoA6PdDgHR7o2h1dXqybmLxZLYPrfo7j+HI3oa2KczeVBhLu3spnU8de+zS/ikSo55dAA2Nj4x
7Iziq2zRp6ExyaRToYnTRlKvmPJY1jdWqaIRt4TI1G3PdNJ9IK92OpN3U4g1tF308vASUS8sG0Gr
mVmt1Nipe2PiVI1y2YaMwyRTucwmWb41nSPueChg1MioEPe08d6Ej1+uIwppZHVmRty81Xpv7xnz
dVtYNnTzuHlx0l5dDWlYj14PxCtm4b15YAfVEZaVevHr3h7I6LNq3BtjT10Hl9TzDeGMSO8R6Epo
myJ+srM8J8U8nLy3YuA5Am3w3Frq2yHipc2hjJ7IlPXefMNXV4CpaCsdRgc7XYs+XEfK4JDuxlhd
f6zVNGMOt04dwWBO5Kr7WhDgLkD+uVlwH0wrumks5rWBeVB6wmNalMdcGrLsYRZE4bBlTJl+otyJ
nkJGXIx8mBSqbald1gm8K/ftR9WZNHz8oEvnSLfRU1MA/TD8FawMlTcG6Iyqb1p4ggWUuVrdw7Sg
sRspvcWar7t5gVcCMSKp81kyBGwX8UtK8z9Q8JDJ1Cz3OrmE1IdJTVzC8vxdEkUg4YeI5kiG20Qh
eVtrWUXm5f3v9DHk45JIXPaNOT0Y3OtDGvTjZkqiaDfIjgVM0mi48ft8ajC4IHf2xupGs6EknYZN
LlUYEQQdWK2z6pFXD6u+CM3s0kvKXvL/ytxWHxr0XQxK4loRN1QwNl3FsDhR/BTCMo+T1QcE0yEk
qNJTh/bT2GuoOwAO+AQwG2gq3F9TYmrw70yJ5Drbc6Rf6CSnr6Mmhxl6ZjeL+0kb9vSp4/Gn+66q
xn1np9W0ms0cJSIS0nVt5gJN4ujxnLtHYKh0qxZCfExC1o4BH6MGqY6TI91dE2bOBThmQPYzHWIi
A4iHrtWjXw71Om2IDPQpNC+ul/vrDq/4Z/gUEpNs7a96raw7w0/765TKLln18ei99m4euayvbqL7
jYS6GWkjD25YJ+UKw7sa8LueL2E7JF9lx7bplyI4VcyQLvjHRPFqYHrKFHIqeeHK6OoVXo1Lozz3
XyORUmB3xpCIDYubcXDcK4Se7tgB5QdB/ORUHcpPC1Fan+J0J1r5VllBdsHkynMPcnLYsvFgYtG1
5siS0rnXfU0t/kDRPKgrxxxr2SZaSRx8g/E8XEOx113fvHgYFz4RezKg50zC0lt546iQ3aXxk0qp
LRoXREx3uSpWpEy9qTpMnjLm+jcl3fEj4agZzgozH1akPecYm53YC1wSjmGzZE5FjEM2HKP1o++V
21kA7HXcRrKznDL0SC+azegTJjTWa9kaBmYZqTuER6dsZ2daW02ndk5rwXxkQu98npPR8zERy09F
1MRnOBvJPXhYekzC6BG1rHwq+vZNl+hHWYLWU1dGwyYbeE5oINjnvcYSJ+i79utgxGgbYW2bt000
BR+IhsmDjRino+cMxrhxJmmt+S4DwgjrNtxFlV3dqQFnSvpk+6lMyTGvVYfdzVjSbELvlVCvC3hM
q9KJq0sVGO7nwnL4+w0nVvvRSxmlfY7CSbQrKZu43s0hwbgrJByDu8673DiXhRh4dGXcrObeS56B
zhAJuFVINqNjbjJuaR8AoCHwtePupVYhtUgD4nh2JmGsc2vktcooarcC7jCbhVsk7QWnQn3UcK0u
htIcC2WdlRsEot1XswB1ILqN7Y2gVRaNHFgpHRO5TaIgnGAgQSe9SdLaumC6zF4qfZs9PYMp/DTa
/DZ+D6bXTbyadVFE7IOkvvM7BSH+JqJZNJdpXrEElZNAOSoaUW4SO2e/b8f2oNORfXAkBRKXDA88
K2oKY52FGFSuMg4TyGNBqO6JZuNb8gjk2Aeac7xuubATz+7brHG5AMJimwzSJbo4IE6RpQ9Sld5D
WSI3YWgmVLvDYKIW8ZhOtiDVXytSRpuV5bSsCHuWHiwdzkdSPNmnSywk240GE0DM0nsBFYOmRdn/
+LWsymuLvSS/EfWxYXB8BXCyb2TRtoeRvMf7npHRYxlO0daai0qfbHREFYpDXbrq1vIT+m+zjeqX
yZYNvbaH2HArEAyTLzzOXLJqAUdJL2iKjtPC790a2VGKFypz3NAkYRk0zfVPQ95ljKelpz/ERu29
+KnFxqpbJDRT0ypG4AWCTo4MK3mcghnsAVqJf3Zn3EnZFwPrQ1Eb5qkZUuN730qixoYpIlGFr9ja
CCOInojUZFmERctJLjE3e3RayfGUtMtgug1cAuASJZYnKmveeOHBY2QsEHocmC1bFTwV3ijDZF7T
ULLiio7XaFiSrqG3Z7M1SQNrDLEtQmaUT4St4k7Fc6K0/OA7whg+IA4riHUXU5qk4bXIMWLmqGoi
JgkcjVKLnSZ0NLE+ZiHVcrJXU++t8AVRVyAJbytMFyV8XJRiA6AD3Olrew/VhBoksFOTkMk2vTgg
7GthpHrL/+RGwRI4Fdnc3PL65ZXg0/SYj6nxrIxInIhvjpnVpRw9uMxAvYHioVVg7DDn8LgP6W8q
/LEYgUY3ru7itSydB8KLxcZpE8B7M7E27WyVKOCUPNbAVaukL6wrI5+4BuBFYpeNrVhZORVJ75f5
d0O43i4c6xhlV13CnJZjveELnNAJV98rhHFGoe8i5U5H1jWFwSBNGFiNeeeV6AtGYqt9MHnwZU9u
qY3jD8ofECNwiG4ymU5bxZDTNXv3VtlD9cDb5lyuVHHi5Cv3MKWMFRhQT/atv02i4nbA1m6FI5i+
M3WTfGwMf3hpa9u51CMa2jXzGApIJfdFVJDmNt47pXWl8mMOb5Ca7vlwpRxnRO0GXBtl0PSrYHLj
8IAc+ZsHNyO9MBNL8p3nORNuDFj1LV74xtisDU7gDi4A8dzsRyY7BOcVu2Gf1TeDtI2j72gJgygv
WKRlym6DZp8VOY8LOSDG2ay71/mUifVI2b35+7Zt6ZJ+avuhO9NwYJxhL5zaX9v+ebQzYFqnOTTe
e9E/KkYu7VL4/v11fut+oFvDjwTLoO3HLHVpH/8y4ibStx+yum8OBSIA1GJ4Hz5KhEqwW4j2uvHd
pXV53w7//rq/tf5cFwsr7KnpTH/37KYlL5ysVs1BZYX/1hslKWmdgjQ8MfolH7is9NX3U/ZiOS5V
7t9f/VemNBfHZoeumA+cX+JXL1o0R6Anlo/Nr0cc3GoOW/sxXHbdLOjY7XusqPFWbVrakqXyZsDN
5v7+K/wHsftHxA4U4i9v6zd99uXb+Pb17We87v1H/r/fjfuHyZpBVBD64PsmS/ZPvM5a+Af/Mrix
EV8vJBLfdmnwg8Wb8k+AzgG7Y+Ux2w8BnwD//H8HoCMc8edv1USFtlwGBItu2SYU8udvKO2xP6ja
xrkN4i5gvuB61EaWgRhqLhaPjlJyDDT1ybciaa1qS45bIJJuO+F0tqf/lxRM5mA/E/KbX2okqGg1
1ei4a7uRytsMratRcLrjc5+X7aZPNGOfRttqHY0hKcYNOUQbrGbobIZJW9eBUf9LNcbj3dxGMTGg
hM0Oq3xug3kl43baiZLghwCW3ppOEa+XAFXg3o/4FVdNmqkcBUTtZhtDM29wtQ5wO1dEWR/ADGci
PPPM/Axj+L/YO5PluJGsSz8R0uCYYdbWi5gZpDhJoiRuYMyUiHlyTA48/f95KLOLDFZTreptWS0q
02RKBCbH9XvP+Q5SoGLO8++tb7Q3aeyO5WqaSnVDMj27Gz4MnDt6Uw3VVWnuX9SzdBa8fYNq9t1s
8ad25zaWHgfNty1zrPkiJrwz25TlrIxjwA+sKZQX9OB1i3zkzgoI2AwpAO+XLB9v2mJaodkq+s2U
IHRYRyj099kk/UPJp6JdZ06NmDVVlGH4AvNqYzhS9c0HO7c+903T+0uzmdDq9+0hEi5VchlZse3v
AzLryU+SqbmY5JWWsjLpugbq2vaXEqZrTwrPhdOJeoDWErfMhTOPOK0qZ4J8whJ1TeF09v3IEAwD
qmYXBaROjuo6b0cnjKC0pTJcIYGUJXVTE8SrwXZsL167RpJFN5GYDQAmTNentdv1NlIMRqZ+f0V3
dqRybulI1wcEZyK6tGRSRJvW6Ub94DAUWlTmMrpVJCKu8tJj6nTs+2FoCItiNtLbciW7Dk5GiaDR
mjrxNY4Sy1q+qRQWqfzOvLQvy5WbL0sR/VR2/XfB+9WCx2aZFeM9N1XXPf2VDN2Pvu9erXs//+bf
654X/kE3FZSET6niCzOkZPhnTmH/4RJj6LosZriZXBst07+WQW2cIriPtqzOkeVD/M+cQvxh0e4n
xgJ51s+F9H//r1d93u7s31+5f14vgvynBSlKVCyC0TW/jnnIq0LCnj1020ZzCNLiOUGNtCerGhdx
AIXrxdW5/VkE/epIFi1tmkd4ct5grWkcV86CouYQWAvNP7N5bKparaYoGX5RJvBdOivCWNlp1ENA
92kMB/rPXxRHcW9ECwbFhpzLfFhHg3nTUZQCdF4efvuU0DpasD04nMmxXh9oBLYX1nJpDrREnvMi
f46M9Dnj//+Tw7h60MUdf3OPwHKB3nApuoB/h9swwP/U0axe5yr9Dy4dzypYQWK1mK6cV1gxCAWn
TjijEbjGlTJZLOHWB1eyyn5xUvrr+rpSFoH++AJtZtNMRurrawdVDJtPSA8ymVj02Ivcz7HSm7+H
ZvxlWf62bOVgNkUr+WtoLM8/9YZwa97NujmghkaHzLT7kAVthIE/fTIDBLWpQ/sS0sjvY/858ClB
1Ndc1PPXy5M1gj0E1gfUkfXHgbhuiBhG/kDwpf2L9+vt1oNDodpkVaBC561+fUGXIRtmUu0aIqha
qnKsXNvMMqOPv/8svjyKll++eLe0CXQ08B0djFC5fMjUA47p6ljJ/+zSvTifs5VpysukxrPHA1IM
jExU9rTUyJT+H14v8+2CAeSHeSJUxVDPNfWz+uKkAMm4QVk35aEZrXrTMICBadJQgSxOOW9Dqo2N
CCX0OMyxB5MNxyYrbOBbrVMdsW6S4TAhkdoGxBkBWqlIY9dK9xNADHCB2A1+/jwHjEZjqHAfGr8D
/tYsuuUUIoOFWyKA9ICKQIlo4eCz3YOv2vKOmYL1Jfet+sKNsugRytq8oVRzD0BQsFTMVbinVR5s
cl9RhnTzQM2FLhiRdYv8pe9JohryotrCeq0+wlRxjma4TH+1Eas8kyl+uyc4ChXX5RR0Y7ZO/CCp
t7NTUCnmCa1l+nlrAwrpUxlx0vnYN7s6jJsbvEb1pncxtCK9jKJsJYaCplFr9+HeixDvtCaGHbBH
wcaQDEJKk7NbKKhXJenxa/yTFh5PFhfIf9WWDeOwrlBz7mBE1/16ZER/dKAZ7Wkm15fC7ME9lygy
grA01n5hWl/iZHQvVSyyxzioiwdvQvTadnbzrfVK60vEuYOenGhWN6UzLPwmNv+rxG/Cfm3bM++6
8hz2zdSWxUM3Be4luqDyzjDS/jHi0lwmWdvceEP2bAru6ZB51pcySJ9VN0Ufe2+pLya9NCaMyDQG
CUmnRBGjaTcwDm+zlMEN1bNzwYrer3GvpvsxLmwKSi9FJkOD5ZjGtOFXDl3+69huwpvMi6tnzwjF
tagBIntDQUIAvRIMBafHvuhi57iYUXCVeFwyQACcJnOi9eIk87psm/hTsFicUuyn+WO4KD6x7VRv
IjfRHbd+rJd1vUiv2KcYmRrYL2MTwh+Jxq9J1MCQw1PVBYSL5rTwPESNV6StL1/YhLif6POVz5af
1EfOcd5WGMNWbNLag5OJ8KGm+fXJrmqeH1eabrqWdL5zBlnJWO9gd4RXkhQxmv8Wt6CPVO6ulNUw
yaS9YxDR44UPXSt57RxzMdajwydugdWIIKthk+MWU5M8EGcVs00KquwphOdNC573iHoa23EajsX+
NPqbZDh+XeSS78kb7sn7MKSV7rLGBvyw4C8GXtrFbKk8lYs/l7DpvlsL7xZANwZ8xeR2nynXm29x
5riXp/ZyiVbXpfNt2Ef88ik+Jd1bR/LgHN0kzh/b2KqOADcrNN6dtc5l9oxGKsRa7NlHfojYibic
2ZB1THQSHJbXMUyU7RAXIYgs7tBg8+kbbFa1JEAkyFwg+kjfb8g3SaOSH1UTuocq95D8eom3XDli
+Np087gnCAQaTTjwICxTUB0nJ33ucEqvWqPHJiWKfSjjH/0g/U3SqY9Va+GAHP8ckjk9luBVtkPU
eGAvAv8uGXgp8cOprSbAfBh7GW7jnPecBKdoZTV+/iUQzXJphmoH3rJAWKaaHkAJY4oVPqZ0ZfcF
DzWrorpNCobb1ZAB6KKoxEnEW58PBcqvsYEk2WXzdmHefSinftwL/d1tHM7bKrOnFKblTUB801Oh
uuDOHnsBqX1C8OhE9lENPFFE9EaPA221tVnMNTwcTh8eI69RyXyYyLOB8HNDFnIV005eJ04e3AlP
tmjeiyfXZaGUkvXDI/r2bkkV8j0p503kt+h1mfQEd1GdSwTKxN6vTpXWEEoamGbJ3GjOWMSsod54
E4cGMCgPyAd6nIhi+ishoKMBlbSKw87kCcaLLdPixm76epdMdsBNKJubrtV1dY26oBAND9PU0rZc
lYKJj8/VSaOQkYOHFvS06uKj/9bngfhhTqxWo35GXBOFTR716XXmqnjHXJQp3UQlsTKM3r3OYnfX
4QVZj7W01q69sCL2tVqPi1d/xvEc3iw+8zdl+hKIIbvUgTucIdpjYBHzNfg0NnG0DryqOkb06e+6
gbXHQGOxmUJeegiuXPOwHnZ2RphJXI3ptY3S5s9QDP0lalDq0XoADNsVByCQ7OkTkP5lGBsfepne
2Kk9fjWyrLuZVdJ/iLLlS2raEw5bnPIBY/y9swj3sITpguK9LW8aQ0a3Rf7Nb2W5wSP2XMc67b1P
P/M+P8jRjA8WGZ+wY8t23Zs2ETkzNk0+i/T/PTBXbg1OzOejp/nvF0aaFA9txcoLsDd8MEvUSakJ
7m29cEuZsunawnM6UPncgx17r0nTVzRdh8yXcS7UcEBi4sg9evyVhVp8WvVdmAHGAuhX6ylV0PKI
ZGG5BiAAHWWCIbUK8PuTOSRpAM1ju8gV6Lm0xKvV9iYO0qkFgVxan7vSKo9Ta5fH2u+ZxdcBjkq7
6MDgCrIJCpS6iry9y3myVAlhyGRq9sEr/QmNCIJ7IrnyLDH2TsoE8gjdyGb+bpXRGBxx/moYqTfY
vr2mFpcDNK5Q+s/dnCVQOMe8/NG4eIFFGvsXKvAbeAhzKLWY1DXRRCvW9TnQmPF1j+LqtvL8eCUz
ZwgJPUeCs+1hCTqYuwYBWKYT3WOQmzmmZ1V8nDKbSXHDsIsKAYwfDAd/Ho9VkeWbtDH/dILh0GQZ
OprZRnBOI2VnebxfLBzjnetmxgdhVwZ+eb9UfKutec97agE3zOhiDUXQH6yWwEgIdk954uZbf7Ly
raV96rXfiq9A7tX1wDca+0LMlKlyrMFYh4W9XPO6xn/FhY8pNRedgUpehZSWhnGRKtcMdj6AqRwH
Pcu3E1OdsFtiWqS1GO4GXZM85Jg2sJPM7rh/v8DW4MnXGyOoI6cme+jiCiMK+HUx2i1L7AydWRwQ
z7LeWNP4gYB509fQHVY5SsvrmcELrvyFuiIPZX3JC+9e9naJgVaEv9qovRk16N9DhwClFWzLN0Ir
P7Zi3gF+D9K3h8FE5pyzpk5++lQVw30085l7/wq82RmGOqbJ4kiCepx28dkFcEa3jFE7H0aG4zdV
NER8oJj2VqC+Lw1nri/eP97b2Bt9QB+ZJmQZ236jZ6z0INPxcuJOgxYiFqtEvUk78LUbeDMMOepw
m3cJ9aAbTLenz85ULwyCE2sSO5AExjrKC/epXtpxrzq+6+//Pt1nP38imPNYeqoEmufNprwhrNwI
nCE/JGXpHIexK59ru+WdmmDLmeUqdii2i6LgRUoy0V+PHrWmYLB90wgKbUgPT5Qy1TGwEP7MFjtP
IOPMmYt5cC8dC85JJTOJ6QBZVT/q2W6Pae8Q6xhvW7FxBbhXRh9tRKFPtkcgBMi7ZdwHhvDvwDvw
AYaCTPQaYrTH01exqswwgDCdW78K9RB6F/uqbcC9cqkoEfB66MjOta7xAECDr1d+6MmVW7laO9Mr
omQm2/napr5BPneDYhGj786VADeAev5uOG6oJaDoJFHZ2zymZ48n0WyTR1ZMegjZb+9dNHmXjTP9
ahl407HgKDQqyFNHY8v07mxLOqTDGHlVjULHoXj24NARhuz16xajLRTmvAZtimboGpPO+PX95816
e40pUTCABjrXEhXz2bEBzTmjLCbSnropjnAZYeM2IPw/lgOlcQezi0kz7PWHiglHHs7Mnht32tJh
d4Ha1+iK9HoLqA2EXWDjum0oJ51cHqi/8avhav/eRiLqL4yIoMyfzb//9qt/1a8WQhud3+lXp3+R
fPpUvWpV//xLf7eqA+sP+FOsudC9yKJxPT5Nf7eqQ8Tx4IxC16F5Rn/7paQ++INkUPhRHn5bJn76
Uf1Xq9oLkRW/0Oiftabfa1Wf5+zS2RI2IxXE34RivB16t8qASVJ04rLCm8VEf4zLVB2kS6MAf2jl
MXFK5rK+ynJhTJS8SJXx4ybgDbsQla+fjpUlgGVkujxyM2+ZyU51Cie7jK2W0TnyNN6ttupAXb24
0rdve9/6jXmxaqGm5gcHXFqThcNl2Xj9SQu6Ad2JXOQlughUwUllrF3KtKt59E28Mlog+v4B+TC/
OaRjMnRw8D/Q2OKavT6kkRZ2Ywx1fElX8qrufSNbFyPflj3JnQyjVlruekAUCIIBoVir1oMDNfeA
sgaWL7BY4PaRD+ILdqvPVYFdSB/F6tEzBxUKh21doXFKtAUN1ny/QNevmMPDFpbQYyq+EeAqkQ21
si2XtasGtELxVHGtDQ9JYYFhYUM8g/vUV43WkbUBhwppR8Rb6Ud603Ea8U8gDgOUKxJAb9l3w7Aj
A27+MGtfgRQ2D8Fk8+mVNqXQ7Bjo3Za+EQjd6GOs/ZjQhi1+VEipJyU2JF0UXW0SW58EjstllZ50
A52Eq4CUBS2vN/EzlJUGaks6F2LhcULe5NVWm9yopER0cFI2UvQk6rOE2gbEsDVw5ltZIjpijphI
XJObghTI82ev+Wrhb0uOvex4/uJOS46ZRI/3i6ysTwaYfvWlCYRC0m/1Wv91AuCTdEEigWwCrYmT
OX8p8jCps3fQcs5myPl1Vob/YK1O+nxkl1mi/cR0FGtZaXwGWJl0neWV+5SxhD8MM3uevwXGk2BD
1abeXUKTaVmbXctFSmeHu+A5jLq+JoC7moOzmGW55Tqi5XBTm8uSGgV9DOVi4P84I0Jip2m5lrgk
jq1Ijou+Jb6WfYZtmnP/EOtdQs2kt5IWvQHlF+nthySeljsjMOHg0CBTBw2tCHAip4LcdznzEhYQ
l9hgeP7kb+rRKraasr0pXKiXeIvV/AmQQw8tPWRvVmYRKqSF4MenOOvdDzNI7wdj9MX1NDbFrW3n
8ZNFc+TA5s4J1jA//acqzscvjW1mCg81jyyyT3U7TiMy8iTTNX1ZRDlqPeWhX3Nr9G8Giaz9nZUu
CNfd0eexGaXP5Z3S0pM3Zq/QoXcuQ3Dy6IbWFgsEhCBZbLoGjmH9RceWe5faFAnPczYPiFMap8ye
CfxE3l2atDg8MrHWdcwz0mEpRLheh+IT6DxuT5Ebrbcyool7i08dK8Li1803rgwvl59VvJR5U0Pf
ZczcdF9PGnuqeV4EAyKsAizdaHw5OrhLF+tAgwCqY78/ZvQsIdCjFLDd9jAky6yu7Grg0vv1wFFo
kkFKF7xt4fanSt0PNbdkcNlvEMhiyU9Mmw3jwRj8pb3qLWnI21mB3tkVbE+mz6R+zOHn1DHL/D4a
M3gMUHBamqHIgZdRF5HLrA007Cm5lsqcKDvDMOZCMIOSByIaUBUhh+PtaVofseTpQc6VwY2rtYsD
VZl+KXqJF3OlJq13rpza+pQOBmC5QASJ91UVwWDdZBF+WcShIq//OlmkEi+geAwQBIIcy+NMHUDX
y+wRdTGMg5U7wMGyo6DPv0hWCJFglVhceYO6qfICahsjCrd+EWP1sHJyDFcmj9Oxa33ueV9I3Ff9
YqsvwRC1+Q/XryyLHtSMtGJbmqNl3eCu4MVdWQOYgouosoISMEuN4gkUtE2PwBW6v2+QoQypbsEy
m8bBdUXU2Vd3HCLauOKjTxg3muiyHj7DGjS2gEGSDQ+GFnrGyYVdhBEYwSjNVyVCZgSuYnY3iV+6
Bzo/ns4uzlojpY3OVnPn0ACAul03c1SxyNQXDe6uB63yWNul+WjQ6ln1FX5XcNKEdCSTCg4it+I/
iy7yf6jYjiCJyeqmR1c6TLKdt3kh1Z1X+/Gja4/VtuQjtaHss+8ZulWPAnXazqpM2k1oM9yV2fvy
Fp9HvvabnN2JteTFh7SJi89W1vmr0Oz63WL0tABGRSi0xPXP0Km5wcFRXrl0OLYD5vg7lvXmMQuH
5OPoFLeTb6psL9vO2bVzq1Ymded+TOv0Y9x5xeepdLp4J/sKrhEfsA2o7eVYGGG+wwSWrsZ2Qqtb
+HRv0tGuP/HRab5Wbtkkm2zpql2QmvUXTET60pYAD5jMDdXa8wd1jWvDXsV0YjZx5HfPcLjlpgAh
c7AQ+e8mIBDX6Jx9Z5OYbjVDK6Ic2HTSGmnIlvU+KNpZT7ns+sJPlLWLXXGXRXWzN1UybCTn+BUP
ON0nsHseJptIjNu59Ifrtneij2GTeHujWxBOGkRtGpmBNWkmZfzaSPr2kgV7PpBgO19MhghJo8yn
7dxJue4hdqzbYcY3UnXepzEdl+8movDLMAiXS1nJsNi8X6GctRUoiUgq43+nPT4hG2fbqLYuya4p
cGgj7qGdQhrM2pzAD68ceOCbDAv2ZcRbfnj/qGdD0tNRdUwf9Fhh+fjcXldF6JISP5mQ9ra4nr8B
VWRhaHqLGuP945xt2U/HQQOKk45qT6seXh9nTGpv6EDIHx365KypJprEEzjDVRELxu8fTI98uZx4
FBnevz6Y4B02YorAY1AwPKk14OCkDzDS4TdtiZwXPRLYG9TiJgGX54P0Ng79xlCmd7Q9XKYVIty9
C2CbTmBfX3Y+nbf3T+1t4RwI9iFaB2h60GbPhtoiqHlti9I9njwoPz9BVYLxZ01el/bJpDOX9/1j
6sv1uljn5IhP5aPicPPOi/W5jJ0+lL1zBEthjsieTYofFlS+wJWiq0pbkL+1NsqRfzbpaavffkgZ
BLpcZ5PkGMs1z06aLI7WVAXgnWFI5WGa8N4rnRP1/mm+fRU4CiL40MNqipf37KkpImuqorTzjjF0
h8OcwlM4mTV+/yhsKLFha93Fm36NhxCudQ3O5aS88FImSJbCzPr+Uf7NY0Lwjw2kmd0O282zK5a3
TIcbiHZHK8LKRIQpD8U4w0reIunAltyocfnFlu7t+sWazhrGaaHy47CvX7oqHaN5KjznaNSR91Ug
h2Q8O1KKDESebyugJNbK6xYekfdP9e3KggQayQzibzu03rwRuORQODauBSCYtzuqWSd7rWNfMkwW
7x/q35wiDwfSJmpw1Cvni6UP/JNDlRYICw1NKBGWL9olVji6Aa53cEo/Ne8f9N+dn8cyoxOTaPHZ
Zyv0CFjHJh5PHAviJQ9ViWqChIpk3568bO8f69RFe/2qY672Xcdx/NDXVIDXN7HWY1eT9YRpbQf1
IhOlO61c3yzum3GR1zU2XIYnaHZv8cCwq6DW6q7HFsjkjiakw+aiZmAJBuk78d04n4KlYv4f5F5T
/OKyvH3CIV/ZvtZLoWAS51KzKnWnFLIiT3hJC3udRnBSMmXwvRwzunkYsSjrf3F13q4QiAx5q3Qr
Ep3beR8wLuiXRHzjjkZgUOuSscH+oQc7+T2QBL6cjJM87xkGx3Yo2m+wQvAM2Wmo7tvOwqTVxgPG
VqokYBogsJLffusZDqCc1E4I7t2pj/lCtmO2YL3HgLf+ZNfOTDd7FDHD+q7QQUPM337VxnnzbCIq
1G8DrRweUfi1rx+XNu100T8vx9GJnKcOzFi2mtuKx1Tpfvr7l//fHUxbO2h0A5B482yi5gjNuA3n
o4oZrWcVgGKzC9jluGbDLun9g7251ZwZ5gpHmAD8Wc7O3jrsPaLpInM+YsxhYxmnPU8WLyK7xPcP
ZOnx1atXDjkcYkm+CJyc5ki8voaFnaTKw9pFBSFx4pjs4YY1kTt9/hn/2tJdNpl2wjkxpKUEibhi
R+LbGCUL/RmsW3WfpDl9AmNis8S8EfrX4jPCNg2PVhZdL3tnFrr7MbU5m+OJ6dVtX0GDLX93IfZc
QXlHw5RBHeMj/ca+ePrSCmC1X3bd0VoYYU8MjS7BjaX734dBIB92Bc+AwyiAlt6bARWcSqsfFQwm
iZwYrlHG+bd1G24NSyG2r9Qv+4f66/XiLtHzZz20dHo29RdZEGd3qVpKW7TSdY5eq5wfnmeNR+lE
4cOpIeL5HV2ddincz7VS1i9WOlLPzg/O64VY0+bIeujl2q+vrFOgcUBqkx0FWO5y2ZhZQEztfgbk
aVvrSUXBnxAXc2cz1sybCQNCjVFhrEsPVj8j5rCsbL43T1bDhaQZ7BPS1xsL0gWX1QllJEuvy0Dy
ivTW72ej4r80pe4hRJLEpDoP7PrOxYT+IPXjRWIQ1QOxd6I5jnJuupXlQVJwJ0VrrIuYH1/mNI6Q
cLQj2WNBzBT6g2tqS6iJge8Ov0h2Lb3e2Csn9W7rWRjLvvaxGdDFBpZt+jCciRPCBbfufHcIV4kj
myviO0Fd+2RoQYmcWwJCwZsdgQ+KNWQyl2yrQSQtCPGhTd2e3rc5wk23l0yrqguR0TwaGlGI75MM
cpriRsb7gltEN0MhFie3I0l0MUbZFjkbnAaa3iHGk+TwEwRRtQt/urT+38XnmEd0XsJC1zVtw7uW
VDg9n+mWQ6nORaylrbMkhgwDtqHuG0VOKK6/uqiv8rgd+7sO/U+5QVGkfWKibPL7ekHRspFDL1os
kWjmchOpcex5dX6PDqH7rhiDL3R4MUf8sL1qcD7IVtCi86eC2wyDj7/IqUOcgCW7fGwQNjOqtTLn
atT0ZToaQLJ3ZE/nakd6KYenD0Lnqoeh4e2DcoZTg36R/yLZpRGisMmuLlqVDcZHhSF7gfWhnbih
iXKAFKjCBolSTaPb3wucot0m53FJbtmvghIUsw8TGQWhczGOsvPzDWwxY700FVZiz2IJd5eYJwiS
ARsJy59S/8oZIzFdJND3cMIqgaLmJ1kjaAZC8lTBHnbFeJYuIwIAJT/99BwHqcsDViXIq6+NVPJt
ONUB9Ox5+iAL0mpIPKZwRyi5sEYjGiFkWC1zrZ7DfoluT3CNny04txj4MXaixCcns9ynNEqSaNsN
Hbrsn6+Vp1V7psZ/TT7G8afqZIpmAig+CSUgCNDtpTdvAcxA++q5PEVtoDFpSeFyXa1O98ztrBv+
RJw8jTuFNpKsYT2aEYHzFLm2LiRih4I9qH2EpiLTnVhJex6bENsfJUw68KfPn+8NNBkTelf+lesz
j1jlZqqyHXBhs7tEasRrWjYGk4ZidriwDgkxNgl+VpzedVXLDxEmvZNdU1jdfbWIVj0OyrcNaOW+
m+f3QR2q4YOrCvHJy7LKwWcVpfMPAE48sujFLeduFjhdN8lMbWzz/k1+yfeYMQAh5AntCp4Vh2kO
ylCnt/0vFOY51l5X9nCXV0U6NqDfowjdxpol3M2Ohezo1s+FjZCADtoS0JJA8HYsTVPRaqND3msK
w0JM7fTzi//fOekv5qRUihbVzf99TvrwA+5B1b8ck/79d/4ek/riDwdoBZUgCgDmm9q28y9HD0h7
uFi0lzyECnqC+o+j50QeQy5A0gRuB40X+z9jUosApZAvPMM6PDjsKn/H2HheyrHLFgjZ+YUchDHp
2ac7EOOwpETyHAKKKgzQqLyymMX5xTW5/VkKvHTznBcIuEQohOlvBTolin7J6290NIytZSPJOwxZ
BbtvpJuxCojcfqyoVG5LVp4LZnx8AmsGct/eP7a+X6+qE31wxtC0orhsbMHPThHvS6FsKACH2Amp
UH0Jxn1UgLlK1wQ9TbzaUxyWTbjqqtTedMuc/lAGrd6tJz2bZBU9omHbsu/HoFjbDEKhKJDV0wUZ
g9msgL7dzxIeZxwvZN/60X3pFdPmPzgJzU+jA2NSRXpnV9CUCDvKfgkP7QLlV2F73JVG6Vyk/jR/
boG4rCORM2g18O+vhQl0dwrR07t1rJOT2GTdehUb07pDpmmOqD1DzfAcgxw2awjDMxhRz5bp0O9m
UIpo7DQx8/1zONuiMFim30ipCHKOdq53vh/qHHsY+OyFB6ZbIE8BqgKZkvPer38lQjvb/v48UoC6
ADcXcL7zbrHLbLNsBEc6kZ4BTHDzvKA9yh6sL7jfX22+zl6i0/G0w87RLVzaLfoJfFHcWwLiUGkU
HC9OSf6yLMaMA+KV375+DOmZsGlkPt3Gs/1kSBohLVsjOEi6Ont6nc+NHaaHvPsVLu0kSnpZz3On
GMXirObFw4R9vihkMdsY+CMBQwjgwYsP6jchgG8/ayDVXBINvxIJINK67vN7dDzBFRE5+QaBf3Sf
DNVyyQinvZOYBUEljWCFoedQYI3CXg6x7uLXIE72Kc/mZ2rgal7biwmSNs5gC61OOGPVkPwjAis9
dJTPXyZvSQ/vX82f+6BXZ4k3XPcCfMvXZh7Xf33XImoVJplSHRCeEocd13A946i7IIQ+39UEVawI
CXlWhAVvXEZUMEb87AC0a4B+3vQAkqW8bvJ00uMue0MUqvlFQDG4dsPZefSp8b+ApthKMVkfRVi2
UHGmQlD1EKBsmXlIBDJU6H5EGpDElbWp0B/sMSWLbIwfWc7yg0dqLrWc5R6YRAEo8MLkUDaRtbVj
Lz0YgKuAbqflNgF8t+/sOvgEOyK7oHYvN5VoEyRVcfRXwodnjT41vnCaZbxpCjERgrv4zhVC+GKP
cMzd4mQijsVpgK8NXl2sexHXh1zW+UNPrhIhPUxLy9m4ccNm/j7PpA8HQA219N/eu5GTIcnwEmsN
RdnbGP7i3LmJbX6iLi2/+HGSPzciYZuRm+FMfo9MKMcnoqBXlJ3qqx9UpHKVljxoP8wF4nl1tbSh
d+OBbtn0QVqFK6Zm083QV+2fVYaAg17O1gDMROR3/sPIjeAD43QD7W0abw1fHsvS41d7oqW8Dy/U
aFTXdYRq3lIkM4GiIf7Z8Ku92WRX+npu6iJr1rQ8jBVytY5gEPubmzCtc1RiXsR5WV45EVlnRpH3
VIWluVwLMFCgRMYECDbfl3VWTuS61WFwAazLfpKR191mXKfqojeHcN36nf0pd3ZV0vBEjAxHGf3b
TzVOlh1JS8bGbhRZRCTLyc/V3A3rOlcTt0YRbUt062Gah12S4I6PyBtgbRsvelLyVjMSJ6KQE+u7
jdGfhG/RYANjGoqPZ22AZib8t0AVHuUSvHpPyW3C7rH0DDom4jgLVfyxyuIPkJAfE3KhD0nfm/eR
IDs+k96Xuc+fLKbYmwlUFtNBVCG9GwVwtaS48tUwHSsX6jfJugrPFhl1A2PiVT+a0Yoo0IQlClKW
KKts7UABuTQCnGR5p0AmG0H0zQCYxo+hOZpYOXi03K5rGGQtuBY+Rv6Gz1C+Y5btVZuMHIHNEHvW
XnadcekudX2F0NYkqMad0ax05t2QdkTjVTPDvJVpZc3NUmvYi+hEeznPwrlIwNMchJ1C/q95XTxj
BmazClvGx8MW2lKC4Yvk0aVPIg0wrP6SoxN/zSIxfNcdjK/2KKdjGQQjYJ+wh6DcOFcSFQW2iTxa
w3YYLwbB+2XMOZDvAnGJzRQZPcBFRcbL0m4EZjNG+jDflLGoz85oVjvbtJILbFIgogtyd9B7RKvQ
hk8jvLa6SkGXrioTqI9b86/IN/Jmw46oPYYNIB6vHua94RHq0WoWeZSR3YYjZ6qvzTnGBNBQFIB3
NVdSw8gbqwS4GPPlOKXjWOZAXOQIp54zlkcfncwWFHe+AXEEcb43uy9LODk39KzN6zk1WxBKEd5i
gCk1MXbwTTdhYS6HOcvkX4mPw8SrU59kmr66InRefDJMnQtZA6uCkE91omHstQ7P8eKQeIGoUFiJ
BoH7hQFhfl/EDqkgOkIoN2lhpAzvbw2XfIwiB3FIPAiIdR1+UfcdIXIpjLrFSMxDkSHpyUhNp8tA
+eUVNQmI6I0P82w313ZC2Jivgw3midnyGq8k/KK6IldEwouHVZnchDpD0aVVtD3R84FJxVhfmgjM
trPo9LCw6L7QZQBsLxGj4BEPCRofwT9FhoejjJ3bgo41z9ytHSbujdCBewt9jj2TYmJ3kOusQ5+Y
SWoVOPeRF66oIyVuSp5XQZbgMzXw+JCOxAHaKMeO2UwU+4raxtoLs2z3ZMwg15fkC80cIDkR2FYL
RiR+9py4jwTJabqiZg6SYsY/5fFwL02IhFKzCemJX3boTvb+2NaEWWo7PfWifekqE2g1i4KQg309
nsCHGoEIsxGfZpElu1pDElHufRKRQSet71OgERCr/NS8lVEVjqs8wWgnT9BFLr+f/yWdoE2u2KcC
ZsxmFxyVqoZ51QMM30jbAhMVYp9tWFln+CFkKDvJtfppUzl93v+7Yf3FhtUStHleVEJvyDsf0qr6
0dX908st699/6x9lL+G9gc2eE/2udtu/gO+E/gknYXrBSbz7assa/kHqLeUUXFQ9a/TZovyj7LX/
f2DZgpTb11s6k31cYFK2sRG2WSJOuv8XBbeNjr3sncq8rEyjTlqeYcczNqSORKQsCtVsc8cGvz7b
YyN3ykAIsfWa3v6hVEG+SEnhhTBy7j4AomdPyPuAwUwtheM8iJBxwGbqxJ/ky8SfS0UyRhp77peR
kJMPRBP2t8tE7t4urTNir2vsgR/iiT+ED6bCZm9kSX6QJJxf+jCuD/iv7wq2HX8a8MrmS+STiiRJ
z+qvxowgw892Hg3+Vbe0C9k4hTcNGJtKe/iendTGVqcQc/4Pe2ey3DiSZutXaes90jAPZrd6AZDg
JFKzQooNTFJEAHBM7piBp++PUVXdOdyb2bW4uzbrTXZFBCWCdP+Hc77T6CH5U/G60LeuRbdsrFa3
cF9bwxsOyAlx5EDi7bmwcrIe8L95Mi54to/AeSo3skxcultZJvmzAaouTBFsrlGbC/RAtss56rWN
enTtwTx0Xp/tzFl8K1kkbXNS16NOV7kIR3RoO2HmTwsxAneuQHK7549YZyripCKglDAEamA4dLh5
rW1vaO9zYc8hKNhqInfGY7JJiOJW0TxhMfSzcYOyRjnblb3og6GXznkMEFAa/eAZhyEIFGvqNUhe
1sr3HqXnJE9tDxYauHFvafAspVMSc2EzSvTgHb+OcPq3V854VGCK4T2QY6iGuT66QVOeeumh3B4q
CnV6iQQx87JMp37oUz/SUplxnrnrg6pTO9d3SYqcsDBIbOxbWJRmP3HFTWu9Qe0wZpGdKBH7S5Ls
ASyar3K1SK5ZO219CkqvtIGKTV6+tzXdL19yiET1cwof3NO3A0PhWdtOpEFCrUTMt+jdgTiOusLk
Xjq58Z52hAnw5EojdJwy2FYdbCgl7cuK849LMmEggZP5gNjqwc8Sd0suIS7KoplElF+vABuCUpS5
FCcMyTs/LFfNysPOMQnsXJORYsmHoat5TwW8qcoxD+nQnp3FF+E6gd7Mm4utVliMTrEj0YWLs6jj
mlXKs6Zl9zOOr7DlZeJ0nRkUjcuboU9rjOYtiZNxeUT+1R0UCVdbEu/Ejao0/SAdu4j7RJnHQGNA
WbB/2Xbwj0KglvnRRvsQT7BMT8AI14NOkcwDKs3nYDEZDPkkgRqpF4qsh43cizFuaq/vj1D0xYE1
wkfL+PvY5nZ6UkjpNuta6VsyCXfoPaOOXia2V8n7oxEzClw4SpUWaHSiIovSLPvurOrVm5EJB8jl
oL3o0NntlmhGADvUNsOSUsfMNeanhRpPrI+QiWkNmpzxFfDwyG6FccdPL07CWcCAJSjTDjgShu8k
bywbP7N4c/iy7ZUcYS4w0a3TldBspTB7Oo/KKh8KP79ZjYRFyqCTdbw+5W6/a/QuOHrp9NAFRHms
lbnx9WWbktLYpm4W+aP93Cm185f5LIhLJXlrmONWlv12TNYuTBP7xcXNG0511W2Mqvxe2kTnmPXk
gqHIhsdcq8++MmDU9nTwhKpxCOb+2ZZ4xEU1I30kPCBkMGnf6wTRbqu5rSMvGCc+W7Izap6Hu2NQ
30VaFgx7vy0/V29B1w5G/+hyXB6pk1i3JJa4ZEEviMmwsg3fCuM+zdT9KGjdfH6ptakvs28LkK6c
ZsWQeCC0BNW9lKb9kJvKPTayzyIeGDP4WQZ4e7NXXeuYv5vzj6yvjD0QeXZqOa01kWALaK0kOGKz
srYdx/p9b01wR1c3OBTCe0jc9h7dth5zTPinRmiTF3WF23/hXBk25uglMOitHjCyOYwRRX2/03lQ
sd6oAQmmkz1Y8xyc21lHjq/1DDuqNyKtzAgNKS7lKq4V4XazkF5I9ffQuTWnC75LgEIipq61+PEa
+z2zc2LUMm4HRZ9RGMEuF/1TiW8/Nqs1eZyK6SyZQESz0YtnfBjPDsjosNTG924NXgHBHohMcfkc
D5KM6pKEWHOKu6k9NK7YBaZIeBeVfTGNVO0mv/2sncXZOu3a7fXefJKJV/ABLpDeVVk5nhw16ZfM
sB6GQN6UXfbiFiapXIT16Y29hJy0WzATX+1gQitsO1FxPUul5t/5nbXrwMk/zDw6bMljClbWXf2v
RZIar6Xju9R7Hl81zabv9sYzVt7tqIoji+Q+dpgHn1pigEM1yhydd9BkUbGU/g7n9HrImn7fS3Ec
86TYkR6Tg83WJNpaLeYyo7xOAgyu+Gtpme3B/rQ1nhchT5p/WZgk3WfVNeDIa9W5HGAwLNPYbEmf
zj7k7NrRZA43c664E6by2bDHfU0GbjCuXKwiAG3R9o8jwh38gdXnONf7wF9ehVeU25HfB6V7U0S2
4+WncSHKDZtrbJNjaEap46yX2bFLsulg5W8G1oYnJ3fSeNGsJeyG1HpLmkHCSzeKOtRQE0uo/pxM
Y2XVd6k24iFuWlBzPfeaJIt9vzSQ8gzDkHE9yOHGJCsMW4LJtm3QiRK1tOdMm67XMwGEDY2F5juX
CfLUC+OQ+lZP5TgDmC6Zi4TLKoaHWmj+IeiK9TiP1rM96/JDa0ct3ScVvWXseJMFppUBEVM4uyHN
jXvW3I598Flp452Rebi67al/6Jz6bqo1jY2ndn8FgN8Cl/rStVYLwsNtjmp1v/idXT7BBDyaGm4N
lDbjxiRj8CvHq72f8He/i9Votxh32oM1a+ZWNGO2c4knCn1fFlFV2Pyy3fgWpFAUa93Xzin2mheg
LFMYjJ3/wx2Ilx7QnYdMm8r3xveWR2/ScD4M/ptVODIic957gZiXb7TE1SOgJOKJwDUdAwBqn8Ar
8dZboGpm+/ol4oGJkLhgwp4QbPO95sdLaWW2lfgGO/tj0TXvIQjq8YvVAXdEOn4B4+Jg1efK9oQ0
cHjnrZ2xxW3tUOptecKe3RCANdjUCHV6Nsxyz7SgiAhuJCxoCJoH1PyKGEY/G+7J5vb3q+eqLxpz
/gaU/NMIxyU2gjzIo4Bu9YZk+m+q8D85nUv4Qm6wYek4POfCOLm1FexkAKPCwZW0BdnBBcE2eNOb
5IZlDmkUkdYIE2uAhX3EdNSNMDoAzH233FRwVPZTY8yk7qrPMq2MaJjB899JORqPHJAdDqfBKv3Q
7aes3Nl1ihEAwiSXV6fVbwqt7Sl1Fydm1ZK/XCkUzCb90r8a8Rfrscos4wMFgPth5zXZ02ufBmHC
uEVD57VFqFHEJr0t5hzWE7B8jt6waoR/4cK3zNuERgVQ5lS3tNHkG24qKg8gKPmYZlGVGAhpTi2i
/rioxvQxADzcGmcKragiGrAN1gO2+G/oLt2dIgFqUyHw3A7MvHBTNHBhZycIuSR3PLWjI+yelBbM
3GXTkMtgD1/H3obcscohrGVibRxGDDB6Ffdf0ewzuwafncg+xJhV7i2U8WHWCqgF+rRNWusiMmHh
a3HbXSld/5RnFb63HoFk4QX4orK4HFX70GajvdONj6HMKJgQ8G9FlTwjkwDircxNotkW9B0pN53T
Mh0TCWrjpd56qtyvNZ+7CqRMiBLUiBqtBn1tjxsMMYrjhLAv1hdj2Cl8zmuRfZ2CHqC6CmLd5y0m
6/IZs3ezBfuHlSWvTpMLbUQYPq6vmdIQMxbhvKknuRPL5tA09kOAG2JHLvFnWQ/P2EAcAg/W+76i
TzF7h0QtjHuEQ/cbaZOvYEmnPWvtPMbtqpkvqEQ7QiKq6nnuOzb+puCqWzSGkQZTWYvZs8hQAIem
YMaHnOcZWBEWHoxFUd4k+beiNTbG7K0wWfiUA/oOF92uQnf2k2fPKG/ApNiX1obcNKj6B8Uvc5ys
2xpiJbpBK0we6Yg3r8vitRyq59YW+aa0hzSGzhVsbZtix1S+w2hVlGcGcyZU+KKKWcqpi+snH3rX
ppugmPHzT8V8rxa8e0HnGtFSelQ9BtAFxsqXel6Gi6k3UdWoKVq79rrk15cLxI+jZvg6HJHGirxx
RDEeeNMNMuVvDf0GyeVvpr++p9KF2N8NN7S5C29GgRVkPSR+MW6xUe3K7IfmqyE03E6/MToh9yxP
71Runeo543jMlB+httdjKWlvcX9ZO6sfGVA7BvIKcfJxB1An6CCa/Gcyy6zQytf32Rs+kyH9aJqC
z09j3Q/92WuSZwa8fUg7lX7VNEJTB5u00nyF4255N2vgv4Js3bRB0OwKLkdyCXx5SQjbC7VaN25s
W96LiepM64Qe9cNKVHlBZC1smmaiPNPuyOkefUCm88qVIBJ+XW4ChVZeZvHCWvrAUMn9urTZd6sA
uGAl0xJmltm14WSDqiIdsXorySZotnluVBeuLMIV5sYqKfAaoEZm1tb3U2/2+1Gb1ZUhVewEAPg2
kiaBscza2Tmbk4GvDLUOTY5Uz9PglyhzsvFAVV0cAi+rd3ZQkw2yrOkJnJcbtwzGlnbFAtwEt6TA
iLs614wfTt4NpzXL3aO0fMKDwOceBwLtY2ey2ye7BlgCiPqdHl6ci9qmwU91kpPSMRq7Jr2xkJhE
A5brMxoncufXed5ZBDZsxEi3NHq2FvfI8DZtzqTPqjEp1ZZ9TV2gqbpCHvKuTzfMNjT0mPotbBD8
sFJYWxOG7K2Lr3XvlcuHX6Ebq0wPl2nJO0ZRe66Hst63Yjk47YjPbhov+MUoK7oM52QRfIX7kW+U
72FUrLIxxMNfUwa162Yq+Oe7AEIQ353UnSn36Ppj2ySwo59N0C6IbjJiBA7UjYSAsQ4oy2qMOa4c
1orlwqN36m0Jk00AoaCZ8h8Godk7WmEmLtYs3gg6Cqikbb04c1VzC010C5elC051V/uhLAQhwonn
hENRRRoaLfjLpgLL1V3HzSVLxMJm89ZKEWJ90099ofpj11g/1DqcF3xD4bW3MNf8YnC6b2fScu9E
y2NsCsJcg4JVZFlObFQ0I2TM3RN842unyRZ3uYkbr2iqc+p6L40fdDvqa3KRWLKwuZnj2tB36cS8
g0gIehknW67p9fxTOA1x6vXf10ZifevPC4KzsF0SJFkWJlZFn2VahPOwhw+nPuPXIxvTtboIMyyn
sqMn+6wpMTAX5OxY83Kc+KZGwxVarw89Z6RjtBsKwI/REx9Egh98W93NWIUPOVzmDS3kiSP6RSZj
HdvDvKXV4pOMLC3qxw52DQvbCxhnc+fPE2OUlUsXkRI2Y+MButXBF8N2Hd0iUgocGI3OWn9RtsbY
ZJomPzYRRXF2PphLuvAbjf22cCc6L38CsUE72Gt6uK7sSZgIbIwkn44ZIfGhY9cfdd8E9yLVeJC+
s1OTyjZY5NZnLAB33hoAwZaGCVVaj/vO8UK7bYUbUShrZCJ7S0iDI56qJPvuG+rSreap8N13yzCR
cb33RrUbev9HOy6SNjeHU2WsIiLrZaNEHRlCig1Ulh+yJyml1IqvmdKyrbpq1a6IsMJkQVWuPrOS
VQTppq6ZBWTGStkCakw04q7NOKCjbmjdGV+q7d2SFWoeNWp6iQ+0JPxrpCkf1dLyh7jJcWhXGBal
2tasxdpN1nvhpNyTrIwTcLzIFTNiw5lMjpgpDpaRcnBgfBue4oZe1AB1b213NiCrIET30h7yUqHY
41TrQ8SurQPlOVNIemYq8v5Jg1DUxZWPPTFutWJqIwtN6JX/v/AtrJQ5AMCzA0MRPM175BAnQ/6E
tug3A9qHD4J8vKKHVxd0TCzC/y/z+t335vJefe/+z3UR8ElxwTmX9f/x2/8EE/GPPcF1+v2b/wA3
mPfL/fC9XR6+d0PJX/07DPn6J/+n/+O/ff/5r/zlJN7R/2IS33U5/ydl/ttZ/M+/989ZPLwMHQ8B
9Bjnil3+NWXD+AV1JoIyE6XNP3Rj1n/rxCz9F6IuscIFJqIU13P8f0UnxoD/tzN3xOvs38mLRI9v
BdhtrjP5X83cGQcrp5BdcSCxYz17KcHWpBbz3VgrHFpOzzauVw4bMQAPXEQG6b52OLLSxj7cLM9r
cmUHYlsHdc6xioQkMBaUsEWCLIkpHhqARUOdL4t2NcNO5MN6SnJvGfhuSFZjUCPOgUdw+1UlkJDi
Yc/FZYSH/90TPtJqledr3GZWwD4QT8EDLAEvagURtv40wWa9BnFLK0NuhB3j2DjzVZtSk8XMj+lg
25lq+W4F9RqjIyOtFozjYcHhyoGf2dTU+5LgkqF9NKDdwa2nyiLDhTGv921MkWPEU+BR3epjkubb
akjnlqsm05y3DM1DA6uCsjs7NT06NCucqGmnO2V6Q3YNzprSy8q63Edzshjpw5TqLqaEolJ2mKcV
eDGzY261Yd1pOQfDvv7JlGRv73VuC1nvGF1iwSA21AndJePkSowOBoIx+YT2wJ9kSUlaVOUmyH3A
laQf1bqkt6O3NNsGDRYTYo8ElJB5kf+6DnOvcSpO8xaNtLcb3HXT819XuThpu0KNF4+ysYsKPbX2
JaJ86nAguFMCGbQt7/H/lruqrfQzjp8SAmss29EXrBNd7huqAmUrSQ5AYfKBkZ4OOipvIm0JkvvR
XeZnLrPiVc+IE/DKOossWA2I1wrnu1bP4gGFItTYYFabOtDQzxBqfuj9wHoTDqOTCVntJvfI+syD
uj/aCYQuwygfMvhx9+OMoA9zZupFoPZ2mjG5FAA12rfliSzwsQ21IOg+nGuAd1Vk3mamSz4UKSt7
feqrEyavbttBYohQ7ZRUxCSHE2OY7UgOCT7dtLjKe5JW3I3wH97TkeuXImDRL8Hic0H0wtCOxN7z
txa91u/bjjn1RNjqi2WWT0KT5pvrpjKNTLv4zE3XeHHJDNjYcKpirnT7KkIZGVLP5Dta0/ck6fz3
lenhNpANeXpjlvbvjPi2YkUDbWSTHRZyOo02++gSxGJsjSvIPBdG175FPX2AGOGek8Yz3sjv8S+G
V0+UbVN/CASCQEBNAVV+0z11IGFurclBDGRV1mmCenIBtcBeK5XOPWg74wIZVryqOhNvPNFyN8+D
dRqatdwPdS0vxWqXnzLt3SRK2tQ75q213imnH2lscASCVDDGMJG+R1XRo47WNMbmmjXnZ39prftg
1V3AZXwl9uXcJozv/Tw/1jSftwNDiZuxtfIv6P7JsbaWayJbMebnPivU0wBy7zHPXXkE61GjFsqD
Nyaa4qUd3f7UO02gbRlWi6O+eqsZG1VW3WGyTQ4SGO6uX/UUI0ngx60anR/OCNoTSePyZRZIKRhG
HupCVgfUMGdYGfUGtq4eTj9XWHV6MAN5Whx9YaxpUZzaw7ehntC1F3W517FnhbVDx2QYHbvzvPZi
JBfzZp1d9SETZzjpasrj0gah6Nb2dC8aWs+s8Jd9w6L+Hh/p8jpA2/0EeTPe84YktzPWhS9M4Y1o
tKdqw/ek3zTVLPYTuKIdcWouKOWhKZ5lTgoZj51vizapOPAK+c3S2DqsfsUEYU50azu7s02oVNvf
eQaWPqaTC+kX5piFPu30j9XMWKPoAH74KNPMMHR4knMxnkFS30lmhRezMdNX0+f7vzqBimeLIKaQ
8HL97OaFfg76IrhobM/ul3kkOtDoFpBDjQGGtpxvSzVIZDt8UfEzp5AiGfJWUTL1FK74Ro6yoa1A
FAQ4eLDq86AY13gWRw0TT2BBqORNZRuP7sKCK9J7LYk65S6fwFpm+kXNJyZr6ITYd2B2P9gWslgT
xZG7BHesasyvgrb5UHYOdkTipp6MVnQPqdd7F8xCDLMGfEwIAQv13NVDwLjXW88jxeG7bAbWtIYx
PZR5w0SPb493U08TcjmmbkuEqwU6b+1MRy2txl3SGeMFsY51NEvzCohQ6mWCOnuHoCnZLDbeBCuf
s3tuNvnmBkPz4fe192PBncKyo0c7Af3kGxMIcQ2XZ5YGg3eCA3pa5s7ZeIbeM+zj54wCraNaNwoi
XvWuHN8lKNMSFA8gpMhdNUwFma1ekqHut40HzMN3qhw5kyuKH7WNYaYLRvXFT2vX3drkVX5Yaerv
ajUn58FI/NPo1+Aw57U9ZIHPWLqAqbqY3G9M1Pry0tt6cCv8qjsXxtJvB79jONxoEF17jBHCLphX
lx7d5FgPXxC8Y3WRzHZZ32nsyTtrGu5l2vk3qxYs33VrKIcrx5jrGhJ6eiqnXnvKMsd9gzrI0VOw
YKHu1UR9PbQl6NI1Sba97je37DKtS84OlWMJLnrhl4sRisTxd17PkIzPxJRDPA00wFFoFSP4qf47
SiQZ67n1bg9dc9bS2nn0GUaHyKutm6kPbI7BxbzDbaVHaVKfrw8QVIRl7FZkNeNS55tAKPMMOlcc
UhMIH9LH5q5JTevZ8/txSwYcY1zVOMi4BINETARbzGsmfJG822iNJQ/sM7p7z0ntT2RaZR8avVw3
wzQGj4aDKKBWnRnrGGCegL5nNv2itO+KRJEmZ45zcF+mtbfDZ9hEk27d+AQD8dgrW0fJwIjUdudj
0Jv+FoOS+g5g2OyBqzIKTnrl7Vk+yagjAiiqk6W7k2sp74pFqj24RHM/WwwAVof1yjStwbpLjNb7
Qi1gPs1WIACuOpb3w6+04a3CXhAnhXx1VOltNRHcIwTqiB5q9J66A5g8YNaJeYboBTxa2RLKVpvE
GOIyb5ESYjn7zGVbkWORJ9PRHGZk7VxvC2MkPpo2LY0onLuE2jQ2ci7rwS1swWa59cTGUiv1B2qE
4WKlg6LxbV+Io61ugTjZMkpYF+247+p4BJlJl05rpOWGtyeVlfRMw5u5Fbz8jQLNZeIrGGirBRuD
FAlb5CIwQ7JvjeLglKkR8cmGJNNIdAKtTUYPII+G8nXsQNzQbj24bZuFE/GkB1dfAOAUigVlibOV
D0fgMdpcMyaQhbkrdI4VxC8U0zOVak3woT49jnqZPpNnWz7bJjUgMbarjfBQqVtZ9MFpLVyqldRJ
DsjA0JGkkOvQOjTcYIyMkwOMSKY18HfEUfRILFinGflAiRk0e3q/tPtugdvvAsA92K+RCljKv0lG
FHOITFvyVtnewlezzgxJl0ugGMQGRY70LVXzkazddZtS+L+uTLmF7T4hUZ42g5lfMKMb/Jb2sSo8
42uOyYE5B5JZlSBnCL3KfUU2aR4WFLnhOGUoqQet20prfW+zhdGFdu9LBnpBNrobUiYzRtlsZ5q+
nna6pcHDhiU90yKc8tKotqVIn3ksVjwsCAjoVIeNVVLcaGV+S4Cgde4c+83oWErOYz+EaVGUm6Lw
mQVWJW9MNbELIOU7RB8lQyxm9ZGttcX+zY9RaS9Hlg632UKQq9XCOIr8mdRr3a3b2ADOEa3aDH6t
GKwN0Zn04HYFJQPEK+m11hsJxTODR0QJpJHvgsTxbgn0KiLykTHo8fF7J4pxC/AteQJe5+4lqPkj
A2z9nJEmhZR3siNC7Ljmuiw/5NKD1dP1a4QV24kWeyApq+nTSw14LQ4Ksdxibyk3wi+3+Uoqo6tk
2zMMRGXxK/3Y/8DcA+PRRHTB3g7Yok9/+NvGMEsYH+SDnx9E1dHWabPHemIlYQs0VuE+2nqtPiW1
VM2VjWz1z1/896aS64u7OCquMA9itq5Qy193pSi52ISsMj8Yc9N+rqKtb2ReZpDFg+Lhz1/q9y4P
XsoiNMXCF6o7f6TZ5CihXKh+vJQ0Vb3lO7Igi1/S5vufv84fmM7XF8K9TdKaCUXT/b3Xp2iWBSWK
lx4GydwY6oR9cAdcP2Wd93eYE/D2j0HGVnyxq3fppXTU05pmtxoxXzTX7NXq7Z//SFd30a+tEpgj
UNqRP+Gxm0Cw9Lvef9B7P8OpkGJ3rdezXuHascQVfmiXAeZuPc3aT6j7PGejTf5O0P1fJedfzY8w
8hNn+P+2Hl6+f7TvXfFbIeff/9I/hkeB8wtIcGZEDG/+yWH9h/eQodIvOmwSlJyWE/z0F/7TemgR
nAjWgXROxkc/gxP/S8ep/ysjJDRCv/0YkcToYF6zLcimUCP4wX77ZS2tQdOXJBtvrGoNxuy8Fnia
mBlbthJLfQMt0V5oq4DlZFQjbLjIjCimJ8dv3UO39sljWfnJiiTeMs+tIdxb6gj3Zsazi/IO4z0G
4pLdhGm1CEXWfHi1u6oC7+kpsRnNYIgD7CQXEzQJt0absrQdV3OLOaWLUMlYlz6tHJJmdBXro1/d
FYVe3/XTNDwExGCwW8EI/4IqcDpeqWNDOIN8eqVbg5ipZxpGdyzBD2XmVw+t2dPBF+uhA9fJIs9L
71zlrA+6UbYPVwReTI3k3q5JP2+1yeqP13hi1k9WEZGyM2/tzOaYzpkqPA2IbN49r1JESDQJjcWK
JRrUeXcHiyf7oqpiWCK9EXJjpaMZB5lnPHqOyh6c2RXbUbcJj9T0er5p08m88VX3zGWCzRjVLVIe
e4SRQBzC+lT3QxHpxvxRzDMrWmssUAxpY36j8loU7L6d7iuk1ontPc/wuSxEdfGnMYu1PluPbcVh
FmaLBXxz9L2rA5tNviDh7M4MOrHXyvSWRZGIUcUWiD8dxu54svb61Ew3c1YPN7VmwKc2KtdHLT4t
j7j2hriAEBD1VMS3Phvu/cK5e/aUPt3YXb3sOTutd4Z9zRGtRv8IhrvEiEKpta1NiSCozZCMVtIe
zri39VgZnraBHFffk3tiPfaL3b8hZC5/LNyxT+Y45Bu3mOvbqnO0i5V7wPT0/pX3Si4R515wpzq/
erXafIwpj+pNTVXGmKwAG6I7GvrTdv6mpq67pUaHoEAmZUS0Ajkrgg8ODRsTpk+0i0MbUTuhFdNW
CwgoCcPF1nbr7L7uRhwpbqB6OFTVGlZ6w5YMag2bfft9NEf/9BOhhgZbXuzWSKMBcwiI2BUGaJfO
8WwQs7UdtUDcyBVff5lKf6/Dd/8u6lTc6ZJ6Ky/S9bagdZCEUCTaJ2tejEdJ2hlBqCYXPRk333Cq
c9fj/MqyY15wp8PyFJurCf2VDav+pZ3FfOMGhU5SfDecc086jAilGu9bLV3fVClNh4pLzifp5OlT
QJ936zPObH2Z4p3w6rscSuMDMwVzWzhWT7cwrqxCDKP2rl4XvPoZoNSN2/VeEXZIjUiF993kwO46
YbxitAdnEV0ZImSkNExmNRPU0ybVC8eIvFtqJlR1qvTtOFQEemtSP2OFoGBkWCUjT+X+ltpS3VZp
ld62mW1uXOVaX8u8pPrluz1/6ZKM4IrZH5ZH1y2sNCICQiMXyMj2pFFXx2EdmSdWGpka0agpZ4xr
pn2wQ0Fxoe4hAumi0Z68eEZNL+y52M8iW6mEkySngVur5luJAdMPB7eaz9bqVQuPxsmxp5A8+pKO
HXR9gRk4YRGVzmCSDHKyoXUoMyYEnGhPQkXne7PUjS9tl9RDxLqtlSou3cbR57OBkIa4T6JDKiqH
uB1lWgVROi2unzLyIDHiMWEPuLjPqVfJ/qG3smFEnAoZrT6u0kTRHPU+elC5sYlmnh5bMaf+p50W
SVajPS/1yXmu4Awob+tLBBuxNgy9+LZ4UhoFg1+jbbm4uNz+tw74qzrgytX58zpg+rf9eyWp+ltK
zb8vpw7f/vbvP4k8/D/eu/5v/655+i8u65uffo7rxuifEALzF4fqzqSuu7LwsOf/1zLJpnwgQYKF
CqjIn5um/3Z0mL/AMuCPYxPhs0T5/a9UBr+vrKko+YeuHDc+8j4lyW/rAvbGM9sHkm1BUDP1X12G
0W768qs35f/SpvAr/qaG/fkicJHYY/F7/oFP1zejJiGXrXuGVCqcvW4FcTt6EQPa/i/KZcq0P7yU
zdviObbu6c7v/eAN+XdKpJid5zEHgVvmxck0USWQKYmgC1zWvkLttJtXxw5RlzZ/8fJ/eDvZlWN9
Z/dnGKwHf8+aQr3rO5NrMqippyez8r74TJP+/M28tlW/bgj860s4gelBxONe/X1yPQ7aZdATQ+0d
Y3qaHeulC4wmGkBzhvqqvv/5i0EJ+OPL2fRCjg3VCp6oDkPj110eAUiMqjBO7NmIqCPLEIPUo0Cr
joXDYVyiibd/piPBqr8mJVmogUCABbjJq6IlTYnKKQ89M+WSy8h2OyAWJHlpbMYArcbPRCbOW9KZ
TGXAyq3IbGopKg8IWawPU0w7zuOeeeiVOt/2uvmC9AR6zxIM1QYBr3XJ1BBscCVZGyJv5pdFJO1N
7qZTGlpUWRDWVVA9uQyJvuSL14RB1TLITxvn1unr4sF1UO+MNmI/UNIpGxUQGRzXyeYa7ATAzVEx
lI71wIVyRhkzxlZV/bC98qHJ7U801/e4A6tosv3qKPX5a8oSgJcQ7lZz+DcrzE2bQq5qV6hr3l5t
bJxOTN/bLFAHT2S3Ep/+Jieadmub2IupyNzLjAyW2bGbHM3UevE0IzmKLCdQpEOmn48jgCUtIOqv
yzeLIQQLTJU+9S6GlMGnjAzGFL50ypBlSsY9G7NkKyASn+sOG2WGRCXxseA4bDoLXKdav1yvpjRg
mydwM+Rw1J+UB6Yyoz2JTB/4kYRaj91LGokR13Pbus927WlfsmJsb+sGv87WBy721BjFeCrbfNiz
LKWCbltYVzBFs1NSqfbclLqzNWvMpAx6+IhUStypplkiMdXG9j/ZO5MsuY1s207lTQBcMNToOryO
uo5gByuoEFGXBkM1+r8tmMonUe9LqX42REkkPRwOBwzX7j1nn3FR1n7MSvPZabCeE8E1o2zJLPWm
MhMvSmQu4hJQevKYpR3BYxlRUTHd1G3aeXoAmWlIMkFkl3Gc9nftWve3VS8vY5xSb7Qhh0cHoesR
TYm4ErPtHauaawFlRrbH2j4famznadG7CKIyBIm5b89kqmThnUki1oGkmv5qTYzmVkfkWVItV8we
2y4K29Lc9xOhBI3nUmcy86K6n93s0IeOuqBlSirvmnq3mS/3cWyDtosHXzCsSJh2FCnGAfdlHpOz
U8U6wn66a5fiCW0w+4YxJyYMFe0F/agCljfe7FEl0x2EeXGwtJlagBc8LqgUT24rsVp/uq7NxG1u
qk8vtkosKnoDkdudHXfLu9S2bTD17PaS3LgYtKnbnkNEPiVlE9oyeEz0r/1tZ2onePLpCg8ZCyJZ
xioetymIQ20fD4qhjmJtKU/ieLqYCQaLgNFPkaet55TSMfd+ZWzIY2bTFCt2BtqsbsNmOTPDEpdz
aAeYpjG1N0h92TdAY/D89N2O7ZdQW+ATbYbPtC3eGu2vGM0ujaBMHorGdDbs6Li3s/U8OA2tfm2w
x8s2bGNtuu8CIPDeml8ZskP82MXlFuDYB152XFngiJdNECfjKTYStROGeYdWdD9om39uMA9rwnY6
rKTjMVPwuqdeGH61kXIytq3GBSjmCO9SIwQaDROQ8x7ns/3oum0Y1aJg/F37o7xVRmu/s24Hp0yj
CUyRstXQ9XaaIhJDadWu1/Enz8CO2+WpEUF5yYK00kcLaSRa7luvUQiWhiJMQdxEYDuQjZnpZRLU
h1QjFKrRHKEpJLDsykrU17IKTuVoPRUVw1ArFqgB6Rs7fWDgzTLibaxBDQnEhlijG1YYDr6ynHdl
Ou23XNnjTct2PSTDk3uPJcG7yTQKArhreSKmtT/aAeVxM63Ta8NOeUM1pInKzBoWWA/cQOhN5/x7
yDblRYDzfCT31rmDcOfRAQ5FJEB3gCxxS/vga3iFR2Oe+8SbPyqNtig05EJCuygYGzy7pDQel5Cx
Epu1UvtLZ+z59AV3pYZmKI3PKO0MkgZ755EtY2AcaZ156OH8X3xh01sYyZ7cdhrIEeSB/1jKWRzg
oVW73nIWpL8LAMJCU048sB7IIAhmm5V7dDX0w8sE+V1GknwN3B1Bbdjgl5TTr2EhcG0A44FaYue9
lI82SQWRawqmpsZQWA8OzBFPw0cGhC1f55EcUThG64uEUULMCSbIXINL1CfCRMNMBo01cTTgBP8p
qBOYJ3UB/CTWGBQkA/JEYuF0GjUkJfwRLIiQTscMWjpy8PNR/98i/2+LfFCdv6uK/mTbvv51+p/z
r738dfljhf/5st8qfPsLyUoeqdSO/VtT77cq36XKZ0HzLQrSPyjGHPGFvrmP7UqXcz64n38X+Xbw
RQvHTJM/QYNmAkT+TS73r3r7rwKZ2Bn8VMWFJrMyl1yoAKwZlOifAEZWR9qMrdz+GI4G09a6t+l0
gOMsLkjyIaDZZFT1kLgSeZaZpeo0ZvVwl7bGWB0K9I4FCt4Ryw5jN2aDsSJITiGzsto5iRJ8j9kd
o2MTAW5NokLYscTMxkSIrmCmhN8ofpyt2n3ltn8vBQUHP+px5P58GIpmvZN9+Ni0Cdrkmg3BpvFK
CBBEa8hNT/10pSYtEuNGFvcS5f5maAfzNQSrQNqKkVn3dT0VZ9kjdG1Ifv4xZZk839jhFJuvydND
5moIcR+Tuoyz1wi/S6vHMNE2NuOhsWKAnow5FkyUCOjQRixT6yRD8ppljhiTE/VJ0Ibo8I3vP4Mc
KXn1JEY6IcwNgwP1etiAoVGnFTV0hDmcF0p3kha2K60t9qqwCl/GfO2SqC4D89UHJ3bltWMYuVaI
osfErj5Msj+R2M67C2RzGwxjy15mQ0h8TWMrujJhj6EkyyzKHckGp88DamACmo03pWzm40NeITRS
trjsAwkpY3JF+bwUJZL1MVHita90EV3MDPN5aqTzTdCWxvc1ncJotrv4XKRz+mGwWF63tDAOn8cn
9VFxZfcYEvn1ZCGmrgESrWMEwaqe9mav6gNwsRHPUbtSP3KSZYDggGQprbEbMovHlgDbuVEDOJJL
OJVpSmqMKNYjTabe3qcuIT0He9UQmjzGGVMbTXFeneY09g7UH/zHLJVZYr22qP68vWiXAMsQjJCj
GiquBTxr51xJueXdcWtJ6WY7x8eGT/RR+dyT3vRAttjy2rWpvAwwaz3m4Kj3GBl6b0shagPTUclF
3DnpS75gF2ay4l6wZc2iADUGrraB6n3ElRflK+1Gd7VkfUCyhNbL7fDEYfz2tP90fVvraTkEjgwP
ZWnZ3ycPIyzyq6pqAI4QjbBNrDwr9mFuDul1UTb8rFCVLQQXjFJW5NgMSgk16RufvNakkPdxFS5X
2ToVkc0jZAsdJr6qPOLUCFWbgoMYQrHvy9R+JsGvOFQBhNFN4aHtZ3ScVcGhEKZ8GBrn1R1KLC2u
+VIH80JS7NjRT87xepHRQopLlcTrEElGYvssWPFY+1YbMTNkCBsDX8MQFvR4JcrmVnormcOGjfBy
WVBuZY44qwRSFLr/ZFchhtZOumFnwYI5o3Apyk2B5iWaStd+moXHJrFaGOYTOiY30zypjQMhK6ot
SP0RTb1ir8mEO6sZcD+Z5A9HapIG/jFbXil69zfMEIoL+pLu7eAmeCTTEWGO6UuTmTKZUPkmMEJK
BHinajvNpv86rkZ2FQuR/LL0eU4Th8yuha9+bbXcFMLxhAWqwYG45MBrI5PXvIPBQiRn5ESOHpOm
6h46xOL5bhpFulPpiLvfKOr1Cc2QSW+yS6G4tD3BAm1DDJW7HKzOh6+D/qqBCZC0JtJOssjazVgO
GCbIbsHUVzOdn1goxEaVk7kdPW+5mOK2uUvnVb6EfH4bNOo656e2any59dakPyvEJux/PQ1VnajE
N5UmvW6gBCEHTv0GEnHd9lFfWumjh2iX2UaJMtXqq/xiHPJiicZex4DnFnZP22tlRBr7fEjNpI6m
pSIc1ex2fbZYp4a9wHWzKOORST2Lv7LACoXTnOOeqsuhZSK+9rcwi3EW1+wYG8JW7yyPxu9Weip+
+1xZumKIv4dzVZzLhjuUJDmBv1PfRa3HojVDuXvuJ/hInmGyrI7agLRBeoxgp/Hqw5ywPNMAthxu
h8m6F65+I/Q48xadCkdSjsV6NZnEiG3SyQjra7rAyzWmr2bZNiAtdxIo3lUfCPdHKsd/y6W/LZdo
Zf5ludT0Q/o/0XvflFn9xwkp1Q4v/a1kcr+Aq/F8HGS6CUqK5b8bo4HzxbZ0t9QEHqPFDXQlf1PZ
e194+ECzJFDDtngZr/oX6sa2v/BXibiEgUPVHbr/qDFKs/Dnmkk4Fnp7H5lDAG7f/4lu7hczUsyS
CRoiHPIURKjFyatMoD9ZY8+4Zxhbs4G04qf4WfHbOCcWMfJ0vZWLLrImPCR7Fv2q2DXAQDsmcY3A
390SCGhuzNSWH1UGwJGxrHNCPyKu2SE5p8HBg4aSj64CvlWbUkywa5zIvGYhLSlZGOAGlyQwNm+1
DNq31lyhHgN3ICONVkpwKVK2dgirxTV1Bx73pk48b6MaK2gPVumn/U4Whn7JJ1C7YER2a3VD+Ezl
wBtPrFVgFWUw3yfYc5+rTMz3PY6oUwyNL2bTNftgrq26aJDy902ARcmXHzIwCZisK/DQn6mZov5M
iHPIaiSSHZMA8C4+RgvoA6WhlZADIGzxSO1L3qKGbjeNoY72mNpP6xTMt7UNK17aJhg2nDPiOrF0
8CeKi/j5RwofUYQA3v0wh+nCBFd+5H3GGfiRLCdLwvvizhw3s93z15xZAP1vXPd9SXgdzT4OgP4p
RzvhlL6FoGc95nFKL0/ZHmM/L5z51I7OLwgKG7R8bvLZCRUnDk9Npn3tORh2a7h113Zh5JeovATO
vQzjd5yNJ7sBr076Jq/xP1OJ8OaB/qvmCu0l1zVn+McXWpoJ6N0kg9hvKf0N0wibb/lKpXwlYJ2s
vwkhitjOwNKrLTLSIrszKouP0OAFg7w9pvwayBIGOoxw4iYmksQwZn6iyidyDd3IN8jXhJVXuVAF
dIfghScvvO2yWikWxmn9nsY6T9Ac6/B5Kaf7YZUuLNoUYAPsIlBArLR3eDeod3A2G1ErKuuxdrgA
tReDq7biQi8wbMd7nBr8pDW2+NVPmUFzJFxEDH3JIGWPSyt4GLkaUA/wzYb2ADf3M6iTxAuo8eS4
6ZyvRHLxGRaU7ni0uPUAtg8fqHbg3KNbFNfp1HET+uHMF9y04KoY0yaSOi1v0YnV2AazqAh5Zu1G
LlGPyqRG59yGlCZQk+yTkY8g9gHTcdzZqggbqIp4hg4B5QE0BfOeDfBBsPazw1vWaHVJKdLXyRLO
7ZvSX1FgY8mrXCTCgZD8sKEzAftSzu8QrgG9G8dw1zqifcP5GD9/XsKZQUblUki6DfpmZ4javsUe
GauTrTglkw7A+IwQqVaLsIiUQf5eU28xKoScuAE0uR21ZcAFo5A3XpS1x29/3hKUkNkB9zgnDyQE
X7bJwkH0dfcjcqNzW+jl8EXFozM18bMBcx9Bv8yhoecdTN6SKFfEzc0S7lZ6vpic3Wmkq1rxcUxA
+T/iTrX6gPvBNLnADBsCsyzAX+C1d8TjaA18amICrA3jBJtIPLKop6YMAYpin98Mn/lfDUgZuAdo
wTFJ+zK1b/G1AMM3ermwniZruDVJETmCpzcx4uThpUuY8NaeUjA/c1Pwee0ZNcV+lYtKdzBXuMMo
bXRIpc2KVVnNlN4vcm6vkpzUpWyBP2wv3MtFyPIM7pSUzIogeORTdI9PRUE5kQ8oZ01GKo+D2yrO
IIik+5YLHWgVfoa3woy7Y0hT9hAPKdGpMOCvCaEnQDNI8359kABuneOsWCLtlQ88FwVXlBFafFEl
CI7H2MRweU4aH86WXVdksDLTx3JrwvVVjgU1H4pWfywznVWTkYy1E0QZ2bRYHS5w0jT4Wnup4ask
uGGVroV47BRgf/BHE4rqHoiJlixwvQg5ECxHys3bxI7cw3vUietMp5RWFR1Kmrwt6ZZjqK8cPPvN
cnbynh9v0Wz6SApy5LPU5epGTv9o62sPioHIL0A69UcltDzn85p3LIcXmQOfGc++vv6V72FIyUaS
R9i68zlN/RiBbN0NdyPutRk1t2R96+UQbNmv6OsxXIgUaLsgfMZ6whf5Y0kjmjirtq0/cSmBPO3V
KQ8kcNOO2UqPYsgQt47H3VWWBb1MNXF6bRJIP++4agyc56kmoiGaO7dP958rK0F7wkOKHXTPIsO4
/TwlZFi+uJ/Zu6WjVykxQud00sF9D3U0X6666k6kyorQ33+Ayg1Pfdvqh0Fn6oczVjMk40hir6fV
ZSFDUMAdHLAFFps5xR2V3lhLuhxZfmwYlyLB+5puEmgPkDCbNbyoajmgE/fjmQhdBg3l3ZqjFTEz
dusRUujkmUcpYSkDe6UztD3umkLNrLXck5hVWWIagnUstDx213sfTV09N4noz2E8K3PaLME0U4fY
/aPlBFiO9IMILFL5iBymhZ6jglv0HmbMvTvaGG3YzsClGq5dkyxgvJsJpLgkfcr8zsVUUMdfOxil
htV0l9IM3agf/Mj08StNG1WJypiOw7CcZKpa4EohveFbApybKAyHlxopUct4Ym/QPLltnXGTV/59
bCFXe1m8sjV0ji0OuZMQTcWqmnOHOx57M9tU1rY1W1ocnrXCwZLs9vBhOXnUNlZ1FKJL0k3mtLCe
nMLeF7U1YsXFiWgqfNMuMEBgL/60IEqrGV3sFw9OxDHksuyjBA/wzOlPw4vBdtabYB78s8xDHnPZ
jNxrNsCKVJN4csSI/QCV8U22FsHZt2KuXgH41EuDZpcEeauxrDOxXoWvLkBtIHchOtzeSMOd30un
yZ8Wv3oiCKMrL8tOOnddAdnLGOQURM7ah/tgtMfvcunDb2nAPlZOCNtXLrJdB+hoG7BRBWKUI9ca
u3G7zANMnKCdweE5SMMUUS1XQZ/myxXny/vIh6DerwpZHLpgk3zv6SnUAMMCc97Bj6evcI0Jic79
byjHl/vUXeqtAHOytwufdt7g9ncSRSnlT+3t3Lmaf8mV9WhAHcQsIOVVkKXrHSZGN2p8Ve0JtHUO
cTgyIwwzZ5d08rELFRPV3qMygpbcNVcEmbBEgRMhSD1tdwl1w1lVvThbsjdwlDbyVITKuWxsrByc
tJp2RMfG0KMbBKc22BngdzY5KxYz/Kq4Ra/IfDM4G2shbngILJR8GOnJsvFOJeybuwS6h13b9dEy
ZH9ASEPNugCCm2HYHrHRomInoO1NIhTY0o8Pr9bchWEM7Q2fonlf0Fe7bJZyeLJmy7hcqraElRP4
vA6KhPdtGEtGZrFlMYCa6w5V+dC85lr+jc+rIoA3r6ziEdxqcITpZFybmEQjnrw+zhdnr3woLUQ6
VydgUf67UVSvs6FbJAIiEjvzXu4NYIbwM314vQtmloMZF2nkBgXjxjJLtiujbFCJ6XAaa/ejJZFl
Z+ETjURrlnq1Eqcl7+33uMfbvo0bOb+StUzWqNFTCWZmvV0Ks9gNTPUf444VhZW/r3bMU+loZJZ/
NOVsHwCULVtpMd5xJ5hUlyhCGVu2tspDxUKCIrDbDq55DxWqFBgfyh4uuQ8xI7/PYoEiTOSVUx79
VY7JB4t/sk9zqLhrIFqIOiOcnCSNkQg06DEPoI0NFqY+844B1sFngxFIwGMvtjzaTiLdQktgB5J2
O9/rmyto09k2s4fpufUCEPk4bzewl4r9ug4rvRmT/839bO+h0HqakjngEifeyDHOGcP+EWaEIgj4
lzC0k8ukq65pH8kXDdS7qPrgyitqcGtUAw+VsugtTtIDP8/eBaFo1y2gtrxWmZB66fmdjU6sFiA+
Ow9RldqqmxCOAf/ewJCx45t4CCeqWbQOG2bCTfAWdyWLepznU7uwfC+YHml09ytjsRxntxtZJfzK
TSINc6Kx7prKfgvSiqeuplZ6MK4CO9nTI3Ori87s+X0moiQzmW5FFg8YY9LEXUUNmn4Ga9aTpBDx
RodnU9a15XI2xTrfLxZ5E9SipKB32LPxFFKf/W7H/68BxF+FjoSC5jrhe2ygLZ9t9E+qInQGZdYO
WX6MGxAf26qh1/6yOquSr86yEjXoVCHVSFMzcfQ2gPf+LvDiz0J+sltQTnEgRDZwFFqo8zvL/JR6
olmtITm6cxjAa6llAsc8FLF1LTBxJBSbcXvI7CxNoJTGa00/SsbXST2Ix8BU4hodAlXlPz4tDIJs
IAMefY0/aflrW8W0GZ3kWBuUfjj5ZhSBGdBMKjLQ1fTKqXxURSDX1oBy/vbX7/5ziKY+Gby9p/+h
BCe384/npF78AgveyjlZSrZCOZwARpeyC6qcLyRdXMh99hSAy/dj4yR0+V072FhxM3etdeN4C822
jUlSUnoc9A667ZI6//4ZZT/VCFX/5nT9H1+ii+3B9ZECmyZSbS1q/92XOIZJZthM/sEEjgxowmVW
Esxqgcqid0O3i+q2As06y+4dINpy3w30KjrixR+zZu7vq7r7m/RFoXs+vxdfYc6mBnIAMZAsxFju
pyMy3M5YFXUD0xeGTxsP+dz9QEvqWdLigQNGLh0tBYucURwd9qkd2V/UE7TUg8B5BdRXtnoPxpn9
6+/W/r8OjNxlYmADWuju53f/u1PljyY2vb5Lj61HhAilJnsvHJvT1PszVZEt64cWfI9zWhrK1u1M
gHdxHh1rvFfOCLghHafw2TRpi28QerF/FgPb2M9g6sRZKd+zBFlsGeOzQ0tMr6cOTe5sA94Lpanf
z9B8aAx+/NiUInyY79WquwD10pIEGWdwKZiAzbe6jnvPdEhmvUp6xxt4fOyA/vp0WH+adxKZxqDT
I5qMFuKfkrZTYXTZMvrGwU5d1kCrWYlZC5Te6tQzR8/CH16CHx2Nh9paaZ7MVcphLaAvHubQ42wl
NhyFyF0NnfHu8J+cLH6dYTgl0IDZUtpWq79swE3zpZoUqYZNQgcsQpM9JrsEuNxxXSrenRQ4mjde
saB6CNgQfHx+2P92ov++E62X9b9w6Xx2orfvxc/IddvTL/zNqUNHmeazvmc0Qd0SSEp/79RxPJS5
5Df/JNANseqYHlm/WOD0cJ1H3G/IdfeLRqPbCDRJX9cr7T+Z3Tv+HyWtWkyq3X08SC10rY74WdKK
3KSV3uxbl6tJQsJ6yGSyDCgULXNTLfLKGMhSbCsfh/IYwAnZ0CRf3+ieeej3MnGUhNldxhz7bumM
ap8sXYNaa5VXTVIf095W56Aj8wM7mXfRqNp4ICkSiWedIBHLAqo+p/IeRvYcT3kQDqRYAvA9iLZr
NpXMu8iTcmELt4q9RUsWe/gY24e8Qz3PcYPIdZMjWQ9Xnl31Z0aCjGm6+G5au5tZNlu9xm4cAqOO
nWTuGmDcIUjTOwsHzZIqwm2adB+KRu1W5a2MqrHPo96ulyuIFsluAs3CjuuX1GCU1ZXS2FFaiT1d
qPWAlYG1J7EORu3WL+Ey5jBE9AC1dHbwLG76YnF2rNbAO6yBXqhf0YpwW6ROlcf7VwIB3NI57AlI
LyMWJruHKN1sKyFWmqgWU/lmIUqnbcdjMuQ3/RKaKDSLdYeMn3meFbKOmq29S03Xpr9ruKBn1AyU
p5RndmNXqaD2oy691yEYuyH2D2Gljq2jFYNgCTYLolDGwYkJfsxkHc5RGqXLM/gOBniD/hA4j7eD
suNtuagk6l3DQyClvlUSOew8o0eF0XLRMsmLbGveNau/NzImze7a1VvMoTA+efhuOtc7hrCbB+SD
UVBYSEzX2HhebBoMbCndnaTBurEVQDXLgRyKImQ5WVQxj2BXMVmJYNz6PkALNFYuuByDfcNsOmBi
IAq4QXKYlQfTgl7SLhT5V2jSzkUHjI6mAghK1+62SvYT5NvkkNrKR+bEtqXE8FHk3WMjvedgXi9z
a/I3yeg5e6NmWyvMNT34bfW+EiSdd4NzyJu4p/M9QR9AhHburPBXh64tEU+hu+Wa0BKwjTdxSQR9
chc2OWK+hFEomx847slAu0OskSNLE5e/e+qsXHxdnFWgSJMXs1F8Wxdn3s1p0O7yLF+Obk3TdF0B
4Bkl1wI2rW7rE0tzTFdHYSFb5ojuZbctRP9qyAGpsj/HWw+bEVzEpTsg+XN2DaynvYfyZA+w+6lH
dn9Vm2m1t4NvSShN4qT9LnJbz3gkXxToNxoKZ+uXWXZfjcDSa8koPS/AKrVZ2D/iMwu2UKmK+xUd
91bK9Qp1RbkP8mLaobnw9qTtVFtgtP6unrG3D5Zh3mZeD28aA9COp10aAaC3QKHZSCH93DsJtrFE
MATjkYkNyJXRumBrorYGTfknKAOcxQAuq0V7IyJbhlQU+Eob020odNzcfCLiAc6QIQjBGrt1P6St
H4VqZVKyFvVDAZsZdIAyz4J2iAuCwUuZXxhFSmIEIHh6HV4EGrFgjA5fgENVlz6Sb/6icVkT+3oA
ZnVN8+dbhtQO3xu7wbHDO6R4rG/9lfPZMsk4+mCINpltfp/jNNjOEznk2nxIbtbwAIruRE3snYPV
pyfcu/denHc7JjwNgMSZUKKp9LaOA3ff6sJf1FDeZ4y0mA7cloA7GKNn4rBkxq+Vsy77sl8v6I1d
ZhN/XxJzNXmL7k/U9d5PjB5WrGy3S0wZkBIevRFO9t41CSjOgC4yItujP1JRlIWvhZ9qiIQZLDsL
Vcu2h/sRmYnXXy2Wv1eV9R52uOQDzO1QYqT7EFtpElV+uNP8SUI8cjKMu19HSYvOX5cY0GSOFLUU
4hwHZbHPS2vcQZSQG5Km2i26xuBIbthNU1pfPU9e5okD6d+dn4NJ+tSP3hCVi+2dgF/Xj2E4vpTw
LLZt6//qpdOECheB+pSUj5ZQF74zkM4WWOesQQPvNk3JXMfDOtrflmkMscdOgwh2wve+hzKchQAB
3FU1B8fBBhjjLtt1ZDVcMokCsDf3AaaCODyWeASknX6F6hQ+Lg5InrIWF6unM+GspdsPQUmPJ+Ad
63V9pFmc3cKYB7TMQ2g2YiLQJpSocGzKfa9cd2NW7oOehm29ocsulk6ekh6/2DjapOHR2N4gVDW3
adV5b2Uxv06xUkd/ARWrLMZrSZkiBx6mw1zPxp6xEc2VagxvhnK8NRMfp6bj6AOHKN/JOBpc1DRV
fN/Awt1NqM7nLkN7hmj/JFLjRYXgMTtj/rAzqLd2qdQpGFeibLOsx5AYe0fW3+wMqRg/hMEqNwXM
9VSPfTBAZnTIVtvdJ7SboD+2djQ7rTgkfv4yjZmLLD54XAZJEhHcdfqt322j9c9lXca61bRunNYT
e7fxQZE4lXkOWsZpDaxo0IpNvO9puWxhyGKY/FZSFw9PTjbESO5puJFpfZyZ6QHzmAccuNPzwD4N
UnuOKD8n+ZyrrwpgSPchtA2frDF9k2EQcaV97KwGCkbktwjCnmzF/hGZ+7L0EpecKxtW7wKBfjtl
GGCt2L23HaRF/VsDFn6tz709Sj+M8ibACYRWrsyMFCJA2699f/Xf8vo/gijSvKFD8P8vr29g1/xB
EfvjBf8qqwPzi0u/waQ69sm5xQz177IaeUcgcEhhYrPJJHV+73sTXxBcWPQohO/xLzQcv5XVSGK1
e50dnQ2FzSfK9J+U1eJndYcPURHhrYsiHIEmIpM/9hbiyUhAGLruaYTFH2+tfC3g1RGQiXl+jOzF
RYGF/BSKHiMFOHzxOUDz9MaDeX5ya3QXjpfLF9Ou5UsyI/X63Zn8DxpoHJ3F7sLlAC3b837uM4So
7UgcD51TPjrNuwtx8bYzU53vpuGJXVYuh7AlZE62DZLZv35v2mM/dTkgrKAVdvSuCLvep/zm930X
WBYoT1TWneIkfq26mPHepLLwqggRZW291vUvsYzVJBwtnn8xOyEBR8gvvs5rvX74CuD5tl0X+5yU
5AcUnipJkuhVseu7xrvzqaKWCACce4qnargUrd3uqZUB9QOZ3+RzxTrtjLK6Sa3FxDMsWCbMgOYr
olvf3yq14tgNVGp0G3vwqKlzz3rDGoEtg4n2hq5Cc+FLZ92hUFL3SO1qBhVOzcx6sINin3QQjaMw
TpmdZY75YmCo2AWF/6hgaZUMZTqewb7X1rDM6c8Z5DyMiNHs8bjQ7YgKvOObnMb8sln9aSTVify3
qE1hJlbWvLzWMLdwYGPKu3SnnKKvX4aXAGoyligTmd8GP4hm5hHTQeO4WPZA/b3DHKJcNRxrkvDd
rO5eT1HuTJllYksmtAlk2/Rol/pmvw2YRu4mhRl+P9pzgHmZW+l+xo+DprLrvBI7TDo8CtWku3rw
J3XSaEiYuVY93M+ZoswT9iRj3ErC3DMVjglvjAdULhvXY7y6Y4+pYea9SWGSZNYETZOuP5Nu0PYt
dOgjdaAFegxE1GZy3Vc/X4IdKLD6tqj7eY9AyqJl7tIXcnQaFzSkWezxkPX7fkC0uTATP6xWkHx0
qTXuSYaHDTGOW+7UkLgAv7pfrWVE592o/LzmQb4N3MF/T/2hPZIztO7Csh2OS9aTwwxZPIEJnOOm
jnjkzxTy7F4PSKHFRWwEILYCET/buW7STykPIfLj01+dyRxvBJEL7iar/epXGkkanr6SvY1Nj1go
/FkduR3j6tobzycsZcu995AmRm5fw5BWLg7+uPKmBzJIsrnddH7dEEqI4iiJ8jnGQxgAQfioc/pe
MBX6/GCZzfSB2qDSCTBphcaxrVuGhbIL++wd41tJskhNi+lGSjAuq1qJ5TbtfHz1ZjBRl4tLVDah
UsDN4lDNPXdFZwy/1LEi0LEPhw7XEyrfbDeAAjd2DSa/q3ER5PtK0x/ETo10nB8WG77NEekv6Fgj
rvXIve6rZNurNGm/oq+BN4A/TEPeFrdmTDoV5hHVesqjgHDJPp2ydttRG7/Lhu6mbmlyqc9mc0LW
UtwLn0UzASkhICVn9U2+KuB9qumgVFsh79brz7akCP/7eBUTI04Z69ajI1+GzMuhFGQjR8/GZz12
DaL4rJlaJnVu8zYBEUEw5I5M8tKJG3knmfMaG2XO6puZU0kSudG7UD9j5DRRa7XNO5oJtn+M7ZGt
6qWcLgDnyWGkuRvyTy28MYzXc2atz6W0DUhtxWQT83aYdUDxuuVJIJZ3VylmaecApj//KpJQNzFg
2FEhbxqxTuNrnRDYIXEjuPW7WoaKS6df5UXTr951JwVHzAioMfaTYiSiIQftoQOYcYPEamRb2mSW
3EiRz0whE9rsTcONlVGm3/RuSa4Y8r3G3ZKBNp5g4w2ErI6kWFxWBm4plsR14toFtXFCFhKMBImB
iKCP78ZqW8ve/8q4DWo/J6cIozIhswJvq0dqJ6PTgGzazp/eGmE016m34G5C8N5s4sCEe8r8c1dM
svkmxfCEV8I7jQyTXa05n+6UV9rl1iApZjwEKCvw5QUZoFSCeBGPu3m8F6jHr1J7jBmfGiBmUur5
RwsVg0cpqNxf3LEGMDrCwd43U7HLrQbwQSnc+dIp8+YCVk0K/Hrtyazo2NnNXdC6OE17cWEbJbhU
JrAQK2SMPJnnzMpHDpetExKVAQC58q3IcyWmP3SP8GOWgazrQz3ZC6vf6OX9lnU8iQiXcvYzsZ0b
Wdny5b+F439YOIZUFH9ROBblO1LKP2qDHShX/9uTdb6g5GW9sEB+aUMV1dm/e7IakuQB1cZ2YjHl
449+0wb7+k+YzFC4WNR7/6sLhqTg8kBlHqlf948KR+RKf6yOhAmzKbQoHzkCNKo/R9z3NF/q2RPd
2RkM8CDEAQ3MkHGGDwHh23XanNwwMSAHwo9xd0XvKcKiBpdsR0pehkQzCwCClqoKs/hgQLvuH9XS
lRcYarP8doBo9xWJvv/mrv+PvTNZjlvJsu0XeRr6ZhqBaMkgGWxFTWBsRPSAAw7AAXz9W1Bmvlf1
BmVV85pcu2YySRQZcBw/e++1vfqccmG96XVuRaFAMcVlmFVn4rjkA4twZMGV004sW4EZOJUNZ/4g
l0M1c//TZHSSJbXoKsNeFr6P2UzJUWBQNoAMMnu/Rj3hA5qpE8VQkaVs2Yhc7GwPvMo2TKDbfoy9
SH8NeKArALgNBelSsTm8RflP+2Qvyspw1oxIlk6YZdCm9R1IUy/w9wQ1F3mH4Z9/bjpxCpEYmHMn
PhJmhtWzo5rFACFQu44bcE+0YgopomLApnQXWODKNUtQvp+AEudqQEOP3dBgBzyOPmHSNDaNL61L
BfewSDOXmQrR3sVOUHNjpb5qoO5mJgmFCWTtuaXPYIIYinUxDRYItREIHmfZFt6YYEQgnGGloG6I
vzdL/o1bZVYu5CP4oi65KXL+G99yxuRgFVPc3RHdEieDPqQHIw/iDXBKoOIABOhrS+tTKsR4SOjF
YrnFAL2xFd2GI/ibq1lSaOeFcv7wZU7yHq/udi7mlMwS5iiQV8VtRzLv0CinouoH30dRjxB227rx
NrQSrxuBaQu2nPx8VTcRLuXk3rVCKszScoo88DCR0zOv5B798fTVxdeu0tUbFca93BQxzR2LGOV9
mXsvlGYkVxu3zgP1GP6VTfL4nhIdgq4MbKCT6XTl89BgqWsy3oxT/FBazfxWpHLtIh7o6IsxQkUU
Vfh3YVjEr6mc7OOUeuJeoGmz+upghI9+Z9/GXlweBE7lhd0kO/dX7H7AOePSe2k9s37C9kkpHiJi
gi8pb+1pi7/Nn7YNLoFTzU7U24Q9PWADy7aTZkA/6LJIXm3Cezfh4mNcMKWrn5G+USECSSMpu+2u
/DG1wyBMPzQ2L2x39Y4GiWUzQ9Z44D7nnzrtPudE3VU+OPbGofrl1sS7DAg1W0qQ9N0w3mMSt27M
aWqOjsMA3OczP+uhVN2Vib1+7eiNoCfel5/aSt/Mthu3fRkEZ37S1Y4UmbOdlQwuC/b3a+yp9Ezj
TPecEAP7NWB3pNhIT9ZX3nTGjVhqXuVta/tnXU7h3snlH/gY8dF0CeOkE6p7QbnGU1gEwy+w3OXb
zID1Zus+c7duGxRvrahD6mB4wjzRdwfEdGsX+rrfZ9K70Q09HWQjywPOoPm+Dmv3rCd6YxBnsUwT
3g7FvUkujRKwhRsU18LsoY7zibi/ZNZsQAHwKUbBTd1gKjdZL1RE8d+8a/QgtzomScb3pd/4pLup
HTRQUpQmSRrWERdp69XxhX3fi+4lW7qnXAr/e3IbCqGAVYDdwofpY32RC5pClzs3FTbjW6NnyuKG
HUd+lpxCR/mXWXctj8agnhZA6BEW4ebLGwA5Sb00D+wIl88Wqb3dmAKWVlhpeZOwx3xJUtoTvZYM
ERpMSynKEiYXdMDhvae6pG5wOxJtoBeqQNxhfu/OQyaTD5aN2Z+SxsKtGttba6AJ1vX0FKXjYP+y
mOyPtvAxKk1az7fWtDLjaVphWmGxzhPnpMadiXl53zFdYUkChXwtcrX2C/YmSvrq5hxVhuEcjz02
37TS+XS0gG89NnrVm4tE209jHwefha5Q3YdsddsGqz0VyMX86IgYoxomsI+BGMZN6BGoY85ZwyLD
ardPqGQm6RCkoAQ02GF/9fTOmF/ufJxw8yYZbJypNt4tDHGgKCom3I0ErXkrTKu5oz+DnCL8+W1v
TF8039WPJuvsUyJiteUPxZ+UE1DHUBcecJNNt6Jfw5eBBFXVdO5PI5zvTLbWrQkTod/OLZf2MmS3
i3OCh1wUF42ecgntorhNDRo0uVR/pQZ8oNZghHOm6aUxuieAW+hSZpdCQuYGkSGC7DNWSwcD9va1
NbtmJzwrtRFvtDomgmLAYkzo1cliluad+UZ1BvoQXqo9z/tXjmbz2FpKb1MGxefEJ5Jnpp086xwN
pOtit7zQRMBkqOrx0tRGchSallZCKF5/cDCpXvnkVlFthPohw/Hw3U5IIiShzfK+KJ3gNfFi58xX
CChES8I3LqoiK323eqhiQUmfNTcnE37d1mCTFM3KyG4FeH4KMerm0A/TEDk0QbxbAIujMmgA8/rF
716Zn3lLNePC6/GWQtgE6JrS6QOd7yy8VQMpuEqt7WxP6scEILgbzHl4yg3P3f21TTcJmw8Hg3IE
oDF+YvOq7lj+9AcdIsHNKuvugYLYJjUGYQe0w0IOpTxHnDSu1oxiRbem9ddwyt8tic19QvLwm4Jo
cwckm59rEPxOg/JPBzv7ZHMvwR1cAONw+T9Yu+FmdpEZATIZJwMzRUSkydoTGDBvFynyrzAPXM7O
VBwIFwvioHF5zfsSQDtdJHvZ5y3F1AmtjXCFjjZ4970/MXkJlJxDYaXjTVY19JKUE9JhbwoRGRgn
t5Nsxp3tq/qrd3VGtzDu5wFgwzCn3lGPNqWp7mVxtDzWTlXg4g2tfWO6X60hr8MQMDog63FbXA4c
0YJCc/HLBJK5SVP291mxMGGUhrcrjObOl93VN6i1VO1hQedFXCj0ujN4DABDnLH2Jfu6Q0clRGpt
vKwmJAHfTy1lso+d8mJXQjyGivaD0hvCI10J+Dzt6krE9AFfZLon5pxtFgoGt145k7UfzAg8Z3lQ
4A6jfoGI6CQNekM6ALoYbfrhhG/fix5jMme7/9w7VnakKglPtmv+Af9MiHkG1JRhWd2QJnJ5kRUp
7wN7uGocEl9ZNWO3FHz8gLofvWmsr56gKi7sqdQY3YGNXCiH01R1IairBMkkW4JzRf9Pmbm/ndh/
+d+71H/nLmXbWE/+q7vU85+6/qPUnz//cRP/r9/17008ZUWrj24NUvr8Yf+6SIUGhFoXZwnpRtRG
/vv/LlLeP7CRAYMjqrPCJ9Zo5r8vU84/wnVrH/ohEUw75Pr1PwBTYJr7z5cpPKIhGBmwzqbtGTDg
/j+nqD93tki1W58E1FNTHiiDTvJxFwtNbQcfewwoq9VL3/arG7lSvL/N1aFMENA/tpVDF68bMyBy
izHv1OpqnlZ/s7c6nZPEA3qlOxuOizf9omG75ayzXfsjXH3S1uqYHkJXb7EMOjs/9ikLkfiqbaI+
7AGTCDtKuzVX/zXe4oFQl2GQOOQEYu6f1J6CL6JTdYB9O5+bXw6zLblLVZ0GYsvkXbz9oFhYG/1o
bMc8S+4hNAfHes7QSVmMEI9RDrZx5I7mV2oO7cFiS3cGMITBHHaT9xn/tZ1Pfy3oFY6XS8My+aXA
5Q95dzEeB91ZUV36Vw6E8AJ0vo2CCnJNSckm4boC/pc/UIGetfEmzo3uQMyrPuoMcjuD4LWRDZMw
e+G9JyAjLcNo3td+eE7qAsz/VDwAexIM6xAnzFkHO7b5DT1/uPM7dI+dbh1jayyOcxvmkzoNahHH
WCzm2aF+6VwqOpbB/dEWK6Cg0UDZXEiCEQtoA0FEQOvh2cwk7nXu2bdJXLkHZMsKF5Ht8qeq5SpH
S138TMQ4tq1nb00jzMXg7ZRmRqVMW12XgrQ/YM1y7w0NLwRJpsFZ0w0DMQeigL+NKlN4lWyq0Ee8
QATp4tcxyJo9MFPvO8jw5F0GoraXxOUVUGJYSrcTvoNdUKEmZ2kQHPF/d/vWs6CtGQzVAYIN2idJ
DZIZ4SdMeP2T6DncL6sBA7I+hlSeG+fqzFohYufyhUM5f4FWP38INu6U0S+ucQFxMd4EYtVaK4Ns
QRYSjpBgqjboodDX1rRJvOZO7DWBUhJFIdJJKEXYTnsMKJS5Tk1LG1YNvMniFL5x2gwtRGLX7baZ
KSr/OIgho20OU9K4IWFBHGZZkzEeelb+NyyzTCt9Y03QWH/DNJSwVMd5oLShXkLCNpYz0FxcWthG
bLYJVkRWkCuTyYJzspbqgYXnERcu/apD3V46z/poytaPb1vyWOkNE9Gbl3X+I7nbA8t4U5xUNjix
dSgxmBQ+lCZdh1+LQ0Zvl8Tzcr+Mk3pQgxVUX2Ftx8utU9P8G/TDi8sFE9LAkHbDDnvEsxOrfEcT
HtmDsg7PuvEttvaxIrUgafwjvSeqXG+xgCZ4qvyie7FK7RS0V0C0oNKx9vzGP7M0CJSIKhe0yT0H
Jd/3agRiEtMI4nU7IHoGEAPMCFsD3fyuJcnjvxkgOVsi1O5sXuspHOLvfG0kxmUabjjhNqnpCGdn
DM0Tn1yXvQK+LpiAZCQLKGDY4jdGH+afPg0D4hjUI8tztym12EAcpAZjHDq2kfFEl+5FQyJ8pRHB
/SjQQ/mkAMFLMAz0XBfqFus+8o7zPTt2XxyseBolBgWkiGgUGTBdbgJxuKvdgr+SQYPLQbU6X+1k
IeVMMxXXOUMTG+Xs42+kG5uLAzt2HBFQr3IufHR50d4SzFZDy+PQpnZ/Q+LLNeAqkB5N/MknjpvW
3j2kq2nvrlFZwyhH0j8u3+OtR4jxudSBddPRXdH9rcPgklWF+gA42rvUodOeiizkuZ/cOHKZnil7
Hmz/QP49PYBSCw4NpWoPtVXeLqwm/E1nug3I6hUpiPWEtXHvpOhQNKNu6pHLRjTUg8lF3bPOAYEn
V9T5+qziJDDpxNh1RIPEnk4R48kvgXl4lsLiZWt8756o6zvW0rSCj75313vt+M4S26IR1w5vWJwB
hWk7pq7JSQ59R0KahpsBu1illvmrndtP3lHdHctJsCi457cZckGwsYzWeEoWM97TdRS8YN9UV4eL
Gy+HugTu5av7pg/EvqTp8TzWRvy1AEp4mGMzUr6XsE/K4yOhIuMXBR5ZBKMteB+5VTabPrbkMScd
e+PTonVxXG6iZLqKSOo5/52yVz27bYMcAJy6F7WzmXqDwk1gw9x48tF2dvkcLw9emOc7qE4HBXzp
ZfGb/jRD8MCtXuOhHCsXhLaJwWdRYoTg0qT3xLDdPOomi0ZtmyMeGgMaC6bMjebvxzztuBvLhDCS
YDp7kHOCO2hZOdv0dh48/gEsEYuRwJN2Uo7GxfllE2HkXeiG8mMMrP5i+ov5ZwS2t3f7xd4VcCeP
nmrtNzHx98FaomWXNO4+p95x19V0HRWGbl8HnsMLDu/ugZVueMvlhJKctM5v4RoRtrDT8a6Asgdy
qfSO5TL+bgMnu50ZxN9iGqToTTZhIOTKYxKAG8TNGUdkU9nGnaJ6ot9mPPkPbu5PB8hd3Ufg1xg+
vQKz5dJfO7xSFU7WwDtVNJ9cQfAsN2ZeNJ8aPXQjp8rAbtUYJzgrb3GHdG4CgWB48P1VHbF3YJ26
AG1Y/JrqGLZ52rSXqQ5nxA4F3oW3P4BIQJSRY6YITxOSjLBIlWKfTBSAAyK3IReijRonL9y2GJa3
YCK4uOKBhR1agQXziG78s5HQ+GdB4TxAzYrgs7ofgPmZKcico6YaOSdBh1zEzXIkXeU/2WTiEl55
SUUl6LPyZpld/3e+/+/N9ySl/uv5fvpQ/3m2//s7/m1et/8BZ4oziPoV3/8nQu7/CiVM8SBSfGZk
WJEM+P9xvndCj18ih+QYKC/EJ/4131vuPwgogTAGvvIvy/v/YL438eb85wEfZIhL/itkR86Fwubv
4tf/QzDF6FmJw3k1ThpbwNsoHH/Da/ormKySlmPBelPgtZ6qpnj0dXAhIIPmPebtk2ywohudOg8z
8LCVUX1xmkGc5tj24sPY5OkDY4f4GPwV6+s1Rnt0ghjrHRNaoh5qkpY2h21WMBqIujT902J2gXUH
lspoXhSpV4ifolga+4CVWsoL62NCzVsDIsaEXTAc+8rZxDFMN6KFieGPLBq7rn0pA2LZhGpI8ptn
TKIe9RMoGP3OTw0asdLSsSRwUqo/8ZhSxsClYeLyAo2gypmO/WZmIzonisFpacyG1YcTT2DkLH92
T9AoKZjeFHPm58+MCGIYyYYWYxulJIw+8joOvhMvZw6DykHwCZo+BaFEA0lFGuCUOtooer4ERSN8
Y90A0VlW53DIKzM3UYR0j0i/H7FjUGdPO15A23xOmVoj3yc6bmBk13YPDXUKMMEG7vs8AsomdZge
M5U9JfgU+GEN+aW16uaIL/s1b1AtchSqjVmFeP11gvGjrZL0LZsyRoKZUj+KmC6N092kiAdvKqlq
bL3qwa4mtKh6DHFdJt5XP8V60w36nTyugioQbovJPiVT8TqNxA5mPK3ngC7kBFvpzqbp6WkJBsU0
LaiW5lsKkaJZw0T6oPwUCcqqD9w9H8cle/VK6wdaUX+zKIrvw4LWV3RvhKL+vanUuRqb+lj0eBsI
SkXTQq+4mtmbS2kAV2uXhzSB31ZYxaskPR4NnWh2lIL+YZHjAWNb4gcdotKwzxMM2niYFK78Yh6K
gzM6AAGglFqQxaJxRMJJWNBuHY24HQ9ldwl6be181zFOaHAZfOWFKnWRcOMkl/fJync8VKObfQZp
yzq+m+edbF3xmMjZQe5K/mA6ae5d0T+5fTY91dVcHsjMc+xnMjvW9JKxN6akFuMHU07tAtID9X3i
XEj3HXnRPbUrNJmlIjyMnv7TuCST+7RvIhQeeCrJkEH6nbLPhkvvdnRrWs4S9oOEFhRjIMWmOEIJ
CS8Cs78xljB1FTgaa3o23drYdGXxKsr4hFMebJGSELV78ebOsUEj55Sf09bFGiKd7Mdmh/17WGgv
MXtM7czqvMlakgPDbBS3+N2HG8/reeIxvbZorov4aVBKmVKBRbm41QNaQ7t8XGbwHZMA72oMjzNU
B/+pdAr5QIiHNvc27rLVmezt7YYiipgrvwJOO+S803jD94a5JIcsb6xzPSRdxTq152/jg4UAQw/m
11C29taIx/Eh1wWNnyMfiyQcS/w+0zR/t5JDdZf4znzG6VEf8QfT6Hfo+WhBs549Y9rCJ+ZO0Cjd
/5gwbLJNAvBt703DkP5QqwFhJ9Bhi3PKaKW+swJXvdOahvllkzrQ18yxMm7SOqwOyK2SHbawDobF
lq4t9Mmfc+8Ad4VTYoIl2BgJWz57HDZwcqH7yNbeoZHQrplAZLeC5deEf/PVzyTFsrkAvly8WUtm
bChXa4ix9OdetM5dblC7Ck0uB7mXfdN+20WZJbPXqstZ0+MFzC5WN4+IeHiWooXkzENbxS/ILQXr
wtAOb6VTNmczRCH37fF2RFx5pKdIPBWIOh9W5WZRUgCD52YAUnRI6GncoIxZuxiOyZ56dMpLY0D9
fdyrKOn7/q5UaUO/SIavTxgzSw2eWqQvDzIBNIu4BbMi2pKICGZsBOlsl83qqE0jhay77i/bYCFf
Hnv1FT/Iez007tEZq/Crs9TVZwjSG1Vg97ODHgbTuiU1wPdZ9nhySjNApjZt3Gmm7H/ixmGOFr24
mfG7gXJgL1sbC3GsZsIElATretfkPAjmu4yV+f0ijPEyZyFg0Xnwo6xmQTsp6kVG3xp2bGlJwYTO
xMXMCraM5sNGmt1hFknHGdxfwoFTa7HJFOBP4JMIgODUFwzcnoYNmpj6cQgINhRBA3JsXWrzbwuP
7TQdxNyCMKEje4vtjSWWF1Zf87ogN/CUbYd1ac5YDhDh7yY9DCz1jBmBJFFQzFFLNixSfXuiRwfz
gJA/U+u/VJnf7JYQNcBQktzGTI2ScBxyE/WEOX6oprMo2u+Vz1f28YCSWmJN1KR2S8uv7y0mE2Qz
frC1MVMZuYoDyyoTiFUwaCV2TowIEDgT1msi4N88FHjKrargvGu938sqPNSrBJEW/W+rKYobV8Zk
qqig2cQ2lifQq+YtnwF1UKuCoYviB9dSuJ/k8juRK5byr9aRz1QJx7RPWzhJOfohBX2SSNMkeLhL
xIUVb9NVLtFOMPJyJyHlGQmWKfdHhu0fp8/KfekyMIyT81bhpANnrtrXMuCPWjqMARI556eD87PN
VY5IzyG68VftBtpbfg2tRp6Mv6pO0fNtQOwZqtiIOEwJYGGRf6OkghdGb6+Vyqj9CXSFfAo4172s
/MTTaeE7RVMaiOntc7rFt2z8673Kl+rWMi2yZTNdlaM9f6o0njcjDpmNDvkaNIAU4lJt8KoMa3ko
bNXwDWXx45FOGSZokIXkyx/7In/nsS/6S6/r4Ln1XX6vbcxPuHVPtBbprSjD5Dpg9n9w+zh/Jzn0
5Hqe3qKs3jk4Xo72ECTEEtJcYu2P+UanWeq8hG6ht5OL2W3ug52zxJ7FjcpP1koisEbLqhhmkH7M
bdJY3y6F8W4083NexbbmfjSX/mgsk3/0Jzf4rQtlvGMG/Mpl3N8vhi1o4AINesxlb9+7lTfuzCWn
zxOncT+ilMzb0KLKj/WxyyfCqB7bIHQfYTIoY8upKRgxLGltXUJhP6qzA27QKk/4mQJtXvEcnXeQ
0nR5ZGqcl8dOhXRBodB60ZzYTzKbh63fG7d0ruS/FDnST1qRzqUGexHlDVmdNrG/CVS4T7WXWV+I
69hUFqLMBRiOYTrJv0p2VqT5EAEZnb6MVfOm6hj1e9XBYw7Py5gKqptr7wGn0A2d4r0fjbwOpqMp
lpyPszf633Hi05xuKf8+7N3sjYijczEp8o2wh5Q7N7MlPB0KZqOu9atd09vNY2c7HQ2HfCvu4M4B
LjLiBtNGLwdkqS4gzsaiDh/B6ihIqGnex6vTYF1R7SRfF/sRTxxy1ifVoSWv9sZpVrzxiht+lfBY
n9hfx0cj97OT4Wom3rj1zm09shPOhIoJgXi6fE0scnY3o5jZ6y0pYCMCrQ0Ef5yClEyGZ3Zw4zat
Jvq0J6eWEWYeQKwG5ox+mfo3I1iGb1fq8RioJrxp8ry/d5K0e2lst6PiXjV5H9mtFxWVi4mE6Wp5
Dbu+anKuD0pj0+CE3XJPolxkCaVNmrOU87jLcp6HG1SRih3x6mLRcbB4vxLIZEs0BhNv1mBwQh7E
Dh8MaXoc5E7heGyGivR99DW5S9A5T+VSQ/XDMiQuZT1l76y/6z3qAI0W1TKVJ/wuBv2heRJsqKUV
FDKvZh4jnuIrSxliNxXHa1eFTzjoyUXV7fBZr7Ygkfr53uuX5Kb7axz66yHqq7F6ppo+3diGbx30
ajbKV9sR5RFpBJmy3EqxlEC3O+nu9WpXKh236yJ3iSuWRVkBXtKEHlwvwHqtnCZnf0oeLGnH82Pg
511zPyVw/qKQJETrUc2K6MSwUMl0RXyBT7Esqb4ZN7NgSKAFtNp5ApjjFRDKhrlhV6eOeZjSQKDp
4FpuyskRBItzc4eNrO4iW6Wco1OArYNIqH3sU899g1NXDdGiE3hxXcGz+Bl6QRwZrMyS22xc29/4
CHf5Dqu5jjxrGOW2AAjF6UNpy+3YC3kcsOk/Ti04qwo/9WFxvTQa+5kEqe7kqeMzGQ29nd3KHAB0
bA3+T9U1zpdRA5/GrIy9/YA686yKMM7eTdMZthUuaphHHsRytSxrj1oQ/IELlhw9CtFgGPWp2Las
xV+XXBu7jAZVkrFwHfeKbeSHwWB9o1n5bkrux40vjUPDH3teIHRepczkr3RyqketTfdM9areWpUj
Izc1ce+baWXvkgIfDk0gTAft6mQuCE90Xd7cOU7LGp+v8UUxRe76aQJxXpv5LuFdx3COm2eyOorC
S/8kZD1GDRf3xz7Jwn1XGNaHSw3DESaZ3NC40W7KNRbsZ016yBJ7jLoGkKmdVR4/XpXqzzLECIfj
5t6e0vDbqLEX8JVgPDQsvNnWfGzBTjFKDcltwZV22iAR6h2fm3Yvw8ndtTQowAFf1kBunqU7HVfg
/kpe4zFx3N+KmZ62Dr86iowAqoAgs621Rx6XkA5l0YaYUe5te9/EDlus0Bf3vb3Mj1KnROnAXU+Q
UHD/1nbHBC7KHR0P6R8pPecSx1nGQdsmsGvIQhSKg5/O6e1cUuNBQASXSNGPvHT0fGUTH96NU4J7
mda+Y+FlVNyUAIgM1TTnzDAfggBPtFJqoqFp9RT5dY7jiMwlg10b3BWi7UBPIFiaZexs8jK03/9u
ugloQJKosrR6F1K94wxDZWEh7rgTiXl6rr+NiRdrkBnLaYZSy/dvwG84uhQrT6BX8RbabB/8hLjO
Un7QT5DuRn5asNCmXxAzb9KElp2lJaNQ/lL5uH7eBqPZ0YZDFGKy7Z0XoE2VWUj7UKZQILABbqqE
mg1mZhDOa+FHuetwRw2JM7W3GHhqPi3KP5hG4cP3ZLdaJknxwP7BMKLBwWu6G4ks3ameeRsApRW1
6/pnCpQ8hW1bQt0fl2OSB8YfXXNFo5J8PFZOD8RbtBaGEPJ+hewoY5/6s1/hpDdI7ZzZa0VpOstT
IL2WF7AozmRIRrTBNAH/135yX2MUm+sMd/iSV6d6kGNBB4Ga33BXkbcZ9cUGXvPKKPVMGXu79cnw
3qSejTA8LQyOTUpSaWmxsg6ii+px+B2a7UWbs02llfVaC448clrOXnpwLbVrB2/pZFYb9tp1hPFr
RNaI3eelKVySroV1U8/pbSbq9176NGuq9KnzzB+bk3SvZ6ajOpGkTRrrnWV9ebLH2vlW2LTo+u1s
4gzV60Sw7kfKSixETwMP4x0WuK2YJMT9xase4e/TvNMkuRn1Moh/j8ZQwKAaR6pjwlk/thjdGuTO
OGbt1Gu9d5UzZwz/lckdZ8JVM9jhY82BRU+r7aL/5BgdB8LzaS94EqqdZxTgHKiM1EtG7mhO4ogf
lfQvRe7Ke4KtLAnMArystRTwECD4lYDdgtJUu8FI5Z1lesGJ/+GXijr4sRLr0ckbDg8Ic2eSbcV5
dnm5ElT6or4eaZxqUVhJ3oAb1wem4pbTecl8CH+G+drxSiI5gM91sNZdoKyTLQVh5JZNb1yfCaa8
DMuY5TIJJ8riSPCmbtTHvCHTO7a/yV+fJz7wW+Q541Qk4hKHilmndNsdrrGzNPF3Q8Xxd37hlWfp
sv7DyqO2tLUQ0ecWt42dlprX8QqP+BvVmU98PLu7cKqvrbMWllazf6opmIcH3KcH7i4sEJdK3GvL
ectMR930sSCH3XnZNiltan4MmUBlq8zjBGko6txBneo+Mdhc9A2LfNBvOg6vtPqyhovxN6XN/LtI
TDZn/WzvkTwh0fX2Z+yO5pMOqJL3JgyUW1zO+o+r/PGJsw8vkueSJTLa4dzR0RUYZo7fQQDi7Yj3
RjZtE7vOKIpj6NUXpy/VNl5sZ4isTIfDzk/Myt/kRlqc13ozM1waSIOz/FBm07zDMrHXjrZl+cKk
hSBPjYj4aLyqu/eNUhxzXngdFl1/AvuWd7c+jTxbXCd5GhF5OnfCSXZ2Nc+fzFk8Wgm8BygYwX2j
7fiy9OnwJTLvJ+nw7dJQLxTUhyC8LpMTI8b6ut7KzNDo7u7wYFmps9x1U9CAyPar5sAWtMIh0aOn
4AalUqIhRAehJ5siadFrvs2WWeKdtVLuC7G4M7POHbcuL4NjFo/Pc+K+MCG4Ty1NcgQK5/7IczDv
vE5B9A+DVx0QZiYTaD0l8Gy3gG7vA1PFH9UENRciYbAFdoWloOSSLm60xVBziwCnNi1V3zfMEP20
J+zfbLs88wYAoJw/G683ZE7llp7WJVEJj5BdGDNN5ZmbmssN451uJEF0r+leO+m0N20bBDhL6XQj
7mOw45uBEW9nzoV3r6GE605nrvE88gd4UdAOy9tQoPLwGMcsjVhQI+LVEGbsQUJeWO23COEaz2Bb
Zzj3pIRvy4KHgNuQMDHNuoe03FcUHvTrJMQp8w4nz//tdCkItmLI+6MMQA6TdG8ZWgMHk10iynEL
ym16cgdJgWBtFBIi3GwE/CRE+FpaCoJgipE3qpOYOlZ2avPjXIwTjRg8aLsFkCUsW8XFe7J4RTOC
VjIabfmjGa93SARXShhIRIHLOMvC6yNXDsTos7i9TsloveU5EzhZLw7spXPNB9U2sBDLdgweldvx
PuUsax5K3PNvwsmGs5227GVWCPulm0X/Vkhh3AFxofNBBrQcDqOyrzgL/McQjb9CtI7DGyFS6xMA
WHHuVTA+WZbNMnSyBp7SpuZY3VRugCuQymESAXQE8lBqhzfWgJpLI3QXJvkdG/6e90nY2eVNblqz
u+897fKTrvJd3HdJDiVcPSyJQh9EorN2uOSnZ4PSvHOOB4LqmXT+KWVlvsemYlBbPORDNh3dXRqG
WbJJ8qx9Gzy32WvBWzdpHF5mfKQiLjvZzkhUfpBCB/AJu+qmiyf/NGqj3wEnKm6lWdeKyd40bpul
0S/kPnuibRM8O/KzztbrIPrYGMevsmjlHdzi4FiRbdmpcZEHrQiS2JKSxY3odH8Jysr+xfYWOCwB
wGeD+e62a1pNWR/TP+tMny2NAPSc5uMW9DfgB7QMenhVdRn68EuMJs4Qs8INn7p9JObFvIQjjwZJ
0HSXtfYJInDwQIpnOunZHc+e8BdqXGgNc4iO8qEJAZp4fXdWRF8vGFqL28ALP6lOoaownvESB/NH
Mlfp1nJgpcVBzlrRjCt2Zd38So4j3vsdTSHSQsAWfNAP6Qi/aOyo1QAAzs6mKerZooGUJlR7MiOM
Qf6mdxtmWWPp3rOSnjKuCv+HvfNqjltJ0/QvwgkAmXB7t+VY9J5H0g2CcvBAIuHx6/dJUj0jUr08
0/cT0R3dFIsFIJHmM69Zj4uefXqyTjfchEFDHdhB13xXe+5Y3s1eCiop5bDJvaIpqGeNxYUVtLvJ
o31DjdUh0mjSg1OE6yZq1iuvWPl3O77txLxcTyi8bdyxeIo695NI2KwBTOwz1KN2VEqeoxrICESm
bDdNabJDvNne4fvYHFynkMdJVicyye/WEHpjIz0PYRe4LgkW1+DmQUvk7d/I/uY3fjKACnOPBFb9
yQiH+Is10wZxgdMKGwKyvRIhz4htnyhojZs5HJ6rKG9vp6G9hbtXLhu7CTnaHZMIpqV1DShx2ca2
m562te1eyNH6Lq1guGzcWiMsM8tNRhuMQk8kP/WTZ0xh5otRqflUl+3/Uvx+/I/a1hJxho/a1o/9
c/qma/36B7+61lDo/rI9O6T4BTPPFcb47F9da0f+Zfu2Cw7ZRtnMlrSmf9H7pPuXDSfQQdHjv9rV
IjAybLZAvc0Q+2g2/ydw1BfRh9/kHe0QgUyBvuNrp9oXPOPvzeqmNbynBe50RFtxpZAxqWU5wPQG
h1VJcVrMcHGowSKiTVum++4sS3YyA7y7WdpaHzX8k3OYx/NNjmTs/sU6I10W74ZdtgP515QzvN6C
c9rGdf1YVT7euXdWsCAkvB2iMYzkI5FSVFGZqGCt+gkCA2STZWxdRxU9irNG51Qawes5TfhTqADB
wuOEZOU8nibB4GTxaQw2Pj+LgrAd79XIIN9bNfC4vZIpJjpJPqFRxFhKIhI8D7Y2l+WYV/QIk8oF
qoLa49Lf6UpihTGV2VVcVSllPDay7VT78UNdYSy09o048lDNrlwH6+uUVtlDmEsCBIwGcqCJ3lU/
U6Vc8aA/pE08PEcOCHbdIXyP2TrVRR+06jZqRjS5t9G8Bm59lifI1SDftBa0f/bThOL1uUuQXDtG
22m+SpNitE7RbzKa94WVLPfW4gwrtfKkyE2nRXlucOJmYOeAs9tN3x4dO4kdA5+hgV7MdwD2M32p
UJ4DtMuR67rVePq/QJb/0Y7gCZ9V/P8n/T5lOsnq7A3pF6i1+aNfu0Lg/eWiOYI4I/ATg0cHSvJr
VwjFX8BbJNiyAB6vcVP8r11BRNgIEZ2ZXcD3XbaW/94cUHYUvsCAxw/CV6+g/wDLEjh/YNW5PPkI
X8ldAI/h1n/fHcIRTfJmSZxjGNJkQr+pCbfa6OFTzG0R/RJ7sFtfljpENJ+OR/poU/PZSqOpj8zw
cCUadAojTY/SC2In3mscG29So8ivjTZ/UyOKhyhYeNrG/UOMVHtocJfPNpGRznaUG5NHmJX1k9uz
4ahqAqY1upb+7sU1niIpMhHY7XjPtQ37lmCYqo1QxDQbuv3RU+831o9iDuZHfH2r+QcA/yjIz7JO
TldkCHuNwhwSIvm5nRcK978xrh8mIRE3JEYf5NXQs+ngXNZYD5b0QCKDrRv3ihL1JsCulAJ1hlxi
4Ir5ytEz7YQiDb+URQn+s+vHkGGBiH905imBr+xQNip8s7W5CK3F4QQ51mkx90VZ6qus1vo8QWoC
/cBVwvOTxSedd+CqnVjuLNjf2NKI6Qle/2LAxWBiJQKNJzi8qxs63HaAgEMqT9kUrc99V4LY6GCT
pXaXAoWHf7RpV3TinlSXjT3Z0oz+8qpX2gBzHqOpHUcJSr042PbudZsJ1KotD+cUDV7weWAbJRMr
kaWQiQwvkDdyHmYyUkYZS8qEZAuvjahAAnrzorOdIA+PP4QyXYZelLaRkulhKghB6SzoO3I+gb8Z
3QQSdRKAlNYczKsWL4+J7u25Q+vd7Lz839LJea8xRSZ/0w41n1vSir/xxFKgwG9MP3CTrKqt11PN
ymVIZOoNfnjRjxLRoDIFiLpLZux46A+jkVH3uA45gwUFQYcjIuUGpPwAHJ/HqIYxO5kwdV5P4E6L
UwGB/VnNOBicyD4ka9Fzt55HNDF4zgpzJQzeORlzufJAL0xDGjQoR/fFit0J7VtuYAK4mlA0QKwL
PcAYUyW8cmP0c0YIdR5EEJRekNeVOwJd372KR2Ox0vWxjfSgGtHRTWjafEcoHXQt9FdAErP5WpCS
ujwp6fC0WxhSYzdu/BfPJdJLvn72zcOHaw+0EUFiRlBPRkNpbQNxKn1MYOY55bWscKk+E6xaW2kp
HiIeXPsmRFnw4uWKfjAggjxa+OqgiM/cbEeX8c0nDKkmKsLhVkgPVJac3HE90dqRzzZMckwesAo/
922tPreY340ozMz6CMDak7cvFjWFaFEMQIhcd/vYH7D4aV1jZJWIksdaKnCZqKn7f5OYLNbTy12G
HLrJsVwQadtC8eFmPeUzyyxQv1eRRjERwmEHIrfzjRYKUKV2ve8nUoRDU5pX6gJoYExy0+HrURqF
PNo154tu+DlajFTzq5+S1SBTXjTG/iiqcNIJppIdKshRNkYqzlkOGaryP2lzMCNz3zJzyjFtusSz
wuqkoY2LEpNTzcM2VcW8nYOin3Z95K4Q1P3pDhjqfDPiuPlZMNPoWDSDEzJPa1RyIhmpiz4ctlQ0
0DjyXKulkO6iQT1UNc3kRXeBYTDG53m0RE+8TFo3QgTOXZ4uPR5DulOfKUN0ZGK5O9+PzOKTnNbX
YcWjF5Bf4iG30nffcks4pCscOk9lVM73oU8jNnA1E9vVk+ZhGIAL35YWTwf4QADa8/AI6BHLETsv
qqkAMmSEc3PkBcBMouBbq3J8rZy6CcWeCA/yrtsVKKokuTwVtRnfZU7jJx0E7CADMG0uWE3XNHXk
HqkBF9WpXkwbtwWSDPRXqlMxG22AMkzTrebEuK1Jh+7KEYtE9ISQS9kEReo+kuOh8jrp5YcMKnEW
6z475kibfi+9YH0Kk2EODsg15BctdcYfAirnw+B5C/aSALuWvAQdklmPEHT1E8Fih3V6QbGxjHCE
gjiMQQiuYhfODJirpLJ5sMNq2ddYTP7AVgZFUoEmw3noTYGR+g4AqFVrLD5DMae6iQAWBhaYBZwO
qy4uib28nYc6ueE69K6/zeI1uPCS9kr7uvrheVEq92uoAYrPS4unVz+HV7Ak7nCbQc2WdEDobRGO
nXNRkva2t6sU6elog7YyZARwQOMOgKW6nAbgRIU1xDf1qNlNlgBonKWGOwoWJL0TVN8+6oB9gScS
F6ogpXyMlWiekOXS95BGblJvbO8WI2U+JR02wqQo93VAqgqFuw+vWxnaxww+ARWS1P6UuNN8LuPw
YU1c/++hW9yTBrI7ZISpboxNvELpieZwtC/EdJxVRJit3JuuSwBT0TDF5dxObZyzVno4cdvbt4Cd
Glpzgb0vc+1sML3UyCqTK6s9cmK0idM4nb7EQMzLLa1CLz/YFeibI5IiuKdbjixx+kPzOZzt/gHb
vvBz5lK75ihE73PIJbUs21Kno4+UHfWe/MvM8X6OQMVw1bv2F1NkvFSwHCjuTbPyUfKI+wtMYPPd
KCP3fokseb7MuXNbOH7/ExEu/WWJkqZ9hnFQjrfItsZYLKD4epqUBVXZVn9ylzW+TVMHlKRfYOAV
OmTovYObZ0dIg8zj2YAe07XWPWwvV4AIgXrzo+yn+aJdM6pd3kJDKOvHz1C44l1Spf5NpCLveh4m
qNRFjWwnMrSBuoJmU1zi3+XWu5QK6C1CX94ukMO0Z7igIEl/PqNqVH/Jhh4cZKMe40HZZ4Wtn3qO
xD39Hc9w1z47CODmU95dWIsnP00T5RLW3KIpl3cOdMU0Pe8SmVyLsBkuh0DD0aIcWgRuD2jBARMa
NGqWF1PaS54wRJo7lQgoIT4yUJFcLAwFmSp4b19UU9gc3dL5O6Zqt0lKnxKi20j6m70p4lP9ccjr
2AvhzqWA/TkpIkAlCe7zG2hL0jlEUti4G7lK3IaJ9HHz0v19oyW9d12PDc+T9ttindH/7CG5a9pS
QDsefbulYKQp+DhixqGlpsIY9VV1DyJyrOGB5OXBRVR6B3Q77/bKwF0pyEERoYWV3lSGTVYADHqw
tR7Pl04YbT3+cESR5JIdaMRXCVWBXV9FtwIO04mqh5QfXanORbW22BHButsudTfth6aGQpJODd7C
CHbdgn2ydzr2T2HzoHpQJMsjZogxqNNqeEqH9BNgE+r+noMmSzKPyeMIOIuq8AzWp+3Ema+q+Tjb
4HdklIbQBX3eA8JsE6yoyga5FgaDj9NSkSIICRa02KrZw6YkGzgdyxTYG+iY8kQBAnuiQW1tRoQx
7uO8CRC+buN8z3E4HUNMOHeQ1GF9gUSz0arC+QDV5w3uNXK3gvk+byR8Lcw/l+F81pJSq+vO4sDf
zJcBeOhwG7DffM/bwf8Zlum0zwrfW49p1JffVBDgQ6ejeF+a0EpVnd6U44JGMbXrZltWub+nf4lE
NWSobTiEw+WkHHcXY2Zk/J4hgmJJco4XwXi14hwqHjnfisu+LuHGbCtMem/yHnP4rvCaO+B7iX9H
Gx8yuWdFBgeWExbUk/xaOK6dHOgI0f4bbWJBWCUFjqDzfTKW8wU9sW4P+DmaAbyF1BoJAy4RlFTs
vItIMD8fAaqsgrp2LKPPyeA0d2s8oUMCaPzQFsNy4XWed9XWKYK1dIatHQhN6u5N2Z/PeJachHU2
3zhe3z2kU0XjoT1X4Trv2shtryskh76hImifjH2rz5zRi090Ej4RqE2HoNM7ZGnkbU7dodx4Y1Eg
hTxXSUmhd52cQxat8PoniWkj6LWatkHl+uvdIGz1dS6qEmWEyC0hAoD93wjYifAv4SkWQMLBUxr6
ohVBZLTSVcNpVJk3fKV2+aCGpYbwqF/pj5XF5nYaz/4JnLrgroEnqV4Yk/ULe1LU9nM/Repy9gjk
spC5cIpBDjJqa74UKFXmKa0FV3r231nF/0M9XYOhuGkotx6MFbTGsgLo09+r8WCTQodJcJO4qr3h
9DvtX/3afsvk/41aqSmL/VY2Q+VVGC44Yli+dCQKT28TY5S/AeAnxLWB1vJ0EmSiXpa6D+uCM2yk
nX9y9/Eo+L27IPJgoedCaLehtnnvbFjKdFwoenXNsYb6egFgHZVANubnwurhL7rN8C0tbSmvkjEc
xKnWuDGhhIgOS3UJLg23wBdjE7+tpb6utHHKtXwsGrULBWxMsVAci4YAUK51TNhW+fR0E1tEJPSy
X+9d39jnQrbTx2wYCDOBBz033jj19x1KuN1h7R1nojvsQ4j5spJPFLQIZhK2JPbw5RSJsfNjx3io
AoFTY7l035ky9c9wHet7gdSF0bwzABB8fNRnGz/K+SIhN7LM3mmTYDlWfLta3dDhJE/icBImuOUu
fFAjH6gwO9Sp48/7zgnxaDW58IsP5Mcv3VQ73r50nJEllRoIAzbFmXcvvSBCRtaI9rO3mHwZVzly
g8HB0fa1pPZt/j/Jj+bfzC7zRX9cCG9WwgAage772RVqMri25EIgcHjFKgR719ct74e1ZxwzjTtz
guGPDzgTHsvHj/nn1UNbhIgUwIiimWmkEH4v+ihqjAHdehCeuXIf/GkKdxneMsSPpT42aLn5NGYD
kgBrqkjbPr64805rjpVFCdy18bR2AlyQ3j/7lHtWjLcBil4O4K8NdqvwgoOixX8370ibpWPMVUe5
NOc9mGZg/roeDCAwCcojwBzn4eWG/tdr5h+8ZqiTf6iF/X/L5654U9t8/Yt/NTzcCF1rlx4hXGSb
DZJZ9lrapM//F0h3ypbsYmBKfcqXv/odgfOXYMLTApG4Anm/q3B4/AreH78lpZUUyf4jFQ4jxf3b
CjO341DWYa44zDYbeY+3czwMxqWqBlv+SO1V5T8xho6FTduPpBuPkR553ae8pJJ16BaBTSGOL573
bY5LVV/AX2vwj1SWpNZSIO1AH7KOYjtOgeLBvH3UdmXly5Yk1l/x88PybLSAo4+tUdkuB4Tld1k+
dO412s4qAI4H135CL3Fgiy3zIaFHLZcoQxdqHWwvPEGcA0mnzUwFJdJbAMWIVBzqMTccBOJQ9O62
/7AGjS3af+8/QK5Z9waPxH9pi4Dgfjs6IE6dpu9W74fqpjGimYC+f1lstBSiuIwSSgDWdnayuvrZ
+jpbHmQA70wT4A+a56kdPAgfP74l949bCqihYVZELZz6NqZkb2/JVDSqptPJd7Zbr7iEQZUUZ1iP
tB18ftxwcJGpgix1crSbVThgjD0rApDcRi78uQG83RIcD9ghnlGR7Ox0v8bJCpi2nHkV+x6SzPqU
aj+25r2/Fq1/tSKOxscqhNiI98ECDJA0Pn6ot+eJDGwG2ZNIwJC8Q06N3p3pcVrMmVWU9Q97git1
75GmN3cVjmPrzccXYkX9/j65EIqiSPb5ZAMMXmgG9zdGKvC1NloxZP8ueNuO2KsyLvApcW1W+CyC
XF4jeuuJFCC6V1r9VjlJMN4VmYfX3cd38jaMMY9M3OTS5iZ6gnJjeiG/34lDZmtHc+5/H6FV+Vce
jJUe9ExlwZQ6S8ix4WJ8fMU/BpmGSMhWQiHMDhiFd89uOQhDNWUgvpVDqxvgCotCeAcWHbqX0z9c
y0zC39YNT8fGJR30cNj5kO5/90LBUZUFIbD7fXYSGDg/XHp9KVBKhbY5btitGeJy8U2n9D99SOaQ
b/4DQY5N911kIhAs1VFedN9mO4IQBQy2DEc8h62M0f34Uu9sBMwrJOzlgPYJRtm87XcDmjeNU0DP
q753QOYRXQEwWz+WaJu18HoRKUrU9RytsV1dNJmufXvvjWmxPuVdoJTYVHh+g6uFcU9OnOc+BG/I
RkbwAhE7HS7HYZKy0sePb/qPF4O4P5K6AWxZxJ3+6HI7yEi6s2vX3+ql19wFap1F/nN0Fsv71GDG
DAolhhPb/6Of45+zL+KtEMWglCNpF73btmLLsWelPevr6lmOu27p9mU4OgahSrWNKj1grxKooSyC
5yUtKZwDp9E6wjrFmt3xIavWCWBHiiVU/xUFJ+O6Wvvuco5JtuzC3T+MUvh+eXKDAUIJLBMIbyEd
xrfL00smpatBN1/TMHNZioB++vUGLzbNpFoXO1lGJN/AP11ZIs5YTV0tJYdBjesPm2VUyGT5xgSs
8p8EyowMx58sABqNDsbQP183YBkrdhdvHhL/U4e4eIyGfUWhHDc3oOy8nZoqGMdwjRAQbySlg84W
jYUpQIWdu8xleBunqp8/r4sJITZAlmFr4WeBGlS7wWLeb3Osu1ogV5sWAXc6h77Mqx/+BFzA2Qgg
0OsNyz/yPiF4x9TUQKm4R0flEQmug6LKJyBLKgdLR/VpfVp7EYwPo2798a7L+Zdpg8oGO4hRxmt4
Z246T1y6AgeExVYulMVCj+Hh8DANxHNw2QuyMbW3QcnJ5ZM+uAU+kvlBV/mojsxpf9uD0+QwW1rg
r/22o+CRLPs8ibi0BfiUj69A07gaOADlX4kIkavPbZh54zGWY5tdlrIOl5PJQaX1HJ7sMpyhrTgz
l+aQeHrZIdDiLOdUkFMOSzvuzZnZhjFaSoAU274DogWvCOjrrwfwcuBYKOQFdmT8AECFMqCeXTP9
ujkxm1hZBYga7/H7oYWwxwVyqfJtp8C2/us7WoSa4a5nMdnxlinXAOUUiEQzBoNA6lhTEEby5Qyd
fp4Jb1Uzqgg3TYycF6qBD0xTD9yW3GMgy3dS7MyrPTqkRG2Lin2GRS1By+Ox0Zvp0uDYl/8URVMz
adC8yqu7GphZEBxgR5jpohA/Yk2NdRQxaxIXyjaGcVii8FeQK+Pg0Cd9EYozS84ZSjfVDF9/28xj
bqoMbIxOfB+ig8iYoDWGOukpBa+RzhhK8yZ2y51Z8DvcnHEm2nh5pPz5shXxWCd7PKnNew/ckV1g
r1dYdzDQ3NjMXy1ayU9JKFoxnkUdldp81yyNZCkMuUCmnjff45dliqM9twSf11xoGnJzL1T5kOLZ
AipgCS4h4A8kk1cf19vRx3WDxl2VhSZui1Ggza46XBi9T5Rn+GEbiSXgtnJEf3nGdqwYQYSzBoZz
pTXJN5WEgPjn9mCNgwOcCDNFTWg9PqgQN/KHFn83FnCQ9+wNhI4rUYacMtb5opfVbB4pzbhn9I61
WdIyMl+KuiaqOyjaEzciHq4cMT4EqFcwCvTnVbccx9nu8upyLNEhFftWAwaAkkIsZmY1WG3d71QR
rY53hCpFm3GX2w8R/qfohOOqE5idKS2ReDn4tnXw4LkqceiLJZE2khH0aXfJaKv1xluWmekfdhDl
4SZBE8Qlvl2mBhabR80M0wC7L3E1xypNZNeNk2bQKIjVzRuus3FBNQGWaQdYJ+vsMls2QIHogm/n
suus6byIu4B7jK2Od0P7BMWL57pzah4G0eElae5pNsayRj+8icBA+HYmoSqyEbPd7HuqJ0sL1hNq
M2Bb4vZ53GAV3qdHbPQGDw1ngE2y8L+tk2ehD8VmuxjzhxzoFjVlnc5pCuuoQZYtAKWEWg+TB66z
mYmAi1t1KLDc4id7mDvmUCwyHGHOgbWu/K51x0E7V6sn2Cq7tmaUdhXCwXRbZ9tyhvaqm3yXLTeH
k8dbqh3S+3TfLNXEd0WtbXZBbPYiZq6dwVUdD3avIDpAsetaftdj/MO+VNhjNd9GFF2ZSCmle7Yn
JWef8YNBxu4wMoqsBcftOybU2GoBCZi33y7eebgkzPSw7FZuHN24gUtLp5y5f7ZLjqNxUQGnfBWD
he72oSzNIdv3Q8t0nH28yi0OZb2wPyxhasnr2V40pstsUZ48qrbHp3AfIgmvN4hlmBDLQHSXb1XY
ko38ykPY9c3gTE0rmugE4ljYRvskzSeKn0O+rjDJQoRFdm081TGoVHig9zGO9Ms5PKWS3X5cpoA7
DnLgyOOhqdKAhZ0D+GLyhBTmGcFf07rKJvO7RTaCibuC/+TOwbuY7b7DP3p9chDYYoxFoE29lEg0
sVmfFsacPejz2AvA7acODSM3Y9vddVGhe6QPV2fxv1j1RCvQrubyAdOJCJy91m3Wnvk1RKKD34yD
+gbsrbXOdVLBnYCqFggMVFXWfsnYc9dDgT9M+V0C39AAVmBAPE8rMuHXqMdDcKM/3DfnSniTgjWY
45yptq0UYFoO4GKw9MDWOUbyy6/syrkQJccqkJkeYl/LO9Js8nPYrohz0+GUCIzA+TMh/aqnpdzI
YMGhcqO0tfSfqTIN8t4v+0ViVNMiiAcfCEXiuNmoiOePmadx0qMAwklWAoEpp3XdRVm52phUuivt
/JnFgfZwj3yzbTvqMEZBQhucAG19SEBXNxx81MPOugUhwY0AQ+NsF3Qm4Jb7SY83qdW4RmSHTgT+
Ml6ZHIEM9bu2saf1PI5q2z5xJid1DzQ0kUne9FjUQW6JhWfdKITr5SP2UvAZT2zAj6rdR409zw9z
PyOPgNNmbd1JS3brE76tkgq/9n2NrBlK//Sxez/AegVGSLLO0L6wntsBPSyLE9wLc5rGAN4R9Ijo
8bspJLAXBRanysP6ewqoc5zpVvZL+wMPFDEAYAqQz9y4ovN6+6SP69ZDjKuwPdycYuSt/SsU66yi
OBl9RVib/kjpFfSQ2ZsQOctmR/9iWf29L3qBtqB2eZj85lf0bS+0tpw79P8aYB0TKgAcS6oSlfIe
wasrJXcqnnQ8Ek8Bfiyw9Ak8orEYHTR10PNiYs3aAjSVnWgxj+ZYidhIWNxtaMJHzQHOcsCswexw
lWebCDOz0J2LDznGiwmIBdGpKTxf28QiJEXqFHGESy+tck6ZvvYSdz1ZgoDvPAxeY+IUvytM5hAg
M8TdLnKsyuhkaKvM/wReouZWHGUFSM0lVk+tQQ2txzbpdR2RfYhdgnJPpOsRBU82sZu1haim2Mvy
MDOHBoKwMVQEgdelvcdRwV/FMZJuSUhUu+TZ1ilSxhQ/N8QlAFtoBVbabIhV6XJGTyhyEpqgUdEz
QKoOzMkZttPMneokDbg2VjO4GN+PEov3ctvE0cyX2RhKsJY6GvjcfxflZp8sZFDyETd3Iu4IkfXO
0c/05Uy8GoFaWgHoDdr/OsGTaQ6+mwf1BdClkWMRmSkTS9UqMCELXT0zRn1T+73zc7C6Bcdj0EXj
UG44D6kbQOwDBQh439Yew88evpgQ6aXc4wOm5ZT6dYJJp2EciwZmVb/1sRbg7h0RWwykwqkoanAp
hd3+sxzoUE1sM7m5g6GzUIE4/msk1pYltBkUmDfqQzX2XA9N1YORwsi2XnDqICAyUzGziQPuvGqO
vU+ldqg9vb5GDkzHeSL9G/qHsI1nnljktcM7GroxgGhSA+FF+WKdcjvGkaQIvLw4pljWV9OpJBwd
H0ACmyjWWZUpPmkNDi09VXZtggq7x51h2kzuYhL50G+ZLBX1OgfXiMnWQb+DYEeUgvKgiebHRmnt
HSHSdWN4A2MMx8kLPw5s7gfWtVkHQmibRx0Lgkw8gqVZIm2FidrViqUvH4ix3yNQc0pS46x1zAQT
Mc547knrBiVxdvJ6uqYjViHWdmgmAtWtEIooEKcTE2/2vpmPMQA1ImubEch/gnWp+YF/N58mKtHr
zVSGAcelg+ADZ1iaQkKloOoPiQnmhTJ3+7o8ih7yx0M5TA0vVXdsfNWFmMWYfBnDKcn0Eah8EbCq
0dFnmmbosrDOpJZm7pY1liGXFbAXlP+SsgsdGqv0+AVB7dQsvNvBGiuuVa+aR7AN7o5iBeLN+S4C
bjTeJUGU6edRA5dB/akYFPoD5JZSXMjJ6Qu8MzyXeVbZrkkCc0Xf/8F2kAJjGcmI8JLEk/fcL96K
uCHt7+XcD6JlHk9mV7TF85g6M4MSv0Y+XWKPxBpdE2qeNpvR7gJy9JoRh2sdERjMSQKIHRxSK/gp
IWfBM9WyrPkb2keId9kWss1bkaqUdGRMdYKgeegrMTzAjBbg/azJYfytNDJJd+DDqaMkMqMVB+8G
NB3/mGA3Mj7EXZzw1vqKgm6zm0NrxflZI4pFjBJ5zfrEqJsdd3Vact7TNlA1TUDyB6aT73F5Snvx
arZKxZ7sH1XgzT0efUgOEdE4oZOSqhQI7nx7XXo1ri98uLQqI9eCbXvZoW8/jkAigbhMpn5kxWIx
UzKww6m+tukT1i0DglEcMngRzvDQtZ3ALHGy5URd+n4hCV6XKU9OYnR6hlt/DtbuNBxmp0QqwyWn
4GBDxichCewh/R581KD4mkhiJh2d5G1tIlG3dtnFgaW+ZI1zkeABdNrmo8MmRcA/+NuOypVb7uFm
mSzwNbEoY0iD1ABWuPMIoLT+QkurD7F6PZNjmDPRSZJsZv+U1jWvNHOwuymOQw1ouMJ9e4j7fo8I
qCwuA0VxhA9C01xvAGeZDavnNVqwAIsuw73Wt7JupTOQot71LBrkR6L98rpzoN1tAl2sD82s/Lhq
9G9qRvQL0bWioRN4zvsCKzLPeD1G5fR1jnuTZxqJltTbWagcl9GmGzTP+w+XfF9Vo0wVkp7SiZWO
GxI4vS1TLaquQ7v3+6+eP5nuzevUKFHZ5uj6+On+vBT0G2JcY5lK8dx+V1nFY1qtI9WJr5kEXEjk
6UsxEhSyWbN3fXytl2rg7/Vjh9JxgAGJGyAH/GdXqrMdJIXKQnydRTWQyAxpBX8AdLNMWYaprlC5
3q9+w6Yx1NLrKKKMJVZxW9VDqL2iCmE6GxEpr9l7XnfmX72PWicmRUAjsuNMQHVi4qePb/+PoQLB
bRPYouhNOo6O/tu3Muu46pMp8J6xuZi5Dw4okxZyuJJCfXypP+acoDCMHL9PJwgn2/f1bsKozEWE
QD0DbRLDcoyXMJ+enBV4OS54cYLa6z883PsWisOLQcPF9bgmLBkjLfp740IDqQoT6vfPwOHNHtXP
LLYbHGrMAeGC/lt2cUS8TzCx8PMPFL9sfc1uV3mnHz/7+2GmawqqiyItbVLPcd7PyAlg6DhFifhC
TYLUERkPqlQhKvbsgB9f6f0ou56weVokcrgaxbF3xWtk1tpQOLnzBURpAGxKlSY1z9Cy5pBPXRM1
fnxBmG5v+ieuRxvsBfPg0eGjfPR2kAG6rWwmi/6ia/pE6V4Dd2CbY1NceK+xbsvZQUkrWdJoGxRw
pJf9xzdgaHhv78BnEhtwD0DkgEd3394BWWJaOiqov7SpvST1nl7WWuypeqRRfvIatow6NaExQBGz
f/8qilsIN5NeYJkDiu90eh2cKsfchXqVZy2s4gYmHtkCTk41R0JXTE3Y7ULRW+GEoW3Rs1sHk2cO
SyztcM8E5Wqz8DFLoIee7/pgoHjkTHpGQxH+QJ1jDVlkbg+6ZkTfb9cUlomtuhHNtQVChRuQxXRZ
a45zX2XENkEHNIqzWGnFbQWvBfqO0J5dsyhcEzTlYf8S8blYXqptnKMpT9WmSybGP0xyTWXSHefR
FFnqgrLsx8P/x4QLpAsT0QtAfyDM835qD2QWKWzg5XOTtoKYNVG9SYGitTcRwK+S9ceXNOv29y3X
bLXRS48mBAsAvuftC6dRtgA8CqfPUeKbGuOQRX5xCZfdLawru0M6LUYICxlCdZgddHgpwpaVuZuP
b+P9kwtoYTY7p2HPsOZe2t+/dWhrgFkT7zL9XDSUP8+whOurR7eYXH3hdv3Vxxd7P8kxc/QCQaXI
R8QtlO+xZD4cwSxVXfdlBLa/Pnl5YKZFnisTWX18Kffdkubbw8AHEO4HdN5gmr7rKCXIn5VlPbqP
ddejcBBTvsRIEeOljEw3y3FTExsa3hX/E1CwYV7OnoieSNY81MGNAhYlGFIe079XE6BB6ggrfuUP
dpaQoeCuwapIkUY2Za3ZMmWAEOIXi3AMfVMmLiq6Iw+j5Qgezio8zqIksUynCFEos1+TEBRze4pe
QbaUhxoRUXn58SC8G2/GAByTsFmnElLGHx1Tz0v6qPKH+XGocnMyxw2tClTvpobM+eNLGVrg7/PZ
vFM2Lx/Ahc+xKN7PZ+QwqKk6Mn4IZfNyrQGmzJUhg5qjia2eLei1914C0mEUEBk0VdJfP+kRsSh8
uSebwfVkYOqZ5IKKnc6tcKmaTq0iH6z1omOpIlKdKXyfThYxkDDtwWSSHmOLZNKSX40/ukWmiWSV
ucvaWUN75XdjU5kXvno5V4GaQDgcvJYmRocKKPoFXmreZO4QtUybYGTjx/VJZ6aw/KuFxopk7ub0
PDj34pgqh8DtEFGK5h/O2/Dt60NjHBKkaxuepcdZCA3y7RbR8gRjaKv4WzmK4FOukSI4uLRHj34R
KkmNP+0PAM+i8wV5wHinJI4zFbyrpzHJoFnV4VDTNE3EJrIW43aS9u1jTP7a3ZRzN6bbNBzdIwqp
txWttm+jkh2Cm9pCr5Fejn8Nnrc5T+2su+RESo3SdDoWOwtWxN8rfeQR0gugOXxQIlvuqBoWT9Zq
9SQHWJJM2y7SN5JTCS+00hKXuA9hoaqwuqInXj6l9PDPytL9f+ydW5PTSBKF/wox73bofnmYebDd
F6AbaGiagZcO0zayrKt18e3X71eSDJbcNDBF7Cg2Vvu046YklbKysjLPOUmVYJkWpPOSYEMJr1DD
T6AmTFgOqCGMyv1KUSd6mtm3GvvzNF2gBUrHSGtBCsPL8wvUiKBO2np55+v6AhyUMjBiRCjM9GNQ
uvksHKTZO8ugqRO5qfJyuS2X55QJdimMPIrL4+3G9UHWG9H6BRDkM7DAaxI2i+XyQ+lYFlnze/qE
QD9Kbveo+UwIP+kvGA8Gxhhi/Y1R7JTP2q7IP9FHATp5acK+2lrRy8DO/TM0RfyXTy+ytrPGICgr
48xMQgVDI1DoGATN8hD0Q0ptxvfavnG1+5j2S2ECb9TKFOv90zdrL+j6ZjZAObHNE8N1IxLwnoR2
mRvPoH5FYIS2yq0ak18FxR9crw1dqMB4SXRDiRDFk6fvfWL51WuC1aFkgxPv4sBKM3eTwMii2Qpd
2nSk0zd1ex7pyIz8YJuoRvq2DVdvaWgawAOaDLMhdw+RW0RutTVYmZm6QdydmIftYpRw4IF7sQjt
t7EW3b/1aX1NM5nQdNOJvkYU8wL6vDXZhgWwL8B61uvMytwX8QCtXvZbdLnJKxboGBC8aEUcpSOt
UI0bZb2Mv0Sl7lzFpGdv1tpO++AuOaeO1ERVoIEEkFoiFzse2JFF9iagFqduXBJrmbubIdpVUEoo
s3PVM5Wpsi308Z7v94NYSBVW1JoSEQYQBjEvECm1bkigDuByGM5uPzNKMfkLX19c6MkyvNzut9MY
UZSP+sDdTkrNo+ixygbWpQF/JZ48bQLmyWPYAqwp8CAqwDHL7gRIanAfUT5Y2DOvpHBAOg3m89ZB
sXhCl459ASUKnokdFYj0wjKLqPYk9E4mb3W9Tq11MQptb/B6T+/4S+QISZxl9+6nCFkfc5wFg2t/
F9tXO51G5Xqk35IDDV8nAz4ayjSoHI33xZayC8qd92M7dQUJgMP3OTpBX3bW0n+l23TzgblkXvpe
kr5GvC0U3T3yEuGhRfleMbXgZhA7bBDWVt2c61qxQeYp873bDR3HlqiJK7wAynUuZA+PEgBEzyWF
EPbEd4Y5cK78xc74oJLVhmMTBGigPT25Yu5an5i5pR8cMajFadbWxPo7ivpKUsJ8d/t+tvIN89Vg
pS/vUh+x60mA0MsrdSMYQU/fsQOvZqGhKSBQt+CRaOEDXK19S1XRwixi65wv06XxgrTZIIL4uxu8
JFGJGB8K0Hh608tmqa6EdyjdFVe+7yo3g7Wrnz/9LNapaRFq4j41Gj2AxO2CAbNNZOaOR7c/b0uB
gXN7cv8pgZa+niCEbI5W6LCT4YgSqOaFSa5wslxY5iWNWP0JeRLXHVPwhPyQJZb9t1/QMprULyn0
eJAvrlGmzC9XOtx8q1x4zz1kNowRsmAaUudQuCsBENpWZvAFxk60N9OLAdNyvgyKwbVrqUIhZGPD
gs0Xuze77YbtDEHU9NyDzgbpWvWDKzp6UwIf6NHaG4WrMAZSgpbr2Zqi55255mhKLJK/KzQUyxdR
qKPUQzMtBUukXDSmW1/+Rnd9mn/aIOpQed1SVyqskNa8OdiH603q0uQm8eG+j5m/RH0OOGWTXSiW
p31AzdX/u4Qe98XwNZ9Uz3qJivDTX+fU/2ApLqA5oGuwh07yerpGJTTYboK5Y5EfGLkbd/kZlMeO
qiGfjDOVPdvnQhA7HnzerZcbGlZY6zT60WO0kdqVwUKBIGzWQa7CtekYLEipnI5Tdji/j6xdibos
H8Tal4vwyg+tAjGltXuL6mR5Ts+U+7PUvd9+XDjZOsVO9g0X4Lu8jE6Crn4YwcABbakJyR6tvXr2
NDZb0yZwOfdsxXq3stT8rRYiVmiT2H3Jvli+omFC8SI14uh5uNVVqGY2G5kdFts3vr1wACTHmzVK
mKX+BeT8yhw5Kz9494MvdxIy2BZ4V5MlDmaaQ2VnytYRImzuyijnZL1X3nsiCzNHMp1OrmWOHKlm
rQNqSvneohVKZiZfFghI0JkF9e/NBbz0/M50Q+9KsTfBe1RNSyok7ALn6PCETLe3tMcI6w4ae/s/
z+J2l87//GM6i/x44uccUh6KY50owLT4xe+ryBz+zbPkyzMYeGX0ua0oU//7g6CMNQS7j+WQE9XJ
pGmErjXrYmDbQ3jatCXiFE6WgTTLV9qF7gxd1AVcxyUpACzK4qdD81Nn6AgyAD+SltE0fvoFQRmh
Z3O04YEqBfOpQGQDOix0asSbH294OzUO8ONb5RJ02jjyvoTEBtvd/fOl40ziDccmX3mRK/dn7n35
N2Kqo6We/yCecduLo34EZHPoWME7a67aWRyJyYHCcTzlks6itEAz/t4hu5DTPzqOzr2AXgdKsSon
buqhpxbeX6ept7xg56b5p/bRWIO1oZdiOvCulf1g5CfOeQH3NaUT62phkSky6V2UkiNae6Cp0geD
Fmlge0ZlTDAZfFrmGkp7wOwNY8S55H2+p8IX5aN8cLYz6YKMgBP7TmBdrZR1THtSpUhK9AFzXZ8o
QTne6fHdDhmnDJu43FoOgFPRuFp/6ZUbm7zsnqMQZ0cndCBRDq5NcwkepdDzszy4QszhBp2JEsEe
2lwO3OLGcj+q+uAs9+zpHpTaWbREg8KirbiFNvjKhbG7gJQcTtbbaJyVwdvt4P52udpkZwHNZ9dF
+ql0NeXCD8s3Xm4jzxh/3nvlmNaD4xVy9heUGp3RpkBdU4/jh2hrKBcBcOLRTtk8xIY38awyv4L4
jA4zMXdqIZOb7Okyrb/2oqVXH2T+Z5xL8yKTaTE9q7Snbsp5tns7zwl188OCE7++Sfy4uKVDSOEX
u1/9o6cHevZTOngA1NihW+6qeqbqWZ4aIqTsU5QzXCH6VUhJUUwRp73q+uNZmMQc0KqfB6hiQdCi
jqZCQhQXTowbHs3R92bh6Resp/Ppv2m9wUNSxoX4DDTYio99tibqBj8zB50RWnNgiiqDCCaqS2/P
gcscUW7kWIBfFld9w//+HHx339JUaq8/NwudMb7NgmHB96sO/LSEExemdWwJrjHk0KnDk6rv1KPX
t8FWS759te066KqBh33s7VXFHIoUK1bwLy2AzoerHcTz2Z9/wAypn6kOnb96pl/xAtqQQIO8kkJQ
IK7OCnCsIfxjUVIm+Kiuvk0C5D3pFYANUMo2KXUKOT8uDL21AuDKVvp7ZuMLa6Pr0UKgTUXtnyVM
wRhW+U3SjPWXpoh0PAmqqg4xFYrDENzEVe9APZoE1JkADPzMjtBZUt98oW4PUYG0CM2b9dDxhWBD
hhbcaU7iaj/XA8xOQzY2MOyhoHJQAUaMUVxdU9CUIRAMkhLNgumdKSB3ITsJujFktQOqgrNYXZxR
jteDi1OAhGkiDFotB+XfCpA6xvxtf9CEa5dcEAaLnsyWe/B84iR3PAuIBUBnJiWNY6iu3u2SUNZ5
ZimvwCSYotxEUbf+1B2vgJaCrVfKsb2zAQ7ZopQq9/rGkBDYJVeg1N8YL3tsA47L62Mi6OPW09M7
GwDOIUp2UrOgOUOTdyRj3319HIEDQxqyeU9fn/qV9OvjDqFOg78z6t2/GykCmBmS5NRRjunfbkBo
L7sIdG3Ihqc5AllZXR0fgFQ0ZSRqOaSlq6t3iwDBB106SHQRgAFUBwSjdgWd7QBM8BAyJlUQ9gRx
9c8WDLC9kq7AMIaUQehZeAgCT2YBj4k3pKrWuw0BX2DVH+WfHxXoiIAkFSponAuriwk93hDIHaEQ
BjbocJTo33mJ2FU6KlCGwJ5Vg9zBo2uBbZFCmUVA/i3Dxg7UowMTBT1R7ZbaFsVZgcI5Xp8Qobra
toC3JJEogDPNgak+ovVoFvhIjmxwQDaVIyPQoEOE1I0RrCGFIMJkt4kg62nv0SwAcRFVGDlbIEaA
9maA265NoXtuxBbYhdhCm3NJj95fgGt4XLn3p1MMKBISysajftHVh+Lzg7dofu+fX7Qg2EjOAtk0
8MzgW+wmq96JlFyybcAZOFk3frGe9h7ZAjYqUh5ytkDrEKgxcImaFd/dI8WZkvILHqO2ld4l11mk
AlQpNQvk0+BRgdAU5KDjEMGh6QqcMQhKza7Ru3CZTtuObKCoK0NXCDhR6W5esz0LrkqOSTDbKO9X
V++2BQhk0m5RlFiEFZidTdG2hjbwGELJJuPcQxug+iG5BAyT8ppInB+5u+OVYLlDFB6BgoBw76sN
oD8pOwvakLQ5x2MYc9XV2RTII6KcR6WpsbY+7QYk/WWrjJwYHYHkQ2G//sin7pCJEb2Pmt97FxlQ
ZxNlMbndgDwp0lxQ+upJEOWa46XAiYniEi4HvG119W4W2MybKrjE6ZlOg3AJ+B+L6vj1SSNbqBTC
GWqOUv1LHgjsmqQRcGBkmaO1SqqsujqzAMOHTBt5VkTKq1v1yRWAVZP1hDp4AmRfOCbUr38CtyBk
Io+qIEXUrJLezQLaptJWQPhLFZW2dk06Gd9yvBaA3hA4cYigAldd/VsLcGOlDwmkkMiYU1p5HHhg
k0fEW0Lob0yhdysC9KiAt8ptCyYgE740jVnrb92xBUAoQhLZsI5KD9ywT36BrIf0sRm/oJMz/ppa
x7iOV4RNOhEuPFS7ZsX0bnOEh3eCov5VWKJBtpCaOoC0xyF5DiEEUGjkqw9Lom/ekWD/pEfxr84C
6UTYFiI90GwSnRVRYXEOvUXF4uvTWjDIekh6BEOnwABzGnjf1z3weC2QNgCA4oBRqe/Up9cngJUN
EVgEjgsIqXGHJ4hMWAQoyMMiYClUV5247dEsiGyy7MFZxwiQNBKC3fW20AkUHTFLlFtZDPUs9M4h
otYiD8tTKZ8IhYjDLHQOzgRKqMKIZGuD0OyfLQAcqeOWf35mEnlERKZcYJpfLf7YIdjOUCwXA4Go
+vfehYuU2qQrjiTSwOoCyyNpVl2dEIEVAaUGTSb6ulRX7Yj65Bcs5MlkNweqzy4SRdDr6lno5FI4
NrA50A+MvbP+g58PEX5iqr4yQcYLP5ydCQ6IP88fY4F87w8O5IfT3xvigwB3C3ZD6w8Fg62+d43w
E///rxb2r4oCjn48RAXVfZp/3rzg6a1b9zq81eE/XvrzbJo9LNA4FJSX5jFfTSOIJLQg+jyNpsfM
DKwPy/v2JCfEu6/HhR8M/Hhvo+oZHiX0/dy4mQ85tv3AFXxa+oGzAMHwaX549QqjXwFRZUceT0P/
S5J12tjXeGfpsem9nE1nyfFT17wK+ZGhID8U/kNZtAavAJmyg0/m4XQzzebHI9e0KOmRG37oD7ie
klZ4zqz7s7YV1ihF2ee/mCeZ16anEi8LAJzsyJfMuO8fxqnMWydhe/gP/3xJPp9NFy0DVGuUluwD
Pw9DP0789oqsoT/SQ8czf9rxIjWQRHrkZNM2ixqZIDvsy1PfVBf7pQdmgPIh2B3MoLKLunYsO/RV
Uvr5yTTXhVnZsa+nftzyHpDcRLFPftxsF07j2WGkajOvq6jyQ+f59GFR5vOiaNm0plQVOunx/Qd0
G6dtlmVd/ZIfmr0gT4qWZTfsRfmxc/o3536atnxTU7H6HaMnZdYdWpDOpIdO4qLjQ+i3KSossiO/
mn/Oup0hQRmItL380Otpe99qgMXyA2+eXU6jNF/47W29geP8jvFfzLN8vjtMQrU06zT+7xj8er71
H1rbWAO8/x2Df6Qfeue5RZpNeugkKxbPxtMsYadsL846p/17bjCZBt21X2NPZYd/vfDbM17noKWH
DUIikvaphvS2KP5JD53NvS6RvcqYyg78Zh7H+S5cTzvHBFrEiYyk7PBvF8ls/ux5frK31Swz2eHf
JeV3DLHJJf6eG5waYgN8lR3+ltmfo53YCima6pj82Nv2qbJJLMqO+76YLg6GIXxhU7qQHfZunkXs
bK2Ra9yE9Mg+J5uOeaMAKdKLskN/mLLv0BquvTQbNq304PO8eHb32MPXWUHp8f38IaGVTStya6h/
0mPvEkSTvMMMV3ZSZ/GeHvmxTNPXQtVp/umgC/LYP2sn18RfPITzafbXfwAAAP//</cx:binary>
              </cx:geoCache>
            </cx:geography>
          </cx:layoutPr>
          <cx:valueColors>
            <cx:minColor>
              <a:srgbClr val="269999"/>
            </cx:minColor>
            <cx:midColor>
              <a:schemeClr val="bg1"/>
            </cx:midColor>
            <cx:maxColor>
              <a:srgbClr val="FF5050"/>
            </cx:maxColor>
          </cx:valueColors>
          <cx:valueColorPositions count="3">
            <cx:midPosition>
              <cx:number val="0"/>
            </cx:midPosition>
          </cx:valueColorPositions>
        </cx:series>
      </cx:plotAreaRegion>
    </cx:plotArea>
  </cx:chart>
  <cx:spPr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trlProps/ctrlProp1.xml><?xml version="1.0" encoding="utf-8"?>
<formControlPr xmlns="http://schemas.microsoft.com/office/spreadsheetml/2009/9/main" objectType="Spin" dx="31" fmlaLink="$A$1" max="10" min="1" page="10" val="8"/>
</file>

<file path=xl/ctrlProps/ctrlProp2.xml><?xml version="1.0" encoding="utf-8"?>
<formControlPr xmlns="http://schemas.microsoft.com/office/spreadsheetml/2009/9/main" objectType="Radio" checked="Checked" firstButton="1" fmlaLink="$A$2" lockText="1" noThreeD="1"/>
</file>

<file path=xl/ctrlProps/ctrlProp3.xml><?xml version="1.0" encoding="utf-8"?>
<formControlPr xmlns="http://schemas.microsoft.com/office/spreadsheetml/2009/9/main" objectType="Radio" lockText="1" noThreeD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microsoft.com/office/2014/relationships/chartEx" Target="../charts/chartEx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image" Target="../media/image1.png"/><Relationship Id="rId5" Type="http://schemas.microsoft.com/office/2014/relationships/chartEx" Target="../charts/chartEx2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69232</xdr:colOff>
      <xdr:row>21</xdr:row>
      <xdr:rowOff>182057</xdr:rowOff>
    </xdr:from>
    <xdr:to>
      <xdr:col>3</xdr:col>
      <xdr:colOff>971255</xdr:colOff>
      <xdr:row>46</xdr:row>
      <xdr:rowOff>44680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4</xdr:col>
      <xdr:colOff>16556</xdr:colOff>
      <xdr:row>22</xdr:row>
      <xdr:rowOff>7750</xdr:rowOff>
    </xdr:from>
    <xdr:to>
      <xdr:col>7</xdr:col>
      <xdr:colOff>807180</xdr:colOff>
      <xdr:row>35</xdr:row>
      <xdr:rowOff>71931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616291</xdr:colOff>
      <xdr:row>18</xdr:row>
      <xdr:rowOff>155801</xdr:rowOff>
    </xdr:from>
    <xdr:to>
      <xdr:col>17</xdr:col>
      <xdr:colOff>24380</xdr:colOff>
      <xdr:row>32</xdr:row>
      <xdr:rowOff>45357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625361</xdr:colOff>
      <xdr:row>8</xdr:row>
      <xdr:rowOff>1586</xdr:rowOff>
    </xdr:from>
    <xdr:to>
      <xdr:col>17</xdr:col>
      <xdr:colOff>33450</xdr:colOff>
      <xdr:row>18</xdr:row>
      <xdr:rowOff>163286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591037</xdr:colOff>
      <xdr:row>33</xdr:row>
      <xdr:rowOff>127977</xdr:rowOff>
    </xdr:from>
    <xdr:to>
      <xdr:col>17</xdr:col>
      <xdr:colOff>24422</xdr:colOff>
      <xdr:row>48</xdr:row>
      <xdr:rowOff>86947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Chart 6">
              <a:extLst>
                <a:ext uri="{FF2B5EF4-FFF2-40B4-BE49-F238E27FC236}">
                  <a16:creationId xmlns:a16="http://schemas.microsoft.com/office/drawing/2014/main" id="{00000000-0008-0000-02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61857" y="6163017"/>
              <a:ext cx="4546405" cy="2702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898628</xdr:colOff>
      <xdr:row>21</xdr:row>
      <xdr:rowOff>32658</xdr:rowOff>
    </xdr:from>
    <xdr:to>
      <xdr:col>5</xdr:col>
      <xdr:colOff>427520</xdr:colOff>
      <xdr:row>29</xdr:row>
      <xdr:rowOff>52916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888652</xdr:colOff>
      <xdr:row>29</xdr:row>
      <xdr:rowOff>52918</xdr:rowOff>
    </xdr:from>
    <xdr:to>
      <xdr:col>5</xdr:col>
      <xdr:colOff>427520</xdr:colOff>
      <xdr:row>37</xdr:row>
      <xdr:rowOff>128512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3</xdr:col>
      <xdr:colOff>1099711</xdr:colOff>
      <xdr:row>8</xdr:row>
      <xdr:rowOff>152402</xdr:rowOff>
    </xdr:from>
    <xdr:to>
      <xdr:col>5</xdr:col>
      <xdr:colOff>569336</xdr:colOff>
      <xdr:row>17</xdr:row>
      <xdr:rowOff>120952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1</xdr:col>
      <xdr:colOff>200135</xdr:colOff>
      <xdr:row>8</xdr:row>
      <xdr:rowOff>151189</xdr:rowOff>
    </xdr:from>
    <xdr:to>
      <xdr:col>3</xdr:col>
      <xdr:colOff>851226</xdr:colOff>
      <xdr:row>36</xdr:row>
      <xdr:rowOff>78154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577851</xdr:colOff>
      <xdr:row>0</xdr:row>
      <xdr:rowOff>46265</xdr:rowOff>
    </xdr:from>
    <xdr:to>
      <xdr:col>7</xdr:col>
      <xdr:colOff>444500</xdr:colOff>
      <xdr:row>3</xdr:row>
      <xdr:rowOff>33565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 txBox="1"/>
      </xdr:nvSpPr>
      <xdr:spPr>
        <a:xfrm>
          <a:off x="577851" y="46265"/>
          <a:ext cx="8510587" cy="534988"/>
        </a:xfrm>
        <a:prstGeom prst="rect">
          <a:avLst/>
        </a:prstGeom>
        <a:solidFill>
          <a:schemeClr val="lt1"/>
        </a:solidFill>
        <a:ln w="38100" cmpd="sng">
          <a:solidFill>
            <a:schemeClr val="tx1">
              <a:lumMod val="75000"/>
              <a:lumOff val="2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US" sz="2400" b="1">
              <a:solidFill>
                <a:schemeClr val="tx1">
                  <a:lumMod val="75000"/>
                  <a:lumOff val="25000"/>
                </a:schemeClr>
              </a:solidFill>
            </a:rPr>
            <a:t>WHAT</a:t>
          </a:r>
          <a:r>
            <a:rPr lang="en-US" sz="2400" b="1" baseline="0">
              <a:solidFill>
                <a:schemeClr val="tx1">
                  <a:lumMod val="75000"/>
                  <a:lumOff val="25000"/>
                </a:schemeClr>
              </a:solidFill>
            </a:rPr>
            <a:t> DO </a:t>
          </a:r>
          <a:r>
            <a:rPr lang="en-US" sz="2400" b="1" baseline="0">
              <a:solidFill>
                <a:srgbClr val="269999"/>
              </a:solidFill>
            </a:rPr>
            <a:t>WAGE</a:t>
          </a:r>
          <a:r>
            <a:rPr lang="en-US" sz="2400" b="1" baseline="0">
              <a:solidFill>
                <a:schemeClr val="accent2">
                  <a:lumMod val="60000"/>
                  <a:lumOff val="40000"/>
                </a:schemeClr>
              </a:solidFill>
            </a:rPr>
            <a:t> </a:t>
          </a:r>
          <a:r>
            <a:rPr lang="en-US" sz="2400" b="1" baseline="0">
              <a:solidFill>
                <a:schemeClr val="tx1">
                  <a:lumMod val="75000"/>
                  <a:lumOff val="25000"/>
                </a:schemeClr>
              </a:solidFill>
            </a:rPr>
            <a:t>AND </a:t>
          </a:r>
          <a:r>
            <a:rPr lang="en-US" sz="2400" b="1" baseline="0">
              <a:solidFill>
                <a:srgbClr val="FF5050"/>
              </a:solidFill>
            </a:rPr>
            <a:t>EMPLOYMENT</a:t>
          </a:r>
          <a:r>
            <a:rPr lang="en-US" sz="2400" b="1" baseline="0">
              <a:solidFill>
                <a:schemeClr val="tx1">
                  <a:lumMod val="75000"/>
                  <a:lumOff val="25000"/>
                </a:schemeClr>
              </a:solidFill>
            </a:rPr>
            <a:t> LOOK LIKE BY INDUSTRY  ?</a:t>
          </a:r>
          <a:endParaRPr lang="en-US" sz="2400" b="1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twoCellAnchor>
  <xdr:twoCellAnchor>
    <xdr:from>
      <xdr:col>1</xdr:col>
      <xdr:colOff>724341</xdr:colOff>
      <xdr:row>6</xdr:row>
      <xdr:rowOff>16716</xdr:rowOff>
    </xdr:from>
    <xdr:to>
      <xdr:col>2</xdr:col>
      <xdr:colOff>310630</xdr:colOff>
      <xdr:row>7</xdr:row>
      <xdr:rowOff>155309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1335529" y="1262904"/>
          <a:ext cx="2205664" cy="40846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600" b="1"/>
            <a:t>Average Annual</a:t>
          </a:r>
          <a:r>
            <a:rPr lang="en-US" sz="1600" b="1" baseline="0"/>
            <a:t> </a:t>
          </a:r>
          <a:r>
            <a:rPr lang="en-US" sz="1600" b="1">
              <a:solidFill>
                <a:srgbClr val="269999"/>
              </a:solidFill>
            </a:rPr>
            <a:t>Wage</a:t>
          </a:r>
        </a:p>
      </xdr:txBody>
    </xdr:sp>
    <xdr:clientData/>
  </xdr:twoCellAnchor>
  <xdr:twoCellAnchor>
    <xdr:from>
      <xdr:col>3</xdr:col>
      <xdr:colOff>1190409</xdr:colOff>
      <xdr:row>6</xdr:row>
      <xdr:rowOff>25110</xdr:rowOff>
    </xdr:from>
    <xdr:to>
      <xdr:col>5</xdr:col>
      <xdr:colOff>104280</xdr:colOff>
      <xdr:row>7</xdr:row>
      <xdr:rowOff>146916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/>
      </xdr:nvSpPr>
      <xdr:spPr>
        <a:xfrm>
          <a:off x="5032159" y="1271298"/>
          <a:ext cx="2493684" cy="39168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600" b="1"/>
            <a:t>Shares</a:t>
          </a:r>
          <a:r>
            <a:rPr lang="en-US" sz="1600" b="1" baseline="0"/>
            <a:t> of Total </a:t>
          </a:r>
          <a:r>
            <a:rPr lang="en-US" sz="1600" b="1" baseline="0">
              <a:solidFill>
                <a:srgbClr val="FF5050"/>
              </a:solidFill>
            </a:rPr>
            <a:t>Employees</a:t>
          </a:r>
          <a:endParaRPr lang="en-US" sz="1600" b="1">
            <a:solidFill>
              <a:srgbClr val="FF5050"/>
            </a:solidFill>
          </a:endParaRPr>
        </a:p>
      </xdr:txBody>
    </xdr:sp>
    <xdr:clientData/>
  </xdr:twoCellAnchor>
  <xdr:twoCellAnchor>
    <xdr:from>
      <xdr:col>3</xdr:col>
      <xdr:colOff>1207423</xdr:colOff>
      <xdr:row>18</xdr:row>
      <xdr:rowOff>117186</xdr:rowOff>
    </xdr:from>
    <xdr:to>
      <xdr:col>5</xdr:col>
      <xdr:colOff>52277</xdr:colOff>
      <xdr:row>20</xdr:row>
      <xdr:rowOff>105833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 txBox="1"/>
      </xdr:nvSpPr>
      <xdr:spPr>
        <a:xfrm>
          <a:off x="5051290" y="3698586"/>
          <a:ext cx="2417787" cy="36118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600" b="1">
              <a:solidFill>
                <a:srgbClr val="269999"/>
              </a:solidFill>
            </a:rPr>
            <a:t>Wage</a:t>
          </a:r>
          <a:r>
            <a:rPr lang="en-US" sz="1600" b="1" baseline="0"/>
            <a:t> &amp; </a:t>
          </a:r>
          <a:r>
            <a:rPr lang="en-US" sz="1600" b="1" baseline="0">
              <a:solidFill>
                <a:srgbClr val="FF5050"/>
              </a:solidFill>
            </a:rPr>
            <a:t>Employee </a:t>
          </a:r>
          <a:r>
            <a:rPr lang="en-US" sz="1600" b="1" baseline="0"/>
            <a:t>Trends</a:t>
          </a:r>
          <a:endParaRPr lang="en-US" sz="1600" b="1"/>
        </a:p>
      </xdr:txBody>
    </xdr:sp>
    <xdr:clientData/>
  </xdr:twoCellAnchor>
  <xdr:twoCellAnchor>
    <xdr:from>
      <xdr:col>5</xdr:col>
      <xdr:colOff>472689</xdr:colOff>
      <xdr:row>11</xdr:row>
      <xdr:rowOff>77387</xdr:rowOff>
    </xdr:from>
    <xdr:to>
      <xdr:col>11</xdr:col>
      <xdr:colOff>185615</xdr:colOff>
      <xdr:row>34</xdr:row>
      <xdr:rowOff>175847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7" name="Chart 16">
              <a:extLst>
                <a:ext uri="{FF2B5EF4-FFF2-40B4-BE49-F238E27FC236}">
                  <a16:creationId xmlns:a16="http://schemas.microsoft.com/office/drawing/2014/main" id="{00000000-0008-0000-0300-000011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765029" y="2317667"/>
              <a:ext cx="5351726" cy="43047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</xdr:col>
      <xdr:colOff>2658389</xdr:colOff>
      <xdr:row>11</xdr:row>
      <xdr:rowOff>53813</xdr:rowOff>
    </xdr:from>
    <xdr:to>
      <xdr:col>5</xdr:col>
      <xdr:colOff>86101</xdr:colOff>
      <xdr:row>15</xdr:row>
      <xdr:rowOff>43050</xdr:rowOff>
    </xdr:to>
    <xdr:sp macro="" textlink="'Data Prep'!I20">
      <xdr:nvSpPr>
        <xdr:cNvPr id="18" name="TextBox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SpPr txBox="1"/>
      </xdr:nvSpPr>
      <xdr:spPr>
        <a:xfrm>
          <a:off x="6511440" y="2303220"/>
          <a:ext cx="1011695" cy="72110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7F6D7A94-11DD-4588-8F5E-6EA94CC10846}" type="TxLink">
            <a:rPr lang="en-US" sz="3600" b="1" i="0" u="none" strike="noStrike">
              <a:solidFill>
                <a:srgbClr val="FF5050"/>
              </a:solidFill>
              <a:latin typeface="Calibri"/>
              <a:ea typeface="Calibri"/>
              <a:cs typeface="Calibri"/>
            </a:rPr>
            <a:pPr algn="ctr"/>
            <a:t>17%</a:t>
          </a:fld>
          <a:endParaRPr lang="en-US" sz="3600" b="1">
            <a:solidFill>
              <a:srgbClr val="FF5050"/>
            </a:solidFill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60960</xdr:colOff>
          <xdr:row>3</xdr:row>
          <xdr:rowOff>182880</xdr:rowOff>
        </xdr:from>
        <xdr:to>
          <xdr:col>2</xdr:col>
          <xdr:colOff>403860</xdr:colOff>
          <xdr:row>4</xdr:row>
          <xdr:rowOff>327660</xdr:rowOff>
        </xdr:to>
        <xdr:sp macro="" textlink="">
          <xdr:nvSpPr>
            <xdr:cNvPr id="2050" name="Spinner 2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:a16="http://schemas.microsoft.com/office/drawing/2014/main" id="{00000000-0008-0000-0300-00000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22860</xdr:colOff>
          <xdr:row>6</xdr:row>
          <xdr:rowOff>114300</xdr:rowOff>
        </xdr:from>
        <xdr:to>
          <xdr:col>7</xdr:col>
          <xdr:colOff>960120</xdr:colOff>
          <xdr:row>7</xdr:row>
          <xdr:rowOff>60960</xdr:rowOff>
        </xdr:to>
        <xdr:sp macro="" textlink="">
          <xdr:nvSpPr>
            <xdr:cNvPr id="2051" name="Option 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3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Avg. Wages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1905000</xdr:colOff>
          <xdr:row>6</xdr:row>
          <xdr:rowOff>114300</xdr:rowOff>
        </xdr:from>
        <xdr:to>
          <xdr:col>9</xdr:col>
          <xdr:colOff>274319</xdr:colOff>
          <xdr:row>7</xdr:row>
          <xdr:rowOff>60960</xdr:rowOff>
        </xdr:to>
        <xdr:sp macro="" textlink="">
          <xdr:nvSpPr>
            <xdr:cNvPr id="2052" name="Option Button 4" hidden="1">
              <a:extLst>
                <a:ext uri="{63B3BB69-23CF-44E3-9099-C40C66FF867C}">
                  <a14:compatExt spid="_x0000_s2052"/>
                </a:ext>
                <a:ext uri="{FF2B5EF4-FFF2-40B4-BE49-F238E27FC236}">
                  <a16:creationId xmlns:a16="http://schemas.microsoft.com/office/drawing/2014/main" id="{00000000-0008-0000-0300-00000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Employees Per 1000 Capita</a:t>
              </a:r>
            </a:p>
          </xdr:txBody>
        </xdr:sp>
        <xdr:clientData/>
      </xdr:twoCellAnchor>
    </mc:Choice>
    <mc:Fallback/>
  </mc:AlternateContent>
  <xdr:twoCellAnchor>
    <xdr:from>
      <xdr:col>7</xdr:col>
      <xdr:colOff>201884</xdr:colOff>
      <xdr:row>6</xdr:row>
      <xdr:rowOff>25110</xdr:rowOff>
    </xdr:from>
    <xdr:to>
      <xdr:col>7</xdr:col>
      <xdr:colOff>1420812</xdr:colOff>
      <xdr:row>7</xdr:row>
      <xdr:rowOff>146916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 txBox="1"/>
      </xdr:nvSpPr>
      <xdr:spPr>
        <a:xfrm>
          <a:off x="8845822" y="1271298"/>
          <a:ext cx="1218928" cy="39168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n-US" sz="1600" b="1"/>
            <a:t>Avg.</a:t>
          </a:r>
          <a:r>
            <a:rPr lang="en-US" sz="1600" b="1" baseline="0"/>
            <a:t> </a:t>
          </a:r>
          <a:r>
            <a:rPr lang="en-US" sz="1600" b="1" baseline="0">
              <a:solidFill>
                <a:srgbClr val="269999"/>
              </a:solidFill>
            </a:rPr>
            <a:t>Wages</a:t>
          </a:r>
          <a:endParaRPr lang="en-US" sz="1600" b="1">
            <a:solidFill>
              <a:srgbClr val="269999"/>
            </a:solidFill>
          </a:endParaRPr>
        </a:p>
      </xdr:txBody>
    </xdr:sp>
    <xdr:clientData/>
  </xdr:twoCellAnchor>
  <xdr:twoCellAnchor>
    <xdr:from>
      <xdr:col>7</xdr:col>
      <xdr:colOff>2098945</xdr:colOff>
      <xdr:row>6</xdr:row>
      <xdr:rowOff>25110</xdr:rowOff>
    </xdr:from>
    <xdr:to>
      <xdr:col>11</xdr:col>
      <xdr:colOff>76192</xdr:colOff>
      <xdr:row>7</xdr:row>
      <xdr:rowOff>146916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 txBox="1"/>
      </xdr:nvSpPr>
      <xdr:spPr>
        <a:xfrm>
          <a:off x="10742883" y="1271298"/>
          <a:ext cx="2493684" cy="39168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600" b="1" baseline="0">
              <a:solidFill>
                <a:srgbClr val="FF5050"/>
              </a:solidFill>
            </a:rPr>
            <a:t>Employees</a:t>
          </a:r>
          <a:r>
            <a:rPr lang="en-US" sz="1600" b="1" baseline="0"/>
            <a:t> Per 1000 Capita</a:t>
          </a:r>
          <a:endParaRPr lang="en-US" sz="1600" b="1"/>
        </a:p>
      </xdr:txBody>
    </xdr:sp>
    <xdr:clientData/>
  </xdr:twoCellAnchor>
  <xdr:twoCellAnchor editAs="oneCell">
    <xdr:from>
      <xdr:col>8</xdr:col>
      <xdr:colOff>239486</xdr:colOff>
      <xdr:row>0</xdr:row>
      <xdr:rowOff>0</xdr:rowOff>
    </xdr:from>
    <xdr:to>
      <xdr:col>11</xdr:col>
      <xdr:colOff>506185</xdr:colOff>
      <xdr:row>4</xdr:row>
      <xdr:rowOff>291192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53800" y="0"/>
          <a:ext cx="2062842" cy="103142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Maven Career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269999"/>
      </a:accent1>
      <a:accent2>
        <a:srgbClr val="FF5050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2F2C-F2D3-4F44-815D-AF8D50250408}">
  <dimension ref="A1:F1919"/>
  <sheetViews>
    <sheetView workbookViewId="0"/>
  </sheetViews>
  <sheetFormatPr defaultRowHeight="14.4" x14ac:dyDescent="0.3"/>
  <cols>
    <col min="1" max="1" width="9.109375" customWidth="1"/>
    <col min="2" max="2" width="21.6640625" customWidth="1"/>
    <col min="3" max="3" width="18.6640625" customWidth="1"/>
    <col min="4" max="4" width="15.5546875" customWidth="1"/>
    <col min="5" max="5" width="11.77734375" customWidth="1"/>
    <col min="6" max="6" width="17.33203125" customWidth="1"/>
    <col min="7" max="18" width="9.109375" customWidth="1"/>
  </cols>
  <sheetData>
    <row r="1" spans="1:6" x14ac:dyDescent="0.3">
      <c r="A1" s="12" t="s">
        <v>50</v>
      </c>
      <c r="B1" s="11" t="s">
        <v>49</v>
      </c>
      <c r="C1" s="11" t="s">
        <v>0</v>
      </c>
      <c r="D1" s="11" t="s">
        <v>61</v>
      </c>
      <c r="E1" s="11" t="s">
        <v>62</v>
      </c>
      <c r="F1" s="13" t="s">
        <v>63</v>
      </c>
    </row>
    <row r="2" spans="1:6" x14ac:dyDescent="0.3">
      <c r="A2" s="7">
        <v>2020</v>
      </c>
      <c r="B2" s="8" t="s">
        <v>55</v>
      </c>
      <c r="C2" s="8" t="s">
        <v>1</v>
      </c>
      <c r="D2" s="14">
        <v>1829</v>
      </c>
      <c r="E2" s="14">
        <v>18051</v>
      </c>
      <c r="F2" s="15">
        <v>58872</v>
      </c>
    </row>
    <row r="3" spans="1:6" x14ac:dyDescent="0.3">
      <c r="A3" s="7">
        <v>2020</v>
      </c>
      <c r="B3" s="8" t="s">
        <v>55</v>
      </c>
      <c r="C3" s="8" t="s">
        <v>2</v>
      </c>
      <c r="D3" s="14">
        <v>1354</v>
      </c>
      <c r="E3" s="14">
        <v>35607</v>
      </c>
      <c r="F3" s="15">
        <v>55216</v>
      </c>
    </row>
    <row r="4" spans="1:6" x14ac:dyDescent="0.3">
      <c r="A4" s="7">
        <v>2020</v>
      </c>
      <c r="B4" s="8" t="s">
        <v>55</v>
      </c>
      <c r="C4" s="8" t="s">
        <v>3</v>
      </c>
      <c r="D4" s="14">
        <v>2565</v>
      </c>
      <c r="E4" s="14">
        <v>15961</v>
      </c>
      <c r="F4" s="15">
        <v>49909</v>
      </c>
    </row>
    <row r="5" spans="1:6" x14ac:dyDescent="0.3">
      <c r="A5" s="7">
        <v>2020</v>
      </c>
      <c r="B5" s="8" t="s">
        <v>55</v>
      </c>
      <c r="C5" s="8" t="s">
        <v>4</v>
      </c>
      <c r="D5" s="14">
        <v>17651</v>
      </c>
      <c r="E5" s="14">
        <v>425665</v>
      </c>
      <c r="F5" s="15">
        <v>42534</v>
      </c>
    </row>
    <row r="6" spans="1:6" x14ac:dyDescent="0.3">
      <c r="A6" s="7">
        <v>2020</v>
      </c>
      <c r="B6" s="8" t="s">
        <v>55</v>
      </c>
      <c r="C6" s="8" t="s">
        <v>5</v>
      </c>
      <c r="D6" s="14">
        <v>3312</v>
      </c>
      <c r="E6" s="14">
        <v>41633</v>
      </c>
      <c r="F6" s="15">
        <v>91879</v>
      </c>
    </row>
    <row r="7" spans="1:6" x14ac:dyDescent="0.3">
      <c r="A7" s="7">
        <v>2020</v>
      </c>
      <c r="B7" s="8" t="s">
        <v>55</v>
      </c>
      <c r="C7" s="8" t="s">
        <v>6</v>
      </c>
      <c r="D7" s="8">
        <v>467</v>
      </c>
      <c r="E7" s="14">
        <v>5260</v>
      </c>
      <c r="F7" s="15">
        <v>43142</v>
      </c>
    </row>
    <row r="8" spans="1:6" x14ac:dyDescent="0.3">
      <c r="A8" s="7">
        <v>2020</v>
      </c>
      <c r="B8" s="8" t="s">
        <v>55</v>
      </c>
      <c r="C8" s="8" t="s">
        <v>7</v>
      </c>
      <c r="D8" s="8">
        <v>186</v>
      </c>
      <c r="E8" s="14">
        <v>1317</v>
      </c>
      <c r="F8" s="15">
        <v>43290</v>
      </c>
    </row>
    <row r="9" spans="1:6" x14ac:dyDescent="0.3">
      <c r="A9" s="7">
        <v>2020</v>
      </c>
      <c r="B9" s="8" t="s">
        <v>55</v>
      </c>
      <c r="C9" s="8" t="s">
        <v>8</v>
      </c>
      <c r="D9" s="14">
        <v>5394</v>
      </c>
      <c r="E9" s="14">
        <v>71107</v>
      </c>
      <c r="F9" s="15">
        <v>37717</v>
      </c>
    </row>
    <row r="10" spans="1:6" x14ac:dyDescent="0.3">
      <c r="A10" s="7">
        <v>2020</v>
      </c>
      <c r="B10" s="8" t="s">
        <v>55</v>
      </c>
      <c r="C10" s="8" t="s">
        <v>9</v>
      </c>
      <c r="D10" s="14">
        <v>2794</v>
      </c>
      <c r="E10" s="14">
        <v>29309</v>
      </c>
      <c r="F10" s="15">
        <v>45978</v>
      </c>
    </row>
    <row r="11" spans="1:6" x14ac:dyDescent="0.3">
      <c r="A11" s="7">
        <v>2020</v>
      </c>
      <c r="B11" s="8" t="s">
        <v>55</v>
      </c>
      <c r="C11" s="8" t="s">
        <v>10</v>
      </c>
      <c r="D11" s="14">
        <v>2531</v>
      </c>
      <c r="E11" s="14">
        <v>27020</v>
      </c>
      <c r="F11" s="15">
        <v>42820</v>
      </c>
    </row>
    <row r="12" spans="1:6" x14ac:dyDescent="0.3">
      <c r="A12" s="7">
        <v>2020</v>
      </c>
      <c r="B12" s="8" t="s">
        <v>55</v>
      </c>
      <c r="C12" s="8" t="s">
        <v>11</v>
      </c>
      <c r="D12" s="14">
        <v>2818</v>
      </c>
      <c r="E12" s="14">
        <v>24933</v>
      </c>
      <c r="F12" s="15">
        <v>52259</v>
      </c>
    </row>
    <row r="13" spans="1:6" x14ac:dyDescent="0.3">
      <c r="A13" s="7">
        <v>2020</v>
      </c>
      <c r="B13" s="8" t="s">
        <v>55</v>
      </c>
      <c r="C13" s="8" t="s">
        <v>12</v>
      </c>
      <c r="D13" s="14">
        <v>2302</v>
      </c>
      <c r="E13" s="14">
        <v>20872</v>
      </c>
      <c r="F13" s="15">
        <v>50732</v>
      </c>
    </row>
    <row r="14" spans="1:6" x14ac:dyDescent="0.3">
      <c r="A14" s="7">
        <v>2020</v>
      </c>
      <c r="B14" s="8" t="s">
        <v>55</v>
      </c>
      <c r="C14" s="8" t="s">
        <v>13</v>
      </c>
      <c r="D14" s="14">
        <v>2911</v>
      </c>
      <c r="E14" s="14">
        <v>22868</v>
      </c>
      <c r="F14" s="15">
        <v>45588</v>
      </c>
    </row>
    <row r="15" spans="1:6" x14ac:dyDescent="0.3">
      <c r="A15" s="7">
        <v>2020</v>
      </c>
      <c r="B15" s="8" t="s">
        <v>55</v>
      </c>
      <c r="C15" s="8" t="s">
        <v>14</v>
      </c>
      <c r="D15" s="14">
        <v>2613</v>
      </c>
      <c r="E15" s="14">
        <v>18607</v>
      </c>
      <c r="F15" s="15">
        <v>47721</v>
      </c>
    </row>
    <row r="16" spans="1:6" x14ac:dyDescent="0.3">
      <c r="A16" s="7">
        <v>2020</v>
      </c>
      <c r="B16" s="8" t="s">
        <v>55</v>
      </c>
      <c r="C16" s="8" t="s">
        <v>15</v>
      </c>
      <c r="D16" s="14">
        <v>1632</v>
      </c>
      <c r="E16" s="14">
        <v>16061</v>
      </c>
      <c r="F16" s="15">
        <v>54605</v>
      </c>
    </row>
    <row r="17" spans="1:6" x14ac:dyDescent="0.3">
      <c r="A17" s="7">
        <v>2020</v>
      </c>
      <c r="B17" s="8" t="s">
        <v>55</v>
      </c>
      <c r="C17" s="8" t="s">
        <v>16</v>
      </c>
      <c r="D17" s="14">
        <v>3143</v>
      </c>
      <c r="E17" s="14">
        <v>37751</v>
      </c>
      <c r="F17" s="15">
        <v>86727</v>
      </c>
    </row>
    <row r="18" spans="1:6" x14ac:dyDescent="0.3">
      <c r="A18" s="7">
        <v>2020</v>
      </c>
      <c r="B18" s="8" t="s">
        <v>55</v>
      </c>
      <c r="C18" s="8" t="s">
        <v>17</v>
      </c>
      <c r="D18" s="14">
        <v>1581</v>
      </c>
      <c r="E18" s="14">
        <v>7787</v>
      </c>
      <c r="F18" s="15">
        <v>41422</v>
      </c>
    </row>
    <row r="19" spans="1:6" x14ac:dyDescent="0.3">
      <c r="A19" s="7">
        <v>2020</v>
      </c>
      <c r="B19" s="8" t="s">
        <v>55</v>
      </c>
      <c r="C19" s="8" t="s">
        <v>18</v>
      </c>
      <c r="D19" s="8">
        <v>720</v>
      </c>
      <c r="E19" s="14">
        <v>7112</v>
      </c>
      <c r="F19" s="15">
        <v>46887</v>
      </c>
    </row>
    <row r="20" spans="1:6" x14ac:dyDescent="0.3">
      <c r="A20" s="7">
        <v>2020</v>
      </c>
      <c r="B20" s="8" t="s">
        <v>55</v>
      </c>
      <c r="C20" s="8" t="s">
        <v>19</v>
      </c>
      <c r="D20" s="8">
        <v>999</v>
      </c>
      <c r="E20" s="14">
        <v>11134</v>
      </c>
      <c r="F20" s="15">
        <v>64628</v>
      </c>
    </row>
    <row r="21" spans="1:6" x14ac:dyDescent="0.3">
      <c r="A21" s="7">
        <v>2020</v>
      </c>
      <c r="B21" s="8" t="s">
        <v>55</v>
      </c>
      <c r="C21" s="8" t="s">
        <v>20</v>
      </c>
      <c r="D21" s="14">
        <v>3574</v>
      </c>
      <c r="E21" s="14">
        <v>34897</v>
      </c>
      <c r="F21" s="15">
        <v>43309</v>
      </c>
    </row>
    <row r="22" spans="1:6" x14ac:dyDescent="0.3">
      <c r="A22" s="7">
        <v>2020</v>
      </c>
      <c r="B22" s="8" t="s">
        <v>55</v>
      </c>
      <c r="C22" s="8" t="s">
        <v>21</v>
      </c>
      <c r="D22" s="14">
        <v>3175</v>
      </c>
      <c r="E22" s="14">
        <v>28204</v>
      </c>
      <c r="F22" s="15">
        <v>51276</v>
      </c>
    </row>
    <row r="23" spans="1:6" x14ac:dyDescent="0.3">
      <c r="A23" s="7">
        <v>2020</v>
      </c>
      <c r="B23" s="8" t="s">
        <v>55</v>
      </c>
      <c r="C23" s="8" t="s">
        <v>22</v>
      </c>
      <c r="D23" s="14">
        <v>2070</v>
      </c>
      <c r="E23" s="14">
        <v>14561</v>
      </c>
      <c r="F23" s="15">
        <v>50525</v>
      </c>
    </row>
    <row r="24" spans="1:6" x14ac:dyDescent="0.3">
      <c r="A24" s="7">
        <v>2020</v>
      </c>
      <c r="B24" s="8" t="s">
        <v>55</v>
      </c>
      <c r="C24" s="8" t="s">
        <v>23</v>
      </c>
      <c r="D24" s="14">
        <v>2123</v>
      </c>
      <c r="E24" s="14">
        <v>16963</v>
      </c>
      <c r="F24" s="15">
        <v>46677</v>
      </c>
    </row>
    <row r="25" spans="1:6" x14ac:dyDescent="0.3">
      <c r="A25" s="7">
        <v>2020</v>
      </c>
      <c r="B25" s="8" t="s">
        <v>55</v>
      </c>
      <c r="C25" s="8" t="s">
        <v>24</v>
      </c>
      <c r="D25" s="14">
        <v>1847</v>
      </c>
      <c r="E25" s="14">
        <v>12449</v>
      </c>
      <c r="F25" s="15">
        <v>65945</v>
      </c>
    </row>
    <row r="26" spans="1:6" x14ac:dyDescent="0.3">
      <c r="A26" s="7">
        <v>2020</v>
      </c>
      <c r="B26" s="8" t="s">
        <v>55</v>
      </c>
      <c r="C26" s="8" t="s">
        <v>25</v>
      </c>
      <c r="D26" s="14">
        <v>2469</v>
      </c>
      <c r="E26" s="14">
        <v>16054</v>
      </c>
      <c r="F26" s="15">
        <v>44449</v>
      </c>
    </row>
    <row r="27" spans="1:6" x14ac:dyDescent="0.3">
      <c r="A27" s="7">
        <v>2020</v>
      </c>
      <c r="B27" s="8" t="s">
        <v>55</v>
      </c>
      <c r="C27" s="8" t="s">
        <v>26</v>
      </c>
      <c r="D27" s="8">
        <v>598</v>
      </c>
      <c r="E27" s="14">
        <v>19509</v>
      </c>
      <c r="F27" s="15">
        <v>88060</v>
      </c>
    </row>
    <row r="28" spans="1:6" x14ac:dyDescent="0.3">
      <c r="A28" s="7">
        <v>2020</v>
      </c>
      <c r="B28" s="8" t="s">
        <v>55</v>
      </c>
      <c r="C28" s="8" t="s">
        <v>27</v>
      </c>
      <c r="D28" s="8">
        <v>350</v>
      </c>
      <c r="E28" s="14">
        <v>2671</v>
      </c>
      <c r="F28" s="15">
        <v>48051</v>
      </c>
    </row>
    <row r="29" spans="1:6" x14ac:dyDescent="0.3">
      <c r="A29" s="7">
        <v>2020</v>
      </c>
      <c r="B29" s="8" t="s">
        <v>55</v>
      </c>
      <c r="C29" s="8" t="s">
        <v>28</v>
      </c>
      <c r="D29" s="8">
        <v>999</v>
      </c>
      <c r="E29" s="14">
        <v>11868</v>
      </c>
      <c r="F29" s="15">
        <v>44634</v>
      </c>
    </row>
    <row r="30" spans="1:6" x14ac:dyDescent="0.3">
      <c r="A30" s="7">
        <v>2020</v>
      </c>
      <c r="B30" s="8" t="s">
        <v>55</v>
      </c>
      <c r="C30" s="8" t="s">
        <v>29</v>
      </c>
      <c r="D30" s="14">
        <v>2064</v>
      </c>
      <c r="E30" s="14">
        <v>30471</v>
      </c>
      <c r="F30" s="15">
        <v>65885</v>
      </c>
    </row>
    <row r="31" spans="1:6" x14ac:dyDescent="0.3">
      <c r="A31" s="7">
        <v>2020</v>
      </c>
      <c r="B31" s="8" t="s">
        <v>55</v>
      </c>
      <c r="C31" s="8" t="s">
        <v>30</v>
      </c>
      <c r="D31" s="14">
        <v>3335</v>
      </c>
      <c r="E31" s="14">
        <v>31214</v>
      </c>
      <c r="F31" s="15">
        <v>44384</v>
      </c>
    </row>
    <row r="32" spans="1:6" x14ac:dyDescent="0.3">
      <c r="A32" s="7">
        <v>2020</v>
      </c>
      <c r="B32" s="8" t="s">
        <v>55</v>
      </c>
      <c r="C32" s="8" t="s">
        <v>31</v>
      </c>
      <c r="D32" s="14">
        <v>3428</v>
      </c>
      <c r="E32" s="14">
        <v>29560</v>
      </c>
      <c r="F32" s="15">
        <v>42720</v>
      </c>
    </row>
    <row r="33" spans="1:6" x14ac:dyDescent="0.3">
      <c r="A33" s="7">
        <v>2020</v>
      </c>
      <c r="B33" s="8" t="s">
        <v>55</v>
      </c>
      <c r="C33" s="8" t="s">
        <v>32</v>
      </c>
      <c r="D33" s="14">
        <v>1830</v>
      </c>
      <c r="E33" s="14">
        <v>19954</v>
      </c>
      <c r="F33" s="15">
        <v>92355</v>
      </c>
    </row>
    <row r="34" spans="1:6" x14ac:dyDescent="0.3">
      <c r="A34" s="7">
        <v>2020</v>
      </c>
      <c r="B34" s="8" t="s">
        <v>55</v>
      </c>
      <c r="C34" s="8" t="s">
        <v>33</v>
      </c>
      <c r="D34" s="14">
        <v>2541</v>
      </c>
      <c r="E34" s="14">
        <v>25841</v>
      </c>
      <c r="F34" s="15">
        <v>51404</v>
      </c>
    </row>
    <row r="35" spans="1:6" x14ac:dyDescent="0.3">
      <c r="A35" s="7">
        <v>2020</v>
      </c>
      <c r="B35" s="8" t="s">
        <v>55</v>
      </c>
      <c r="C35" s="8" t="s">
        <v>34</v>
      </c>
      <c r="D35" s="14">
        <v>4355</v>
      </c>
      <c r="E35" s="14">
        <v>40722</v>
      </c>
      <c r="F35" s="15">
        <v>90660</v>
      </c>
    </row>
    <row r="36" spans="1:6" x14ac:dyDescent="0.3">
      <c r="A36" s="7">
        <v>2020</v>
      </c>
      <c r="B36" s="8" t="s">
        <v>55</v>
      </c>
      <c r="C36" s="8" t="s">
        <v>35</v>
      </c>
      <c r="D36" s="14">
        <v>4739</v>
      </c>
      <c r="E36" s="14">
        <v>54360</v>
      </c>
      <c r="F36" s="15">
        <v>40689</v>
      </c>
    </row>
    <row r="37" spans="1:6" x14ac:dyDescent="0.3">
      <c r="A37" s="7">
        <v>2020</v>
      </c>
      <c r="B37" s="8" t="s">
        <v>55</v>
      </c>
      <c r="C37" s="8" t="s">
        <v>36</v>
      </c>
      <c r="D37" s="14">
        <v>3629</v>
      </c>
      <c r="E37" s="14">
        <v>47789</v>
      </c>
      <c r="F37" s="15">
        <v>61949</v>
      </c>
    </row>
    <row r="38" spans="1:6" x14ac:dyDescent="0.3">
      <c r="A38" s="7">
        <v>2020</v>
      </c>
      <c r="B38" s="8" t="s">
        <v>55</v>
      </c>
      <c r="C38" s="8" t="s">
        <v>37</v>
      </c>
      <c r="D38" s="8">
        <v>205</v>
      </c>
      <c r="E38" s="14">
        <v>1128</v>
      </c>
      <c r="F38" s="15">
        <v>42071</v>
      </c>
    </row>
    <row r="39" spans="1:6" x14ac:dyDescent="0.3">
      <c r="A39" s="7">
        <v>2020</v>
      </c>
      <c r="B39" s="8" t="s">
        <v>55</v>
      </c>
      <c r="C39" s="8" t="s">
        <v>38</v>
      </c>
      <c r="D39" s="14">
        <v>1375</v>
      </c>
      <c r="E39" s="14">
        <v>12442</v>
      </c>
      <c r="F39" s="15">
        <v>44990</v>
      </c>
    </row>
    <row r="40" spans="1:6" x14ac:dyDescent="0.3">
      <c r="A40" s="7">
        <v>2020</v>
      </c>
      <c r="B40" s="8" t="s">
        <v>55</v>
      </c>
      <c r="C40" s="8" t="s">
        <v>39</v>
      </c>
      <c r="D40" s="14">
        <v>1099</v>
      </c>
      <c r="E40" s="14">
        <v>7137</v>
      </c>
      <c r="F40" s="15">
        <v>45582</v>
      </c>
    </row>
    <row r="41" spans="1:6" x14ac:dyDescent="0.3">
      <c r="A41" s="7">
        <v>2020</v>
      </c>
      <c r="B41" s="8" t="s">
        <v>55</v>
      </c>
      <c r="C41" s="8" t="s">
        <v>40</v>
      </c>
      <c r="D41" s="14">
        <v>1130</v>
      </c>
      <c r="E41" s="14">
        <v>11134</v>
      </c>
      <c r="F41" s="15">
        <v>48930</v>
      </c>
    </row>
    <row r="42" spans="1:6" x14ac:dyDescent="0.3">
      <c r="A42" s="7">
        <v>2020</v>
      </c>
      <c r="B42" s="8" t="s">
        <v>55</v>
      </c>
      <c r="C42" s="8" t="s">
        <v>41</v>
      </c>
      <c r="D42" s="14">
        <v>19698</v>
      </c>
      <c r="E42" s="14">
        <v>249859</v>
      </c>
      <c r="F42" s="15">
        <v>117086</v>
      </c>
    </row>
    <row r="43" spans="1:6" x14ac:dyDescent="0.3">
      <c r="A43" s="7">
        <v>2020</v>
      </c>
      <c r="B43" s="8" t="s">
        <v>55</v>
      </c>
      <c r="C43" s="8" t="s">
        <v>42</v>
      </c>
      <c r="D43" s="14">
        <v>1066</v>
      </c>
      <c r="E43" s="14">
        <v>14648</v>
      </c>
      <c r="F43" s="15">
        <v>65747</v>
      </c>
    </row>
    <row r="44" spans="1:6" x14ac:dyDescent="0.3">
      <c r="A44" s="7">
        <v>2020</v>
      </c>
      <c r="B44" s="8" t="s">
        <v>55</v>
      </c>
      <c r="C44" s="8" t="s">
        <v>43</v>
      </c>
      <c r="D44" s="8">
        <v>571</v>
      </c>
      <c r="E44" s="14">
        <v>4095</v>
      </c>
      <c r="F44" s="15">
        <v>41096</v>
      </c>
    </row>
    <row r="45" spans="1:6" x14ac:dyDescent="0.3">
      <c r="A45" s="7">
        <v>2020</v>
      </c>
      <c r="B45" s="8" t="s">
        <v>55</v>
      </c>
      <c r="C45" s="8" t="s">
        <v>44</v>
      </c>
      <c r="D45" s="14">
        <v>2073</v>
      </c>
      <c r="E45" s="14">
        <v>17603</v>
      </c>
      <c r="F45" s="15">
        <v>48671</v>
      </c>
    </row>
    <row r="46" spans="1:6" x14ac:dyDescent="0.3">
      <c r="A46" s="7">
        <v>2020</v>
      </c>
      <c r="B46" s="8" t="s">
        <v>55</v>
      </c>
      <c r="C46" s="8" t="s">
        <v>45</v>
      </c>
      <c r="D46" s="14">
        <v>6971</v>
      </c>
      <c r="E46" s="14">
        <v>101358</v>
      </c>
      <c r="F46" s="15">
        <v>36964</v>
      </c>
    </row>
    <row r="47" spans="1:6" x14ac:dyDescent="0.3">
      <c r="A47" s="7">
        <v>2020</v>
      </c>
      <c r="B47" s="8" t="s">
        <v>55</v>
      </c>
      <c r="C47" s="8" t="s">
        <v>46</v>
      </c>
      <c r="D47" s="14">
        <v>1117</v>
      </c>
      <c r="E47" s="14">
        <v>18455</v>
      </c>
      <c r="F47" s="15">
        <v>78059</v>
      </c>
    </row>
    <row r="48" spans="1:6" x14ac:dyDescent="0.3">
      <c r="A48" s="7">
        <v>2020</v>
      </c>
      <c r="B48" s="8" t="s">
        <v>55</v>
      </c>
      <c r="C48" s="8" t="s">
        <v>47</v>
      </c>
      <c r="D48" s="14">
        <v>2872</v>
      </c>
      <c r="E48" s="14">
        <v>30781</v>
      </c>
      <c r="F48" s="15">
        <v>41928</v>
      </c>
    </row>
    <row r="49" spans="1:6" x14ac:dyDescent="0.3">
      <c r="A49" s="7">
        <v>2020</v>
      </c>
      <c r="B49" s="8" t="s">
        <v>55</v>
      </c>
      <c r="C49" s="8" t="s">
        <v>48</v>
      </c>
      <c r="D49" s="14">
        <v>1440</v>
      </c>
      <c r="E49" s="14">
        <v>19091</v>
      </c>
      <c r="F49" s="15">
        <v>83063</v>
      </c>
    </row>
    <row r="50" spans="1:6" x14ac:dyDescent="0.3">
      <c r="A50" s="7">
        <v>2020</v>
      </c>
      <c r="B50" s="8" t="s">
        <v>51</v>
      </c>
      <c r="C50" s="8" t="s">
        <v>1</v>
      </c>
      <c r="D50" s="14">
        <v>10335</v>
      </c>
      <c r="E50" s="14">
        <v>92772</v>
      </c>
      <c r="F50" s="15">
        <v>59279</v>
      </c>
    </row>
    <row r="51" spans="1:6" x14ac:dyDescent="0.3">
      <c r="A51" s="7">
        <v>2020</v>
      </c>
      <c r="B51" s="8" t="s">
        <v>51</v>
      </c>
      <c r="C51" s="8" t="s">
        <v>2</v>
      </c>
      <c r="D51" s="14">
        <v>14006</v>
      </c>
      <c r="E51" s="14">
        <v>173852</v>
      </c>
      <c r="F51" s="15">
        <v>63056</v>
      </c>
    </row>
    <row r="52" spans="1:6" x14ac:dyDescent="0.3">
      <c r="A52" s="7">
        <v>2020</v>
      </c>
      <c r="B52" s="8" t="s">
        <v>51</v>
      </c>
      <c r="C52" s="8" t="s">
        <v>3</v>
      </c>
      <c r="D52" s="14">
        <v>7277</v>
      </c>
      <c r="E52" s="14">
        <v>53142</v>
      </c>
      <c r="F52" s="15">
        <v>52247</v>
      </c>
    </row>
    <row r="53" spans="1:6" x14ac:dyDescent="0.3">
      <c r="A53" s="7">
        <v>2020</v>
      </c>
      <c r="B53" s="8" t="s">
        <v>51</v>
      </c>
      <c r="C53" s="8" t="s">
        <v>4</v>
      </c>
      <c r="D53" s="14">
        <v>86322</v>
      </c>
      <c r="E53" s="14">
        <v>855879</v>
      </c>
      <c r="F53" s="15">
        <v>76740</v>
      </c>
    </row>
    <row r="54" spans="1:6" x14ac:dyDescent="0.3">
      <c r="A54" s="7">
        <v>2020</v>
      </c>
      <c r="B54" s="8" t="s">
        <v>51</v>
      </c>
      <c r="C54" s="8" t="s">
        <v>5</v>
      </c>
      <c r="D54" s="14">
        <v>21025</v>
      </c>
      <c r="E54" s="14">
        <v>174730</v>
      </c>
      <c r="F54" s="15">
        <v>68209</v>
      </c>
    </row>
    <row r="55" spans="1:6" x14ac:dyDescent="0.3">
      <c r="A55" s="7">
        <v>2020</v>
      </c>
      <c r="B55" s="8" t="s">
        <v>51</v>
      </c>
      <c r="C55" s="8" t="s">
        <v>6</v>
      </c>
      <c r="D55" s="14">
        <v>9415</v>
      </c>
      <c r="E55" s="14">
        <v>56915</v>
      </c>
      <c r="F55" s="15">
        <v>75591</v>
      </c>
    </row>
    <row r="56" spans="1:6" x14ac:dyDescent="0.3">
      <c r="A56" s="7">
        <v>2020</v>
      </c>
      <c r="B56" s="8" t="s">
        <v>51</v>
      </c>
      <c r="C56" s="8" t="s">
        <v>7</v>
      </c>
      <c r="D56" s="14">
        <v>3106</v>
      </c>
      <c r="E56" s="14">
        <v>22403</v>
      </c>
      <c r="F56" s="15">
        <v>64977</v>
      </c>
    </row>
    <row r="57" spans="1:6" x14ac:dyDescent="0.3">
      <c r="A57" s="7">
        <v>2020</v>
      </c>
      <c r="B57" s="8" t="s">
        <v>51</v>
      </c>
      <c r="C57" s="8" t="s">
        <v>8</v>
      </c>
      <c r="D57" s="14">
        <v>76308</v>
      </c>
      <c r="E57" s="14">
        <v>561991</v>
      </c>
      <c r="F57" s="15">
        <v>55910</v>
      </c>
    </row>
    <row r="58" spans="1:6" x14ac:dyDescent="0.3">
      <c r="A58" s="7">
        <v>2020</v>
      </c>
      <c r="B58" s="8" t="s">
        <v>51</v>
      </c>
      <c r="C58" s="8" t="s">
        <v>9</v>
      </c>
      <c r="D58" s="14">
        <v>22906</v>
      </c>
      <c r="E58" s="14">
        <v>200710</v>
      </c>
      <c r="F58" s="15">
        <v>66214</v>
      </c>
    </row>
    <row r="59" spans="1:6" x14ac:dyDescent="0.3">
      <c r="A59" s="7">
        <v>2020</v>
      </c>
      <c r="B59" s="8" t="s">
        <v>51</v>
      </c>
      <c r="C59" s="8" t="s">
        <v>10</v>
      </c>
      <c r="D59" s="14">
        <v>9159</v>
      </c>
      <c r="E59" s="14">
        <v>53385</v>
      </c>
      <c r="F59" s="15">
        <v>48649</v>
      </c>
    </row>
    <row r="60" spans="1:6" x14ac:dyDescent="0.3">
      <c r="A60" s="7">
        <v>2020</v>
      </c>
      <c r="B60" s="8" t="s">
        <v>51</v>
      </c>
      <c r="C60" s="8" t="s">
        <v>11</v>
      </c>
      <c r="D60" s="14">
        <v>32538</v>
      </c>
      <c r="E60" s="14">
        <v>216664</v>
      </c>
      <c r="F60" s="15">
        <v>76581</v>
      </c>
    </row>
    <row r="61" spans="1:6" x14ac:dyDescent="0.3">
      <c r="A61" s="7">
        <v>2020</v>
      </c>
      <c r="B61" s="8" t="s">
        <v>51</v>
      </c>
      <c r="C61" s="8" t="s">
        <v>12</v>
      </c>
      <c r="D61" s="14">
        <v>15617</v>
      </c>
      <c r="E61" s="14">
        <v>144001</v>
      </c>
      <c r="F61" s="15">
        <v>62619</v>
      </c>
    </row>
    <row r="62" spans="1:6" x14ac:dyDescent="0.3">
      <c r="A62" s="7">
        <v>2020</v>
      </c>
      <c r="B62" s="8" t="s">
        <v>51</v>
      </c>
      <c r="C62" s="8" t="s">
        <v>13</v>
      </c>
      <c r="D62" s="14">
        <v>9434</v>
      </c>
      <c r="E62" s="14">
        <v>76561</v>
      </c>
      <c r="F62" s="15">
        <v>61831</v>
      </c>
    </row>
    <row r="63" spans="1:6" x14ac:dyDescent="0.3">
      <c r="A63" s="7">
        <v>2020</v>
      </c>
      <c r="B63" s="8" t="s">
        <v>51</v>
      </c>
      <c r="C63" s="8" t="s">
        <v>14</v>
      </c>
      <c r="D63" s="14">
        <v>7355</v>
      </c>
      <c r="E63" s="14">
        <v>63118</v>
      </c>
      <c r="F63" s="15">
        <v>59126</v>
      </c>
    </row>
    <row r="64" spans="1:6" x14ac:dyDescent="0.3">
      <c r="A64" s="7">
        <v>2020</v>
      </c>
      <c r="B64" s="8" t="s">
        <v>51</v>
      </c>
      <c r="C64" s="8" t="s">
        <v>15</v>
      </c>
      <c r="D64" s="14">
        <v>9832</v>
      </c>
      <c r="E64" s="14">
        <v>77924</v>
      </c>
      <c r="F64" s="15">
        <v>58484</v>
      </c>
    </row>
    <row r="65" spans="1:6" x14ac:dyDescent="0.3">
      <c r="A65" s="7">
        <v>2020</v>
      </c>
      <c r="B65" s="8" t="s">
        <v>51</v>
      </c>
      <c r="C65" s="8" t="s">
        <v>16</v>
      </c>
      <c r="D65" s="14">
        <v>11349</v>
      </c>
      <c r="E65" s="14">
        <v>121521</v>
      </c>
      <c r="F65" s="15">
        <v>65354</v>
      </c>
    </row>
    <row r="66" spans="1:6" x14ac:dyDescent="0.3">
      <c r="A66" s="7">
        <v>2020</v>
      </c>
      <c r="B66" s="8" t="s">
        <v>51</v>
      </c>
      <c r="C66" s="8" t="s">
        <v>17</v>
      </c>
      <c r="D66" s="14">
        <v>5732</v>
      </c>
      <c r="E66" s="14">
        <v>30344</v>
      </c>
      <c r="F66" s="15">
        <v>55607</v>
      </c>
    </row>
    <row r="67" spans="1:6" x14ac:dyDescent="0.3">
      <c r="A67" s="7">
        <v>2020</v>
      </c>
      <c r="B67" s="8" t="s">
        <v>51</v>
      </c>
      <c r="C67" s="8" t="s">
        <v>18</v>
      </c>
      <c r="D67" s="14">
        <v>16346</v>
      </c>
      <c r="E67" s="14">
        <v>160039</v>
      </c>
      <c r="F67" s="15">
        <v>70642</v>
      </c>
    </row>
    <row r="68" spans="1:6" x14ac:dyDescent="0.3">
      <c r="A68" s="7">
        <v>2020</v>
      </c>
      <c r="B68" s="8" t="s">
        <v>51</v>
      </c>
      <c r="C68" s="8" t="s">
        <v>19</v>
      </c>
      <c r="D68" s="14">
        <v>21102</v>
      </c>
      <c r="E68" s="14">
        <v>152366</v>
      </c>
      <c r="F68" s="15">
        <v>84958</v>
      </c>
    </row>
    <row r="69" spans="1:6" x14ac:dyDescent="0.3">
      <c r="A69" s="7">
        <v>2020</v>
      </c>
      <c r="B69" s="8" t="s">
        <v>51</v>
      </c>
      <c r="C69" s="8" t="s">
        <v>20</v>
      </c>
      <c r="D69" s="14">
        <v>21646</v>
      </c>
      <c r="E69" s="14">
        <v>164028</v>
      </c>
      <c r="F69" s="15">
        <v>67631</v>
      </c>
    </row>
    <row r="70" spans="1:6" x14ac:dyDescent="0.3">
      <c r="A70" s="7">
        <v>2020</v>
      </c>
      <c r="B70" s="8" t="s">
        <v>51</v>
      </c>
      <c r="C70" s="8" t="s">
        <v>21</v>
      </c>
      <c r="D70" s="14">
        <v>16952</v>
      </c>
      <c r="E70" s="14">
        <v>123866</v>
      </c>
      <c r="F70" s="15">
        <v>72942</v>
      </c>
    </row>
    <row r="71" spans="1:6" x14ac:dyDescent="0.3">
      <c r="A71" s="7">
        <v>2020</v>
      </c>
      <c r="B71" s="8" t="s">
        <v>51</v>
      </c>
      <c r="C71" s="8" t="s">
        <v>22</v>
      </c>
      <c r="D71" s="14">
        <v>5839</v>
      </c>
      <c r="E71" s="14">
        <v>43888</v>
      </c>
      <c r="F71" s="15">
        <v>53779</v>
      </c>
    </row>
    <row r="72" spans="1:6" x14ac:dyDescent="0.3">
      <c r="A72" s="7">
        <v>2020</v>
      </c>
      <c r="B72" s="8" t="s">
        <v>51</v>
      </c>
      <c r="C72" s="8" t="s">
        <v>23</v>
      </c>
      <c r="D72" s="14">
        <v>15735</v>
      </c>
      <c r="E72" s="14">
        <v>126375</v>
      </c>
      <c r="F72" s="15">
        <v>64664</v>
      </c>
    </row>
    <row r="73" spans="1:6" x14ac:dyDescent="0.3">
      <c r="A73" s="7">
        <v>2020</v>
      </c>
      <c r="B73" s="8" t="s">
        <v>51</v>
      </c>
      <c r="C73" s="8" t="s">
        <v>24</v>
      </c>
      <c r="D73" s="14">
        <v>6813</v>
      </c>
      <c r="E73" s="14">
        <v>30793</v>
      </c>
      <c r="F73" s="15">
        <v>55897</v>
      </c>
    </row>
    <row r="74" spans="1:6" x14ac:dyDescent="0.3">
      <c r="A74" s="7">
        <v>2020</v>
      </c>
      <c r="B74" s="8" t="s">
        <v>51</v>
      </c>
      <c r="C74" s="8" t="s">
        <v>25</v>
      </c>
      <c r="D74" s="14">
        <v>7000</v>
      </c>
      <c r="E74" s="14">
        <v>55249</v>
      </c>
      <c r="F74" s="15">
        <v>56548</v>
      </c>
    </row>
    <row r="75" spans="1:6" x14ac:dyDescent="0.3">
      <c r="A75" s="7">
        <v>2020</v>
      </c>
      <c r="B75" s="8" t="s">
        <v>51</v>
      </c>
      <c r="C75" s="8" t="s">
        <v>26</v>
      </c>
      <c r="D75" s="14">
        <v>5757</v>
      </c>
      <c r="E75" s="14">
        <v>93450</v>
      </c>
      <c r="F75" s="15">
        <v>67902</v>
      </c>
    </row>
    <row r="76" spans="1:6" x14ac:dyDescent="0.3">
      <c r="A76" s="7">
        <v>2020</v>
      </c>
      <c r="B76" s="8" t="s">
        <v>51</v>
      </c>
      <c r="C76" s="8" t="s">
        <v>27</v>
      </c>
      <c r="D76" s="14">
        <v>4901</v>
      </c>
      <c r="E76" s="14">
        <v>27866</v>
      </c>
      <c r="F76" s="15">
        <v>68870</v>
      </c>
    </row>
    <row r="77" spans="1:6" x14ac:dyDescent="0.3">
      <c r="A77" s="7">
        <v>2020</v>
      </c>
      <c r="B77" s="8" t="s">
        <v>51</v>
      </c>
      <c r="C77" s="8" t="s">
        <v>28</v>
      </c>
      <c r="D77" s="14">
        <v>22711</v>
      </c>
      <c r="E77" s="14">
        <v>151469</v>
      </c>
      <c r="F77" s="15">
        <v>77924</v>
      </c>
    </row>
    <row r="78" spans="1:6" x14ac:dyDescent="0.3">
      <c r="A78" s="7">
        <v>2020</v>
      </c>
      <c r="B78" s="8" t="s">
        <v>51</v>
      </c>
      <c r="C78" s="8" t="s">
        <v>29</v>
      </c>
      <c r="D78" s="14">
        <v>5485</v>
      </c>
      <c r="E78" s="14">
        <v>48577</v>
      </c>
      <c r="F78" s="15">
        <v>53439</v>
      </c>
    </row>
    <row r="79" spans="1:6" x14ac:dyDescent="0.3">
      <c r="A79" s="7">
        <v>2020</v>
      </c>
      <c r="B79" s="8" t="s">
        <v>51</v>
      </c>
      <c r="C79" s="8" t="s">
        <v>30</v>
      </c>
      <c r="D79" s="14">
        <v>50929</v>
      </c>
      <c r="E79" s="14">
        <v>361821</v>
      </c>
      <c r="F79" s="15">
        <v>78199</v>
      </c>
    </row>
    <row r="80" spans="1:6" x14ac:dyDescent="0.3">
      <c r="A80" s="7">
        <v>2020</v>
      </c>
      <c r="B80" s="8" t="s">
        <v>51</v>
      </c>
      <c r="C80" s="8" t="s">
        <v>31</v>
      </c>
      <c r="D80" s="14">
        <v>29231</v>
      </c>
      <c r="E80" s="14">
        <v>229369</v>
      </c>
      <c r="F80" s="15">
        <v>59177</v>
      </c>
    </row>
    <row r="81" spans="1:6" x14ac:dyDescent="0.3">
      <c r="A81" s="7">
        <v>2020</v>
      </c>
      <c r="B81" s="8" t="s">
        <v>51</v>
      </c>
      <c r="C81" s="8" t="s">
        <v>32</v>
      </c>
      <c r="D81" s="14">
        <v>3669</v>
      </c>
      <c r="E81" s="14">
        <v>25364</v>
      </c>
      <c r="F81" s="15">
        <v>66729</v>
      </c>
    </row>
    <row r="82" spans="1:6" x14ac:dyDescent="0.3">
      <c r="A82" s="7">
        <v>2020</v>
      </c>
      <c r="B82" s="8" t="s">
        <v>51</v>
      </c>
      <c r="C82" s="8" t="s">
        <v>33</v>
      </c>
      <c r="D82" s="14">
        <v>23650</v>
      </c>
      <c r="E82" s="14">
        <v>218531</v>
      </c>
      <c r="F82" s="15">
        <v>65104</v>
      </c>
    </row>
    <row r="83" spans="1:6" x14ac:dyDescent="0.3">
      <c r="A83" s="7">
        <v>2020</v>
      </c>
      <c r="B83" s="8" t="s">
        <v>51</v>
      </c>
      <c r="C83" s="8" t="s">
        <v>34</v>
      </c>
      <c r="D83" s="14">
        <v>9855</v>
      </c>
      <c r="E83" s="14">
        <v>78772</v>
      </c>
      <c r="F83" s="15">
        <v>55099</v>
      </c>
    </row>
    <row r="84" spans="1:6" x14ac:dyDescent="0.3">
      <c r="A84" s="7">
        <v>2020</v>
      </c>
      <c r="B84" s="8" t="s">
        <v>51</v>
      </c>
      <c r="C84" s="8" t="s">
        <v>35</v>
      </c>
      <c r="D84" s="14">
        <v>14899</v>
      </c>
      <c r="E84" s="14">
        <v>107568</v>
      </c>
      <c r="F84" s="15">
        <v>66876</v>
      </c>
    </row>
    <row r="85" spans="1:6" x14ac:dyDescent="0.3">
      <c r="A85" s="7">
        <v>2020</v>
      </c>
      <c r="B85" s="8" t="s">
        <v>51</v>
      </c>
      <c r="C85" s="8" t="s">
        <v>36</v>
      </c>
      <c r="D85" s="14">
        <v>29345</v>
      </c>
      <c r="E85" s="14">
        <v>241570</v>
      </c>
      <c r="F85" s="15">
        <v>70639</v>
      </c>
    </row>
    <row r="86" spans="1:6" x14ac:dyDescent="0.3">
      <c r="A86" s="7">
        <v>2020</v>
      </c>
      <c r="B86" s="8" t="s">
        <v>51</v>
      </c>
      <c r="C86" s="8" t="s">
        <v>37</v>
      </c>
      <c r="D86" s="14">
        <v>3878</v>
      </c>
      <c r="E86" s="14">
        <v>18924</v>
      </c>
      <c r="F86" s="15">
        <v>66955</v>
      </c>
    </row>
    <row r="87" spans="1:6" x14ac:dyDescent="0.3">
      <c r="A87" s="7">
        <v>2020</v>
      </c>
      <c r="B87" s="8" t="s">
        <v>51</v>
      </c>
      <c r="C87" s="8" t="s">
        <v>38</v>
      </c>
      <c r="D87" s="14">
        <v>13348</v>
      </c>
      <c r="E87" s="14">
        <v>103647</v>
      </c>
      <c r="F87" s="15">
        <v>57906</v>
      </c>
    </row>
    <row r="88" spans="1:6" x14ac:dyDescent="0.3">
      <c r="A88" s="7">
        <v>2020</v>
      </c>
      <c r="B88" s="8" t="s">
        <v>51</v>
      </c>
      <c r="C88" s="8" t="s">
        <v>39</v>
      </c>
      <c r="D88" s="14">
        <v>3954</v>
      </c>
      <c r="E88" s="14">
        <v>24410</v>
      </c>
      <c r="F88" s="15">
        <v>54005</v>
      </c>
    </row>
    <row r="89" spans="1:6" x14ac:dyDescent="0.3">
      <c r="A89" s="7">
        <v>2020</v>
      </c>
      <c r="B89" s="8" t="s">
        <v>51</v>
      </c>
      <c r="C89" s="8" t="s">
        <v>40</v>
      </c>
      <c r="D89" s="14">
        <v>12894</v>
      </c>
      <c r="E89" s="14">
        <v>130050</v>
      </c>
      <c r="F89" s="15">
        <v>62259</v>
      </c>
    </row>
    <row r="90" spans="1:6" x14ac:dyDescent="0.3">
      <c r="A90" s="7">
        <v>2020</v>
      </c>
      <c r="B90" s="8" t="s">
        <v>51</v>
      </c>
      <c r="C90" s="8" t="s">
        <v>41</v>
      </c>
      <c r="D90" s="14">
        <v>55014</v>
      </c>
      <c r="E90" s="14">
        <v>737125</v>
      </c>
      <c r="F90" s="15">
        <v>68929</v>
      </c>
    </row>
    <row r="91" spans="1:6" x14ac:dyDescent="0.3">
      <c r="A91" s="7">
        <v>2020</v>
      </c>
      <c r="B91" s="8" t="s">
        <v>51</v>
      </c>
      <c r="C91" s="8" t="s">
        <v>42</v>
      </c>
      <c r="D91" s="14">
        <v>12932</v>
      </c>
      <c r="E91" s="14">
        <v>115416</v>
      </c>
      <c r="F91" s="15">
        <v>57474</v>
      </c>
    </row>
    <row r="92" spans="1:6" x14ac:dyDescent="0.3">
      <c r="A92" s="7">
        <v>2020</v>
      </c>
      <c r="B92" s="8" t="s">
        <v>51</v>
      </c>
      <c r="C92" s="8" t="s">
        <v>43</v>
      </c>
      <c r="D92" s="14">
        <v>2839</v>
      </c>
      <c r="E92" s="14">
        <v>14269</v>
      </c>
      <c r="F92" s="15">
        <v>55130</v>
      </c>
    </row>
    <row r="93" spans="1:6" x14ac:dyDescent="0.3">
      <c r="A93" s="7">
        <v>2020</v>
      </c>
      <c r="B93" s="8" t="s">
        <v>51</v>
      </c>
      <c r="C93" s="8" t="s">
        <v>44</v>
      </c>
      <c r="D93" s="14">
        <v>21412</v>
      </c>
      <c r="E93" s="14">
        <v>201137</v>
      </c>
      <c r="F93" s="15">
        <v>63521</v>
      </c>
    </row>
    <row r="94" spans="1:6" x14ac:dyDescent="0.3">
      <c r="A94" s="7">
        <v>2020</v>
      </c>
      <c r="B94" s="8" t="s">
        <v>51</v>
      </c>
      <c r="C94" s="8" t="s">
        <v>45</v>
      </c>
      <c r="D94" s="14">
        <v>27072</v>
      </c>
      <c r="E94" s="14">
        <v>199964</v>
      </c>
      <c r="F94" s="15">
        <v>69827</v>
      </c>
    </row>
    <row r="95" spans="1:6" x14ac:dyDescent="0.3">
      <c r="A95" s="7">
        <v>2020</v>
      </c>
      <c r="B95" s="8" t="s">
        <v>51</v>
      </c>
      <c r="C95" s="8" t="s">
        <v>46</v>
      </c>
      <c r="D95" s="14">
        <v>4300</v>
      </c>
      <c r="E95" s="14">
        <v>29583</v>
      </c>
      <c r="F95" s="15">
        <v>60489</v>
      </c>
    </row>
    <row r="96" spans="1:6" x14ac:dyDescent="0.3">
      <c r="A96" s="7">
        <v>2020</v>
      </c>
      <c r="B96" s="8" t="s">
        <v>51</v>
      </c>
      <c r="C96" s="8" t="s">
        <v>47</v>
      </c>
      <c r="D96" s="14">
        <v>14760</v>
      </c>
      <c r="E96" s="14">
        <v>123846</v>
      </c>
      <c r="F96" s="15">
        <v>66423</v>
      </c>
    </row>
    <row r="97" spans="1:6" x14ac:dyDescent="0.3">
      <c r="A97" s="7">
        <v>2020</v>
      </c>
      <c r="B97" s="8" t="s">
        <v>51</v>
      </c>
      <c r="C97" s="8" t="s">
        <v>48</v>
      </c>
      <c r="D97" s="14">
        <v>3478</v>
      </c>
      <c r="E97" s="14">
        <v>21200</v>
      </c>
      <c r="F97" s="15">
        <v>56640</v>
      </c>
    </row>
    <row r="98" spans="1:6" x14ac:dyDescent="0.3">
      <c r="A98" s="7">
        <v>2020</v>
      </c>
      <c r="B98" s="8" t="s">
        <v>52</v>
      </c>
      <c r="C98" s="8" t="s">
        <v>1</v>
      </c>
      <c r="D98" s="14">
        <v>5773</v>
      </c>
      <c r="E98" s="14">
        <v>258328</v>
      </c>
      <c r="F98" s="15">
        <v>60387</v>
      </c>
    </row>
    <row r="99" spans="1:6" x14ac:dyDescent="0.3">
      <c r="A99" s="7">
        <v>2020</v>
      </c>
      <c r="B99" s="8" t="s">
        <v>52</v>
      </c>
      <c r="C99" s="8" t="s">
        <v>2</v>
      </c>
      <c r="D99" s="14">
        <v>5213</v>
      </c>
      <c r="E99" s="14">
        <v>177110</v>
      </c>
      <c r="F99" s="15">
        <v>82375</v>
      </c>
    </row>
    <row r="100" spans="1:6" x14ac:dyDescent="0.3">
      <c r="A100" s="7">
        <v>2020</v>
      </c>
      <c r="B100" s="8" t="s">
        <v>52</v>
      </c>
      <c r="C100" s="8" t="s">
        <v>3</v>
      </c>
      <c r="D100" s="14">
        <v>2961</v>
      </c>
      <c r="E100" s="14">
        <v>154922</v>
      </c>
      <c r="F100" s="15">
        <v>51570</v>
      </c>
    </row>
    <row r="101" spans="1:6" x14ac:dyDescent="0.3">
      <c r="A101" s="7">
        <v>2020</v>
      </c>
      <c r="B101" s="8" t="s">
        <v>52</v>
      </c>
      <c r="C101" s="8" t="s">
        <v>4</v>
      </c>
      <c r="D101" s="14">
        <v>44156</v>
      </c>
      <c r="E101" s="14">
        <v>1263780</v>
      </c>
      <c r="F101" s="15">
        <v>109888</v>
      </c>
    </row>
    <row r="102" spans="1:6" x14ac:dyDescent="0.3">
      <c r="A102" s="7">
        <v>2020</v>
      </c>
      <c r="B102" s="8" t="s">
        <v>52</v>
      </c>
      <c r="C102" s="8" t="s">
        <v>5</v>
      </c>
      <c r="D102" s="14">
        <v>5888</v>
      </c>
      <c r="E102" s="14">
        <v>146473</v>
      </c>
      <c r="F102" s="15">
        <v>77207</v>
      </c>
    </row>
    <row r="103" spans="1:6" x14ac:dyDescent="0.3">
      <c r="A103" s="7">
        <v>2020</v>
      </c>
      <c r="B103" s="8" t="s">
        <v>52</v>
      </c>
      <c r="C103" s="8" t="s">
        <v>6</v>
      </c>
      <c r="D103" s="14">
        <v>4386</v>
      </c>
      <c r="E103" s="14">
        <v>153812</v>
      </c>
      <c r="F103" s="15">
        <v>87706</v>
      </c>
    </row>
    <row r="104" spans="1:6" x14ac:dyDescent="0.3">
      <c r="A104" s="7">
        <v>2020</v>
      </c>
      <c r="B104" s="8" t="s">
        <v>52</v>
      </c>
      <c r="C104" s="8" t="s">
        <v>7</v>
      </c>
      <c r="D104" s="8">
        <v>678</v>
      </c>
      <c r="E104" s="14">
        <v>25520</v>
      </c>
      <c r="F104" s="15">
        <v>68049</v>
      </c>
    </row>
    <row r="105" spans="1:6" x14ac:dyDescent="0.3">
      <c r="A105" s="7">
        <v>2020</v>
      </c>
      <c r="B105" s="8" t="s">
        <v>52</v>
      </c>
      <c r="C105" s="8" t="s">
        <v>8</v>
      </c>
      <c r="D105" s="14">
        <v>21275</v>
      </c>
      <c r="E105" s="14">
        <v>376070</v>
      </c>
      <c r="F105" s="15">
        <v>66758</v>
      </c>
    </row>
    <row r="106" spans="1:6" x14ac:dyDescent="0.3">
      <c r="A106" s="7">
        <v>2020</v>
      </c>
      <c r="B106" s="8" t="s">
        <v>52</v>
      </c>
      <c r="C106" s="8" t="s">
        <v>9</v>
      </c>
      <c r="D106" s="14">
        <v>10646</v>
      </c>
      <c r="E106" s="14">
        <v>382938</v>
      </c>
      <c r="F106" s="15">
        <v>60184</v>
      </c>
    </row>
    <row r="107" spans="1:6" x14ac:dyDescent="0.3">
      <c r="A107" s="7">
        <v>2020</v>
      </c>
      <c r="B107" s="8" t="s">
        <v>52</v>
      </c>
      <c r="C107" s="8" t="s">
        <v>10</v>
      </c>
      <c r="D107" s="14">
        <v>2886</v>
      </c>
      <c r="E107" s="14">
        <v>67700</v>
      </c>
      <c r="F107" s="15">
        <v>65603</v>
      </c>
    </row>
    <row r="108" spans="1:6" x14ac:dyDescent="0.3">
      <c r="A108" s="7">
        <v>2020</v>
      </c>
      <c r="B108" s="8" t="s">
        <v>52</v>
      </c>
      <c r="C108" s="8" t="s">
        <v>11</v>
      </c>
      <c r="D108" s="14">
        <v>18033</v>
      </c>
      <c r="E108" s="14">
        <v>554712</v>
      </c>
      <c r="F108" s="15">
        <v>74855</v>
      </c>
    </row>
    <row r="109" spans="1:6" x14ac:dyDescent="0.3">
      <c r="A109" s="7">
        <v>2020</v>
      </c>
      <c r="B109" s="8" t="s">
        <v>52</v>
      </c>
      <c r="C109" s="8" t="s">
        <v>12</v>
      </c>
      <c r="D109" s="14">
        <v>9255</v>
      </c>
      <c r="E109" s="14">
        <v>504460</v>
      </c>
      <c r="F109" s="15">
        <v>65092</v>
      </c>
    </row>
    <row r="110" spans="1:6" x14ac:dyDescent="0.3">
      <c r="A110" s="7">
        <v>2020</v>
      </c>
      <c r="B110" s="8" t="s">
        <v>52</v>
      </c>
      <c r="C110" s="8" t="s">
        <v>13</v>
      </c>
      <c r="D110" s="14">
        <v>4099</v>
      </c>
      <c r="E110" s="14">
        <v>216615</v>
      </c>
      <c r="F110" s="15">
        <v>63103</v>
      </c>
    </row>
    <row r="111" spans="1:6" x14ac:dyDescent="0.3">
      <c r="A111" s="7">
        <v>2020</v>
      </c>
      <c r="B111" s="8" t="s">
        <v>52</v>
      </c>
      <c r="C111" s="8" t="s">
        <v>14</v>
      </c>
      <c r="D111" s="14">
        <v>3109</v>
      </c>
      <c r="E111" s="14">
        <v>158784</v>
      </c>
      <c r="F111" s="15">
        <v>62958</v>
      </c>
    </row>
    <row r="112" spans="1:6" x14ac:dyDescent="0.3">
      <c r="A112" s="7">
        <v>2020</v>
      </c>
      <c r="B112" s="8" t="s">
        <v>52</v>
      </c>
      <c r="C112" s="8" t="s">
        <v>15</v>
      </c>
      <c r="D112" s="14">
        <v>4978</v>
      </c>
      <c r="E112" s="14">
        <v>235564</v>
      </c>
      <c r="F112" s="15">
        <v>62902</v>
      </c>
    </row>
    <row r="113" spans="1:6" x14ac:dyDescent="0.3">
      <c r="A113" s="7">
        <v>2020</v>
      </c>
      <c r="B113" s="8" t="s">
        <v>52</v>
      </c>
      <c r="C113" s="8" t="s">
        <v>16</v>
      </c>
      <c r="D113" s="14">
        <v>4501</v>
      </c>
      <c r="E113" s="14">
        <v>131430</v>
      </c>
      <c r="F113" s="15">
        <v>78183</v>
      </c>
    </row>
    <row r="114" spans="1:6" x14ac:dyDescent="0.3">
      <c r="A114" s="7">
        <v>2020</v>
      </c>
      <c r="B114" s="8" t="s">
        <v>52</v>
      </c>
      <c r="C114" s="8" t="s">
        <v>17</v>
      </c>
      <c r="D114" s="14">
        <v>1863</v>
      </c>
      <c r="E114" s="14">
        <v>50166</v>
      </c>
      <c r="F114" s="15">
        <v>61682</v>
      </c>
    </row>
    <row r="115" spans="1:6" x14ac:dyDescent="0.3">
      <c r="A115" s="7">
        <v>2020</v>
      </c>
      <c r="B115" s="8" t="s">
        <v>52</v>
      </c>
      <c r="C115" s="8" t="s">
        <v>18</v>
      </c>
      <c r="D115" s="14">
        <v>4168</v>
      </c>
      <c r="E115" s="14">
        <v>108500</v>
      </c>
      <c r="F115" s="15">
        <v>85426</v>
      </c>
    </row>
    <row r="116" spans="1:6" x14ac:dyDescent="0.3">
      <c r="A116" s="7">
        <v>2020</v>
      </c>
      <c r="B116" s="8" t="s">
        <v>52</v>
      </c>
      <c r="C116" s="8" t="s">
        <v>19</v>
      </c>
      <c r="D116" s="14">
        <v>6616</v>
      </c>
      <c r="E116" s="14">
        <v>229741</v>
      </c>
      <c r="F116" s="15">
        <v>96190</v>
      </c>
    </row>
    <row r="117" spans="1:6" x14ac:dyDescent="0.3">
      <c r="A117" s="7">
        <v>2020</v>
      </c>
      <c r="B117" s="8" t="s">
        <v>52</v>
      </c>
      <c r="C117" s="8" t="s">
        <v>20</v>
      </c>
      <c r="D117" s="14">
        <v>17437</v>
      </c>
      <c r="E117" s="14">
        <v>554767</v>
      </c>
      <c r="F117" s="15">
        <v>70769</v>
      </c>
    </row>
    <row r="118" spans="1:6" x14ac:dyDescent="0.3">
      <c r="A118" s="7">
        <v>2020</v>
      </c>
      <c r="B118" s="8" t="s">
        <v>52</v>
      </c>
      <c r="C118" s="8" t="s">
        <v>21</v>
      </c>
      <c r="D118" s="14">
        <v>8284</v>
      </c>
      <c r="E118" s="14">
        <v>309006</v>
      </c>
      <c r="F118" s="15">
        <v>70870</v>
      </c>
    </row>
    <row r="119" spans="1:6" x14ac:dyDescent="0.3">
      <c r="A119" s="7">
        <v>2020</v>
      </c>
      <c r="B119" s="8" t="s">
        <v>52</v>
      </c>
      <c r="C119" s="8" t="s">
        <v>22</v>
      </c>
      <c r="D119" s="14">
        <v>2375</v>
      </c>
      <c r="E119" s="14">
        <v>139480</v>
      </c>
      <c r="F119" s="15">
        <v>51918</v>
      </c>
    </row>
    <row r="120" spans="1:6" x14ac:dyDescent="0.3">
      <c r="A120" s="7">
        <v>2020</v>
      </c>
      <c r="B120" s="8" t="s">
        <v>52</v>
      </c>
      <c r="C120" s="8" t="s">
        <v>23</v>
      </c>
      <c r="D120" s="14">
        <v>6859</v>
      </c>
      <c r="E120" s="14">
        <v>266452</v>
      </c>
      <c r="F120" s="15">
        <v>61836</v>
      </c>
    </row>
    <row r="121" spans="1:6" x14ac:dyDescent="0.3">
      <c r="A121" s="7">
        <v>2020</v>
      </c>
      <c r="B121" s="8" t="s">
        <v>52</v>
      </c>
      <c r="C121" s="8" t="s">
        <v>24</v>
      </c>
      <c r="D121" s="14">
        <v>1672</v>
      </c>
      <c r="E121" s="14">
        <v>20421</v>
      </c>
      <c r="F121" s="15">
        <v>54178</v>
      </c>
    </row>
    <row r="122" spans="1:6" x14ac:dyDescent="0.3">
      <c r="A122" s="7">
        <v>2020</v>
      </c>
      <c r="B122" s="8" t="s">
        <v>52</v>
      </c>
      <c r="C122" s="8" t="s">
        <v>25</v>
      </c>
      <c r="D122" s="14">
        <v>1949</v>
      </c>
      <c r="E122" s="14">
        <v>97530</v>
      </c>
      <c r="F122" s="15">
        <v>56492</v>
      </c>
    </row>
    <row r="123" spans="1:6" x14ac:dyDescent="0.3">
      <c r="A123" s="7">
        <v>2020</v>
      </c>
      <c r="B123" s="8" t="s">
        <v>52</v>
      </c>
      <c r="C123" s="8" t="s">
        <v>26</v>
      </c>
      <c r="D123" s="14">
        <v>2054</v>
      </c>
      <c r="E123" s="14">
        <v>55673</v>
      </c>
      <c r="F123" s="15">
        <v>66821</v>
      </c>
    </row>
    <row r="124" spans="1:6" x14ac:dyDescent="0.3">
      <c r="A124" s="7">
        <v>2020</v>
      </c>
      <c r="B124" s="8" t="s">
        <v>52</v>
      </c>
      <c r="C124" s="8" t="s">
        <v>27</v>
      </c>
      <c r="D124" s="14">
        <v>2001</v>
      </c>
      <c r="E124" s="14">
        <v>67282</v>
      </c>
      <c r="F124" s="15">
        <v>77769</v>
      </c>
    </row>
    <row r="125" spans="1:6" x14ac:dyDescent="0.3">
      <c r="A125" s="7">
        <v>2020</v>
      </c>
      <c r="B125" s="8" t="s">
        <v>52</v>
      </c>
      <c r="C125" s="8" t="s">
        <v>28</v>
      </c>
      <c r="D125" s="14">
        <v>8964</v>
      </c>
      <c r="E125" s="14">
        <v>235850</v>
      </c>
      <c r="F125" s="15">
        <v>86277</v>
      </c>
    </row>
    <row r="126" spans="1:6" x14ac:dyDescent="0.3">
      <c r="A126" s="7">
        <v>2020</v>
      </c>
      <c r="B126" s="8" t="s">
        <v>52</v>
      </c>
      <c r="C126" s="8" t="s">
        <v>29</v>
      </c>
      <c r="D126" s="14">
        <v>1776</v>
      </c>
      <c r="E126" s="14">
        <v>27201</v>
      </c>
      <c r="F126" s="15">
        <v>58794</v>
      </c>
    </row>
    <row r="127" spans="1:6" x14ac:dyDescent="0.3">
      <c r="A127" s="7">
        <v>2020</v>
      </c>
      <c r="B127" s="8" t="s">
        <v>52</v>
      </c>
      <c r="C127" s="8" t="s">
        <v>30</v>
      </c>
      <c r="D127" s="14">
        <v>16292</v>
      </c>
      <c r="E127" s="14">
        <v>399337</v>
      </c>
      <c r="F127" s="15">
        <v>73103</v>
      </c>
    </row>
    <row r="128" spans="1:6" x14ac:dyDescent="0.3">
      <c r="A128" s="7">
        <v>2020</v>
      </c>
      <c r="B128" s="8" t="s">
        <v>52</v>
      </c>
      <c r="C128" s="8" t="s">
        <v>31</v>
      </c>
      <c r="D128" s="14">
        <v>10303</v>
      </c>
      <c r="E128" s="14">
        <v>452637</v>
      </c>
      <c r="F128" s="15">
        <v>63281</v>
      </c>
    </row>
    <row r="129" spans="1:6" x14ac:dyDescent="0.3">
      <c r="A129" s="7">
        <v>2020</v>
      </c>
      <c r="B129" s="8" t="s">
        <v>52</v>
      </c>
      <c r="C129" s="8" t="s">
        <v>32</v>
      </c>
      <c r="D129" s="8">
        <v>799</v>
      </c>
      <c r="E129" s="14">
        <v>25259</v>
      </c>
      <c r="F129" s="15">
        <v>57695</v>
      </c>
    </row>
    <row r="130" spans="1:6" x14ac:dyDescent="0.3">
      <c r="A130" s="7">
        <v>2020</v>
      </c>
      <c r="B130" s="8" t="s">
        <v>52</v>
      </c>
      <c r="C130" s="8" t="s">
        <v>33</v>
      </c>
      <c r="D130" s="14">
        <v>15453</v>
      </c>
      <c r="E130" s="14">
        <v>653028</v>
      </c>
      <c r="F130" s="15">
        <v>64995</v>
      </c>
    </row>
    <row r="131" spans="1:6" x14ac:dyDescent="0.3">
      <c r="A131" s="7">
        <v>2020</v>
      </c>
      <c r="B131" s="8" t="s">
        <v>52</v>
      </c>
      <c r="C131" s="8" t="s">
        <v>34</v>
      </c>
      <c r="D131" s="14">
        <v>4178</v>
      </c>
      <c r="E131" s="14">
        <v>131206</v>
      </c>
      <c r="F131" s="15">
        <v>60915</v>
      </c>
    </row>
    <row r="132" spans="1:6" x14ac:dyDescent="0.3">
      <c r="A132" s="7">
        <v>2020</v>
      </c>
      <c r="B132" s="8" t="s">
        <v>52</v>
      </c>
      <c r="C132" s="8" t="s">
        <v>35</v>
      </c>
      <c r="D132" s="14">
        <v>6354</v>
      </c>
      <c r="E132" s="14">
        <v>184947</v>
      </c>
      <c r="F132" s="15">
        <v>74927</v>
      </c>
    </row>
    <row r="133" spans="1:6" x14ac:dyDescent="0.3">
      <c r="A133" s="7">
        <v>2020</v>
      </c>
      <c r="B133" s="8" t="s">
        <v>52</v>
      </c>
      <c r="C133" s="8" t="s">
        <v>36</v>
      </c>
      <c r="D133" s="14">
        <v>14363</v>
      </c>
      <c r="E133" s="14">
        <v>537402</v>
      </c>
      <c r="F133" s="15">
        <v>66931</v>
      </c>
    </row>
    <row r="134" spans="1:6" x14ac:dyDescent="0.3">
      <c r="A134" s="7">
        <v>2020</v>
      </c>
      <c r="B134" s="8" t="s">
        <v>52</v>
      </c>
      <c r="C134" s="8" t="s">
        <v>37</v>
      </c>
      <c r="D134" s="14">
        <v>1516</v>
      </c>
      <c r="E134" s="14">
        <v>37411</v>
      </c>
      <c r="F134" s="15">
        <v>63645</v>
      </c>
    </row>
    <row r="135" spans="1:6" x14ac:dyDescent="0.3">
      <c r="A135" s="7">
        <v>2020</v>
      </c>
      <c r="B135" s="8" t="s">
        <v>52</v>
      </c>
      <c r="C135" s="8" t="s">
        <v>38</v>
      </c>
      <c r="D135" s="14">
        <v>6655</v>
      </c>
      <c r="E135" s="14">
        <v>244395</v>
      </c>
      <c r="F135" s="15">
        <v>61779</v>
      </c>
    </row>
    <row r="136" spans="1:6" x14ac:dyDescent="0.3">
      <c r="A136" s="7">
        <v>2020</v>
      </c>
      <c r="B136" s="8" t="s">
        <v>52</v>
      </c>
      <c r="C136" s="8" t="s">
        <v>39</v>
      </c>
      <c r="D136" s="14">
        <v>1072</v>
      </c>
      <c r="E136" s="14">
        <v>43135</v>
      </c>
      <c r="F136" s="15">
        <v>53285</v>
      </c>
    </row>
    <row r="137" spans="1:6" x14ac:dyDescent="0.3">
      <c r="A137" s="7">
        <v>2020</v>
      </c>
      <c r="B137" s="8" t="s">
        <v>52</v>
      </c>
      <c r="C137" s="8" t="s">
        <v>40</v>
      </c>
      <c r="D137" s="14">
        <v>7620</v>
      </c>
      <c r="E137" s="14">
        <v>334972</v>
      </c>
      <c r="F137" s="15">
        <v>63122</v>
      </c>
    </row>
    <row r="138" spans="1:6" x14ac:dyDescent="0.3">
      <c r="A138" s="7">
        <v>2020</v>
      </c>
      <c r="B138" s="8" t="s">
        <v>52</v>
      </c>
      <c r="C138" s="8" t="s">
        <v>41</v>
      </c>
      <c r="D138" s="14">
        <v>26257</v>
      </c>
      <c r="E138" s="14">
        <v>867807</v>
      </c>
      <c r="F138" s="15">
        <v>81206</v>
      </c>
    </row>
    <row r="139" spans="1:6" x14ac:dyDescent="0.3">
      <c r="A139" s="7">
        <v>2020</v>
      </c>
      <c r="B139" s="8" t="s">
        <v>52</v>
      </c>
      <c r="C139" s="8" t="s">
        <v>42</v>
      </c>
      <c r="D139" s="14">
        <v>4616</v>
      </c>
      <c r="E139" s="14">
        <v>135571</v>
      </c>
      <c r="F139" s="15">
        <v>61796</v>
      </c>
    </row>
    <row r="140" spans="1:6" x14ac:dyDescent="0.3">
      <c r="A140" s="7">
        <v>2020</v>
      </c>
      <c r="B140" s="8" t="s">
        <v>52</v>
      </c>
      <c r="C140" s="8" t="s">
        <v>43</v>
      </c>
      <c r="D140" s="14">
        <v>1107</v>
      </c>
      <c r="E140" s="14">
        <v>28176</v>
      </c>
      <c r="F140" s="15">
        <v>62352</v>
      </c>
    </row>
    <row r="141" spans="1:6" x14ac:dyDescent="0.3">
      <c r="A141" s="7">
        <v>2020</v>
      </c>
      <c r="B141" s="8" t="s">
        <v>52</v>
      </c>
      <c r="C141" s="8" t="s">
        <v>44</v>
      </c>
      <c r="D141" s="14">
        <v>7023</v>
      </c>
      <c r="E141" s="14">
        <v>232300</v>
      </c>
      <c r="F141" s="15">
        <v>63958</v>
      </c>
    </row>
    <row r="142" spans="1:6" x14ac:dyDescent="0.3">
      <c r="A142" s="7">
        <v>2020</v>
      </c>
      <c r="B142" s="8" t="s">
        <v>52</v>
      </c>
      <c r="C142" s="8" t="s">
        <v>45</v>
      </c>
      <c r="D142" s="14">
        <v>7882</v>
      </c>
      <c r="E142" s="14">
        <v>268553</v>
      </c>
      <c r="F142" s="15">
        <v>82000</v>
      </c>
    </row>
    <row r="143" spans="1:6" x14ac:dyDescent="0.3">
      <c r="A143" s="7">
        <v>2020</v>
      </c>
      <c r="B143" s="8" t="s">
        <v>52</v>
      </c>
      <c r="C143" s="8" t="s">
        <v>46</v>
      </c>
      <c r="D143" s="14">
        <v>1261</v>
      </c>
      <c r="E143" s="14">
        <v>44429</v>
      </c>
      <c r="F143" s="15">
        <v>62359</v>
      </c>
    </row>
    <row r="144" spans="1:6" x14ac:dyDescent="0.3">
      <c r="A144" s="7">
        <v>2020</v>
      </c>
      <c r="B144" s="8" t="s">
        <v>52</v>
      </c>
      <c r="C144" s="8" t="s">
        <v>47</v>
      </c>
      <c r="D144" s="14">
        <v>9214</v>
      </c>
      <c r="E144" s="14">
        <v>458262</v>
      </c>
      <c r="F144" s="15">
        <v>61039</v>
      </c>
    </row>
    <row r="145" spans="1:6" x14ac:dyDescent="0.3">
      <c r="A145" s="7">
        <v>2020</v>
      </c>
      <c r="B145" s="8" t="s">
        <v>52</v>
      </c>
      <c r="C145" s="8" t="s">
        <v>48</v>
      </c>
      <c r="D145" s="8">
        <v>620</v>
      </c>
      <c r="E145" s="14">
        <v>9580</v>
      </c>
      <c r="F145" s="15">
        <v>70308</v>
      </c>
    </row>
    <row r="146" spans="1:6" x14ac:dyDescent="0.3">
      <c r="A146" s="7">
        <v>2020</v>
      </c>
      <c r="B146" s="8" t="s">
        <v>54</v>
      </c>
      <c r="C146" s="8" t="s">
        <v>1</v>
      </c>
      <c r="D146" s="14">
        <v>32424</v>
      </c>
      <c r="E146" s="14">
        <v>372620</v>
      </c>
      <c r="F146" s="15">
        <v>45853</v>
      </c>
    </row>
    <row r="147" spans="1:6" x14ac:dyDescent="0.3">
      <c r="A147" s="7">
        <v>2020</v>
      </c>
      <c r="B147" s="8" t="s">
        <v>54</v>
      </c>
      <c r="C147" s="8" t="s">
        <v>2</v>
      </c>
      <c r="D147" s="14">
        <v>33859</v>
      </c>
      <c r="E147" s="14">
        <v>546143</v>
      </c>
      <c r="F147" s="15">
        <v>51498</v>
      </c>
    </row>
    <row r="148" spans="1:6" x14ac:dyDescent="0.3">
      <c r="A148" s="7">
        <v>2020</v>
      </c>
      <c r="B148" s="8" t="s">
        <v>54</v>
      </c>
      <c r="C148" s="8" t="s">
        <v>3</v>
      </c>
      <c r="D148" s="14">
        <v>21836</v>
      </c>
      <c r="E148" s="14">
        <v>244074</v>
      </c>
      <c r="F148" s="15">
        <v>45673</v>
      </c>
    </row>
    <row r="149" spans="1:6" x14ac:dyDescent="0.3">
      <c r="A149" s="7">
        <v>2020</v>
      </c>
      <c r="B149" s="8" t="s">
        <v>54</v>
      </c>
      <c r="C149" s="8" t="s">
        <v>4</v>
      </c>
      <c r="D149" s="14">
        <v>200632</v>
      </c>
      <c r="E149" s="14">
        <v>2888684</v>
      </c>
      <c r="F149" s="15">
        <v>58800</v>
      </c>
    </row>
    <row r="150" spans="1:6" x14ac:dyDescent="0.3">
      <c r="A150" s="7">
        <v>2020</v>
      </c>
      <c r="B150" s="8" t="s">
        <v>54</v>
      </c>
      <c r="C150" s="8" t="s">
        <v>5</v>
      </c>
      <c r="D150" s="14">
        <v>36421</v>
      </c>
      <c r="E150" s="14">
        <v>465887</v>
      </c>
      <c r="F150" s="15">
        <v>55719</v>
      </c>
    </row>
    <row r="151" spans="1:6" x14ac:dyDescent="0.3">
      <c r="A151" s="7">
        <v>2020</v>
      </c>
      <c r="B151" s="8" t="s">
        <v>54</v>
      </c>
      <c r="C151" s="8" t="s">
        <v>6</v>
      </c>
      <c r="D151" s="14">
        <v>24725</v>
      </c>
      <c r="E151" s="14">
        <v>276491</v>
      </c>
      <c r="F151" s="15">
        <v>55859</v>
      </c>
    </row>
    <row r="152" spans="1:6" x14ac:dyDescent="0.3">
      <c r="A152" s="7">
        <v>2020</v>
      </c>
      <c r="B152" s="8" t="s">
        <v>54</v>
      </c>
      <c r="C152" s="8" t="s">
        <v>7</v>
      </c>
      <c r="D152" s="14">
        <v>7050</v>
      </c>
      <c r="E152" s="14">
        <v>76267</v>
      </c>
      <c r="F152" s="15">
        <v>45667</v>
      </c>
    </row>
    <row r="153" spans="1:6" x14ac:dyDescent="0.3">
      <c r="A153" s="7">
        <v>2020</v>
      </c>
      <c r="B153" s="8" t="s">
        <v>54</v>
      </c>
      <c r="C153" s="8" t="s">
        <v>8</v>
      </c>
      <c r="D153" s="14">
        <v>142700</v>
      </c>
      <c r="E153" s="14">
        <v>1739110</v>
      </c>
      <c r="F153" s="15">
        <v>49391</v>
      </c>
    </row>
    <row r="154" spans="1:6" x14ac:dyDescent="0.3">
      <c r="A154" s="7">
        <v>2020</v>
      </c>
      <c r="B154" s="8" t="s">
        <v>54</v>
      </c>
      <c r="C154" s="8" t="s">
        <v>9</v>
      </c>
      <c r="D154" s="14">
        <v>64380</v>
      </c>
      <c r="E154" s="14">
        <v>913981</v>
      </c>
      <c r="F154" s="15">
        <v>52104</v>
      </c>
    </row>
    <row r="155" spans="1:6" x14ac:dyDescent="0.3">
      <c r="A155" s="7">
        <v>2020</v>
      </c>
      <c r="B155" s="8" t="s">
        <v>54</v>
      </c>
      <c r="C155" s="8" t="s">
        <v>10</v>
      </c>
      <c r="D155" s="14">
        <v>12742</v>
      </c>
      <c r="E155" s="14">
        <v>143264</v>
      </c>
      <c r="F155" s="15">
        <v>44610</v>
      </c>
    </row>
    <row r="156" spans="1:6" x14ac:dyDescent="0.3">
      <c r="A156" s="7">
        <v>2020</v>
      </c>
      <c r="B156" s="8" t="s">
        <v>54</v>
      </c>
      <c r="C156" s="8" t="s">
        <v>11</v>
      </c>
      <c r="D156" s="14">
        <v>78196</v>
      </c>
      <c r="E156" s="14">
        <v>1140749</v>
      </c>
      <c r="F156" s="15">
        <v>55780</v>
      </c>
    </row>
    <row r="157" spans="1:6" x14ac:dyDescent="0.3">
      <c r="A157" s="7">
        <v>2020</v>
      </c>
      <c r="B157" s="8" t="s">
        <v>54</v>
      </c>
      <c r="C157" s="8" t="s">
        <v>12</v>
      </c>
      <c r="D157" s="14">
        <v>40846</v>
      </c>
      <c r="E157" s="14">
        <v>583686</v>
      </c>
      <c r="F157" s="15">
        <v>45931</v>
      </c>
    </row>
    <row r="158" spans="1:6" x14ac:dyDescent="0.3">
      <c r="A158" s="7">
        <v>2020</v>
      </c>
      <c r="B158" s="8" t="s">
        <v>54</v>
      </c>
      <c r="C158" s="8" t="s">
        <v>13</v>
      </c>
      <c r="D158" s="14">
        <v>23479</v>
      </c>
      <c r="E158" s="14">
        <v>298376</v>
      </c>
      <c r="F158" s="15">
        <v>44146</v>
      </c>
    </row>
    <row r="159" spans="1:6" x14ac:dyDescent="0.3">
      <c r="A159" s="7">
        <v>2020</v>
      </c>
      <c r="B159" s="8" t="s">
        <v>54</v>
      </c>
      <c r="C159" s="8" t="s">
        <v>14</v>
      </c>
      <c r="D159" s="14">
        <v>19497</v>
      </c>
      <c r="E159" s="14">
        <v>255575</v>
      </c>
      <c r="F159" s="15">
        <v>46012</v>
      </c>
    </row>
    <row r="160" spans="1:6" x14ac:dyDescent="0.3">
      <c r="A160" s="7">
        <v>2020</v>
      </c>
      <c r="B160" s="8" t="s">
        <v>54</v>
      </c>
      <c r="C160" s="8" t="s">
        <v>15</v>
      </c>
      <c r="D160" s="14">
        <v>28266</v>
      </c>
      <c r="E160" s="14">
        <v>393361</v>
      </c>
      <c r="F160" s="15">
        <v>46839</v>
      </c>
    </row>
    <row r="161" spans="1:6" x14ac:dyDescent="0.3">
      <c r="A161" s="7">
        <v>2020</v>
      </c>
      <c r="B161" s="8" t="s">
        <v>54</v>
      </c>
      <c r="C161" s="8" t="s">
        <v>16</v>
      </c>
      <c r="D161" s="14">
        <v>31210</v>
      </c>
      <c r="E161" s="14">
        <v>358336</v>
      </c>
      <c r="F161" s="15">
        <v>46029</v>
      </c>
    </row>
    <row r="162" spans="1:6" x14ac:dyDescent="0.3">
      <c r="A162" s="7">
        <v>2020</v>
      </c>
      <c r="B162" s="8" t="s">
        <v>54</v>
      </c>
      <c r="C162" s="8" t="s">
        <v>17</v>
      </c>
      <c r="D162" s="14">
        <v>10546</v>
      </c>
      <c r="E162" s="14">
        <v>111483</v>
      </c>
      <c r="F162" s="15">
        <v>43084</v>
      </c>
    </row>
    <row r="163" spans="1:6" x14ac:dyDescent="0.3">
      <c r="A163" s="7">
        <v>2020</v>
      </c>
      <c r="B163" s="8" t="s">
        <v>54</v>
      </c>
      <c r="C163" s="8" t="s">
        <v>18</v>
      </c>
      <c r="D163" s="14">
        <v>31685</v>
      </c>
      <c r="E163" s="14">
        <v>441680</v>
      </c>
      <c r="F163" s="15">
        <v>50800</v>
      </c>
    </row>
    <row r="164" spans="1:6" x14ac:dyDescent="0.3">
      <c r="A164" s="7">
        <v>2020</v>
      </c>
      <c r="B164" s="8" t="s">
        <v>54</v>
      </c>
      <c r="C164" s="8" t="s">
        <v>19</v>
      </c>
      <c r="D164" s="14">
        <v>40751</v>
      </c>
      <c r="E164" s="14">
        <v>526726</v>
      </c>
      <c r="F164" s="15">
        <v>61082</v>
      </c>
    </row>
    <row r="165" spans="1:6" x14ac:dyDescent="0.3">
      <c r="A165" s="7">
        <v>2020</v>
      </c>
      <c r="B165" s="8" t="s">
        <v>54</v>
      </c>
      <c r="C165" s="8" t="s">
        <v>20</v>
      </c>
      <c r="D165" s="14">
        <v>55149</v>
      </c>
      <c r="E165" s="14">
        <v>745824</v>
      </c>
      <c r="F165" s="15">
        <v>51869</v>
      </c>
    </row>
    <row r="166" spans="1:6" x14ac:dyDescent="0.3">
      <c r="A166" s="7">
        <v>2020</v>
      </c>
      <c r="B166" s="8" t="s">
        <v>54</v>
      </c>
      <c r="C166" s="8" t="s">
        <v>21</v>
      </c>
      <c r="D166" s="14">
        <v>37255</v>
      </c>
      <c r="E166" s="14">
        <v>499190</v>
      </c>
      <c r="F166" s="15">
        <v>53843</v>
      </c>
    </row>
    <row r="167" spans="1:6" x14ac:dyDescent="0.3">
      <c r="A167" s="7">
        <v>2020</v>
      </c>
      <c r="B167" s="8" t="s">
        <v>54</v>
      </c>
      <c r="C167" s="8" t="s">
        <v>22</v>
      </c>
      <c r="D167" s="14">
        <v>19589</v>
      </c>
      <c r="E167" s="14">
        <v>226629</v>
      </c>
      <c r="F167" s="15">
        <v>40176</v>
      </c>
    </row>
    <row r="168" spans="1:6" x14ac:dyDescent="0.3">
      <c r="A168" s="7">
        <v>2020</v>
      </c>
      <c r="B168" s="8" t="s">
        <v>54</v>
      </c>
      <c r="C168" s="8" t="s">
        <v>23</v>
      </c>
      <c r="D168" s="14">
        <v>39646</v>
      </c>
      <c r="E168" s="14">
        <v>519916</v>
      </c>
      <c r="F168" s="15">
        <v>46520</v>
      </c>
    </row>
    <row r="169" spans="1:6" x14ac:dyDescent="0.3">
      <c r="A169" s="7">
        <v>2020</v>
      </c>
      <c r="B169" s="8" t="s">
        <v>54</v>
      </c>
      <c r="C169" s="8" t="s">
        <v>24</v>
      </c>
      <c r="D169" s="14">
        <v>9323</v>
      </c>
      <c r="E169" s="14">
        <v>89315</v>
      </c>
      <c r="F169" s="15">
        <v>43996</v>
      </c>
    </row>
    <row r="170" spans="1:6" x14ac:dyDescent="0.3">
      <c r="A170" s="7">
        <v>2020</v>
      </c>
      <c r="B170" s="8" t="s">
        <v>54</v>
      </c>
      <c r="C170" s="8" t="s">
        <v>25</v>
      </c>
      <c r="D170" s="14">
        <v>14748</v>
      </c>
      <c r="E170" s="14">
        <v>182745</v>
      </c>
      <c r="F170" s="15">
        <v>44095</v>
      </c>
    </row>
    <row r="171" spans="1:6" x14ac:dyDescent="0.3">
      <c r="A171" s="7">
        <v>2020</v>
      </c>
      <c r="B171" s="8" t="s">
        <v>54</v>
      </c>
      <c r="C171" s="8" t="s">
        <v>26</v>
      </c>
      <c r="D171" s="14">
        <v>15481</v>
      </c>
      <c r="E171" s="14">
        <v>252623</v>
      </c>
      <c r="F171" s="15">
        <v>48334</v>
      </c>
    </row>
    <row r="172" spans="1:6" x14ac:dyDescent="0.3">
      <c r="A172" s="7">
        <v>2020</v>
      </c>
      <c r="B172" s="8" t="s">
        <v>54</v>
      </c>
      <c r="C172" s="8" t="s">
        <v>27</v>
      </c>
      <c r="D172" s="14">
        <v>12460</v>
      </c>
      <c r="E172" s="14">
        <v>133196</v>
      </c>
      <c r="F172" s="15">
        <v>54425</v>
      </c>
    </row>
    <row r="173" spans="1:6" x14ac:dyDescent="0.3">
      <c r="A173" s="7">
        <v>2020</v>
      </c>
      <c r="B173" s="8" t="s">
        <v>54</v>
      </c>
      <c r="C173" s="8" t="s">
        <v>28</v>
      </c>
      <c r="D173" s="14">
        <v>54606</v>
      </c>
      <c r="E173" s="14">
        <v>820259</v>
      </c>
      <c r="F173" s="15">
        <v>58675</v>
      </c>
    </row>
    <row r="174" spans="1:6" x14ac:dyDescent="0.3">
      <c r="A174" s="7">
        <v>2020</v>
      </c>
      <c r="B174" s="8" t="s">
        <v>54</v>
      </c>
      <c r="C174" s="8" t="s">
        <v>29</v>
      </c>
      <c r="D174" s="14">
        <v>10949</v>
      </c>
      <c r="E174" s="14">
        <v>130261</v>
      </c>
      <c r="F174" s="15">
        <v>41086</v>
      </c>
    </row>
    <row r="175" spans="1:6" x14ac:dyDescent="0.3">
      <c r="A175" s="7">
        <v>2020</v>
      </c>
      <c r="B175" s="8" t="s">
        <v>54</v>
      </c>
      <c r="C175" s="8" t="s">
        <v>30</v>
      </c>
      <c r="D175" s="14">
        <v>118946</v>
      </c>
      <c r="E175" s="14">
        <v>1366746</v>
      </c>
      <c r="F175" s="15">
        <v>57939</v>
      </c>
    </row>
    <row r="176" spans="1:6" x14ac:dyDescent="0.3">
      <c r="A176" s="7">
        <v>2020</v>
      </c>
      <c r="B176" s="8" t="s">
        <v>54</v>
      </c>
      <c r="C176" s="8" t="s">
        <v>31</v>
      </c>
      <c r="D176" s="14">
        <v>63455</v>
      </c>
      <c r="E176" s="14">
        <v>844765</v>
      </c>
      <c r="F176" s="15">
        <v>47171</v>
      </c>
    </row>
    <row r="177" spans="1:6" x14ac:dyDescent="0.3">
      <c r="A177" s="7">
        <v>2020</v>
      </c>
      <c r="B177" s="8" t="s">
        <v>54</v>
      </c>
      <c r="C177" s="8" t="s">
        <v>32</v>
      </c>
      <c r="D177" s="14">
        <v>7745</v>
      </c>
      <c r="E177" s="14">
        <v>86570</v>
      </c>
      <c r="F177" s="15">
        <v>52657</v>
      </c>
    </row>
    <row r="178" spans="1:6" x14ac:dyDescent="0.3">
      <c r="A178" s="7">
        <v>2020</v>
      </c>
      <c r="B178" s="8" t="s">
        <v>54</v>
      </c>
      <c r="C178" s="8" t="s">
        <v>33</v>
      </c>
      <c r="D178" s="14">
        <v>68987</v>
      </c>
      <c r="E178" s="14">
        <v>998325</v>
      </c>
      <c r="F178" s="15">
        <v>48088</v>
      </c>
    </row>
    <row r="179" spans="1:6" x14ac:dyDescent="0.3">
      <c r="A179" s="7">
        <v>2020</v>
      </c>
      <c r="B179" s="8" t="s">
        <v>54</v>
      </c>
      <c r="C179" s="8" t="s">
        <v>34</v>
      </c>
      <c r="D179" s="14">
        <v>23912</v>
      </c>
      <c r="E179" s="14">
        <v>301828</v>
      </c>
      <c r="F179" s="15">
        <v>43388</v>
      </c>
    </row>
    <row r="180" spans="1:6" x14ac:dyDescent="0.3">
      <c r="A180" s="7">
        <v>2020</v>
      </c>
      <c r="B180" s="8" t="s">
        <v>54</v>
      </c>
      <c r="C180" s="8" t="s">
        <v>35</v>
      </c>
      <c r="D180" s="14">
        <v>26241</v>
      </c>
      <c r="E180" s="14">
        <v>346783</v>
      </c>
      <c r="F180" s="15">
        <v>49251</v>
      </c>
    </row>
    <row r="181" spans="1:6" x14ac:dyDescent="0.3">
      <c r="A181" s="7">
        <v>2020</v>
      </c>
      <c r="B181" s="8" t="s">
        <v>54</v>
      </c>
      <c r="C181" s="8" t="s">
        <v>36</v>
      </c>
      <c r="D181" s="14">
        <v>73985</v>
      </c>
      <c r="E181" s="14">
        <v>1054388</v>
      </c>
      <c r="F181" s="15">
        <v>49535</v>
      </c>
    </row>
    <row r="182" spans="1:6" x14ac:dyDescent="0.3">
      <c r="A182" s="7">
        <v>2020</v>
      </c>
      <c r="B182" s="8" t="s">
        <v>54</v>
      </c>
      <c r="C182" s="8" t="s">
        <v>37</v>
      </c>
      <c r="D182" s="14">
        <v>7816</v>
      </c>
      <c r="E182" s="14">
        <v>70764</v>
      </c>
      <c r="F182" s="15">
        <v>49493</v>
      </c>
    </row>
    <row r="183" spans="1:6" x14ac:dyDescent="0.3">
      <c r="A183" s="7">
        <v>2020</v>
      </c>
      <c r="B183" s="8" t="s">
        <v>54</v>
      </c>
      <c r="C183" s="8" t="s">
        <v>38</v>
      </c>
      <c r="D183" s="14">
        <v>31674</v>
      </c>
      <c r="E183" s="14">
        <v>400537</v>
      </c>
      <c r="F183" s="15">
        <v>43717</v>
      </c>
    </row>
    <row r="184" spans="1:6" x14ac:dyDescent="0.3">
      <c r="A184" s="7">
        <v>2020</v>
      </c>
      <c r="B184" s="8" t="s">
        <v>54</v>
      </c>
      <c r="C184" s="8" t="s">
        <v>39</v>
      </c>
      <c r="D184" s="14">
        <v>8068</v>
      </c>
      <c r="E184" s="14">
        <v>83179</v>
      </c>
      <c r="F184" s="15">
        <v>44162</v>
      </c>
    </row>
    <row r="185" spans="1:6" x14ac:dyDescent="0.3">
      <c r="A185" s="7">
        <v>2020</v>
      </c>
      <c r="B185" s="8" t="s">
        <v>54</v>
      </c>
      <c r="C185" s="8" t="s">
        <v>40</v>
      </c>
      <c r="D185" s="14">
        <v>40806</v>
      </c>
      <c r="E185" s="14">
        <v>627005</v>
      </c>
      <c r="F185" s="15">
        <v>50111</v>
      </c>
    </row>
    <row r="186" spans="1:6" x14ac:dyDescent="0.3">
      <c r="A186" s="7">
        <v>2020</v>
      </c>
      <c r="B186" s="8" t="s">
        <v>54</v>
      </c>
      <c r="C186" s="8" t="s">
        <v>41</v>
      </c>
      <c r="D186" s="14">
        <v>152438</v>
      </c>
      <c r="E186" s="14">
        <v>2453267</v>
      </c>
      <c r="F186" s="15">
        <v>56485</v>
      </c>
    </row>
    <row r="187" spans="1:6" x14ac:dyDescent="0.3">
      <c r="A187" s="7">
        <v>2020</v>
      </c>
      <c r="B187" s="8" t="s">
        <v>54</v>
      </c>
      <c r="C187" s="8" t="s">
        <v>42</v>
      </c>
      <c r="D187" s="14">
        <v>20535</v>
      </c>
      <c r="E187" s="14">
        <v>288623</v>
      </c>
      <c r="F187" s="15">
        <v>49353</v>
      </c>
    </row>
    <row r="188" spans="1:6" x14ac:dyDescent="0.3">
      <c r="A188" s="7">
        <v>2020</v>
      </c>
      <c r="B188" s="8" t="s">
        <v>54</v>
      </c>
      <c r="C188" s="8" t="s">
        <v>43</v>
      </c>
      <c r="D188" s="14">
        <v>5003</v>
      </c>
      <c r="E188" s="14">
        <v>49851</v>
      </c>
      <c r="F188" s="15">
        <v>45701</v>
      </c>
    </row>
    <row r="189" spans="1:6" x14ac:dyDescent="0.3">
      <c r="A189" s="7">
        <v>2020</v>
      </c>
      <c r="B189" s="8" t="s">
        <v>54</v>
      </c>
      <c r="C189" s="8" t="s">
        <v>44</v>
      </c>
      <c r="D189" s="14">
        <v>42564</v>
      </c>
      <c r="E189" s="14">
        <v>627729</v>
      </c>
      <c r="F189" s="15">
        <v>48371</v>
      </c>
    </row>
    <row r="190" spans="1:6" x14ac:dyDescent="0.3">
      <c r="A190" s="7">
        <v>2020</v>
      </c>
      <c r="B190" s="8" t="s">
        <v>54</v>
      </c>
      <c r="C190" s="8" t="s">
        <v>45</v>
      </c>
      <c r="D190" s="14">
        <v>38688</v>
      </c>
      <c r="E190" s="14">
        <v>615415</v>
      </c>
      <c r="F190" s="15">
        <v>74160</v>
      </c>
    </row>
    <row r="191" spans="1:6" x14ac:dyDescent="0.3">
      <c r="A191" s="7">
        <v>2020</v>
      </c>
      <c r="B191" s="8" t="s">
        <v>54</v>
      </c>
      <c r="C191" s="8" t="s">
        <v>46</v>
      </c>
      <c r="D191" s="14">
        <v>10611</v>
      </c>
      <c r="E191" s="14">
        <v>118677</v>
      </c>
      <c r="F191" s="15">
        <v>42085</v>
      </c>
    </row>
    <row r="192" spans="1:6" x14ac:dyDescent="0.3">
      <c r="A192" s="7">
        <v>2020</v>
      </c>
      <c r="B192" s="8" t="s">
        <v>54</v>
      </c>
      <c r="C192" s="8" t="s">
        <v>47</v>
      </c>
      <c r="D192" s="14">
        <v>35812</v>
      </c>
      <c r="E192" s="14">
        <v>517930</v>
      </c>
      <c r="F192" s="15">
        <v>45165</v>
      </c>
    </row>
    <row r="193" spans="1:6" x14ac:dyDescent="0.3">
      <c r="A193" s="7">
        <v>2020</v>
      </c>
      <c r="B193" s="8" t="s">
        <v>54</v>
      </c>
      <c r="C193" s="8" t="s">
        <v>48</v>
      </c>
      <c r="D193" s="14">
        <v>4840</v>
      </c>
      <c r="E193" s="14">
        <v>48509</v>
      </c>
      <c r="F193" s="15">
        <v>44879</v>
      </c>
    </row>
    <row r="194" spans="1:6" x14ac:dyDescent="0.3">
      <c r="A194" s="7">
        <v>2020</v>
      </c>
      <c r="B194" s="8" t="s">
        <v>53</v>
      </c>
      <c r="C194" s="8" t="s">
        <v>1</v>
      </c>
      <c r="D194" s="14">
        <v>2566</v>
      </c>
      <c r="E194" s="14">
        <v>19310</v>
      </c>
      <c r="F194" s="15">
        <v>69393</v>
      </c>
    </row>
    <row r="195" spans="1:6" x14ac:dyDescent="0.3">
      <c r="A195" s="7">
        <v>2020</v>
      </c>
      <c r="B195" s="8" t="s">
        <v>53</v>
      </c>
      <c r="C195" s="8" t="s">
        <v>2</v>
      </c>
      <c r="D195" s="14">
        <v>4017</v>
      </c>
      <c r="E195" s="14">
        <v>45513</v>
      </c>
      <c r="F195" s="15">
        <v>90871</v>
      </c>
    </row>
    <row r="196" spans="1:6" x14ac:dyDescent="0.3">
      <c r="A196" s="7">
        <v>2020</v>
      </c>
      <c r="B196" s="8" t="s">
        <v>53</v>
      </c>
      <c r="C196" s="8" t="s">
        <v>3</v>
      </c>
      <c r="D196" s="14">
        <v>1536</v>
      </c>
      <c r="E196" s="14">
        <v>11509</v>
      </c>
      <c r="F196" s="15">
        <v>69820</v>
      </c>
    </row>
    <row r="197" spans="1:6" x14ac:dyDescent="0.3">
      <c r="A197" s="7">
        <v>2020</v>
      </c>
      <c r="B197" s="8" t="s">
        <v>53</v>
      </c>
      <c r="C197" s="8" t="s">
        <v>4</v>
      </c>
      <c r="D197" s="14">
        <v>29491</v>
      </c>
      <c r="E197" s="14">
        <v>527549</v>
      </c>
      <c r="F197" s="15">
        <v>217892</v>
      </c>
    </row>
    <row r="198" spans="1:6" x14ac:dyDescent="0.3">
      <c r="A198" s="7">
        <v>2020</v>
      </c>
      <c r="B198" s="8" t="s">
        <v>53</v>
      </c>
      <c r="C198" s="8" t="s">
        <v>5</v>
      </c>
      <c r="D198" s="14">
        <v>4548</v>
      </c>
      <c r="E198" s="14">
        <v>74867</v>
      </c>
      <c r="F198" s="15">
        <v>123495</v>
      </c>
    </row>
    <row r="199" spans="1:6" x14ac:dyDescent="0.3">
      <c r="A199" s="7">
        <v>2020</v>
      </c>
      <c r="B199" s="8" t="s">
        <v>53</v>
      </c>
      <c r="C199" s="8" t="s">
        <v>6</v>
      </c>
      <c r="D199" s="14">
        <v>2880</v>
      </c>
      <c r="E199" s="14">
        <v>29237</v>
      </c>
      <c r="F199" s="15">
        <v>138917</v>
      </c>
    </row>
    <row r="200" spans="1:6" x14ac:dyDescent="0.3">
      <c r="A200" s="7">
        <v>2020</v>
      </c>
      <c r="B200" s="8" t="s">
        <v>53</v>
      </c>
      <c r="C200" s="8" t="s">
        <v>7</v>
      </c>
      <c r="D200" s="8">
        <v>549</v>
      </c>
      <c r="E200" s="14">
        <v>3622</v>
      </c>
      <c r="F200" s="15">
        <v>78966</v>
      </c>
    </row>
    <row r="201" spans="1:6" x14ac:dyDescent="0.3">
      <c r="A201" s="7">
        <v>2020</v>
      </c>
      <c r="B201" s="8" t="s">
        <v>53</v>
      </c>
      <c r="C201" s="8" t="s">
        <v>8</v>
      </c>
      <c r="D201" s="14">
        <v>12659</v>
      </c>
      <c r="E201" s="14">
        <v>130298</v>
      </c>
      <c r="F201" s="15">
        <v>93350</v>
      </c>
    </row>
    <row r="202" spans="1:6" x14ac:dyDescent="0.3">
      <c r="A202" s="7">
        <v>2020</v>
      </c>
      <c r="B202" s="8" t="s">
        <v>53</v>
      </c>
      <c r="C202" s="8" t="s">
        <v>9</v>
      </c>
      <c r="D202" s="14">
        <v>6010</v>
      </c>
      <c r="E202" s="14">
        <v>109190</v>
      </c>
      <c r="F202" s="15">
        <v>108735</v>
      </c>
    </row>
    <row r="203" spans="1:6" x14ac:dyDescent="0.3">
      <c r="A203" s="7">
        <v>2020</v>
      </c>
      <c r="B203" s="8" t="s">
        <v>53</v>
      </c>
      <c r="C203" s="8" t="s">
        <v>10</v>
      </c>
      <c r="D203" s="14">
        <v>1385</v>
      </c>
      <c r="E203" s="14">
        <v>7346</v>
      </c>
      <c r="F203" s="15">
        <v>64408</v>
      </c>
    </row>
    <row r="204" spans="1:6" x14ac:dyDescent="0.3">
      <c r="A204" s="7">
        <v>2020</v>
      </c>
      <c r="B204" s="8" t="s">
        <v>53</v>
      </c>
      <c r="C204" s="8" t="s">
        <v>11</v>
      </c>
      <c r="D204" s="14">
        <v>7162</v>
      </c>
      <c r="E204" s="14">
        <v>87520</v>
      </c>
      <c r="F204" s="15">
        <v>110059</v>
      </c>
    </row>
    <row r="205" spans="1:6" x14ac:dyDescent="0.3">
      <c r="A205" s="7">
        <v>2020</v>
      </c>
      <c r="B205" s="8" t="s">
        <v>53</v>
      </c>
      <c r="C205" s="8" t="s">
        <v>12</v>
      </c>
      <c r="D205" s="14">
        <v>2521</v>
      </c>
      <c r="E205" s="14">
        <v>26075</v>
      </c>
      <c r="F205" s="15">
        <v>67191</v>
      </c>
    </row>
    <row r="206" spans="1:6" x14ac:dyDescent="0.3">
      <c r="A206" s="7">
        <v>2020</v>
      </c>
      <c r="B206" s="8" t="s">
        <v>53</v>
      </c>
      <c r="C206" s="8" t="s">
        <v>13</v>
      </c>
      <c r="D206" s="14">
        <v>1811</v>
      </c>
      <c r="E206" s="14">
        <v>19135</v>
      </c>
      <c r="F206" s="15">
        <v>66858</v>
      </c>
    </row>
    <row r="207" spans="1:6" x14ac:dyDescent="0.3">
      <c r="A207" s="7">
        <v>2020</v>
      </c>
      <c r="B207" s="8" t="s">
        <v>53</v>
      </c>
      <c r="C207" s="8" t="s">
        <v>14</v>
      </c>
      <c r="D207" s="14">
        <v>1561</v>
      </c>
      <c r="E207" s="14">
        <v>16734</v>
      </c>
      <c r="F207" s="15">
        <v>73749</v>
      </c>
    </row>
    <row r="208" spans="1:6" x14ac:dyDescent="0.3">
      <c r="A208" s="7">
        <v>2020</v>
      </c>
      <c r="B208" s="8" t="s">
        <v>53</v>
      </c>
      <c r="C208" s="8" t="s">
        <v>15</v>
      </c>
      <c r="D208" s="14">
        <v>2111</v>
      </c>
      <c r="E208" s="14">
        <v>20268</v>
      </c>
      <c r="F208" s="15">
        <v>63462</v>
      </c>
    </row>
    <row r="209" spans="1:6" x14ac:dyDescent="0.3">
      <c r="A209" s="7">
        <v>2020</v>
      </c>
      <c r="B209" s="8" t="s">
        <v>53</v>
      </c>
      <c r="C209" s="8" t="s">
        <v>16</v>
      </c>
      <c r="D209" s="14">
        <v>1935</v>
      </c>
      <c r="E209" s="14">
        <v>18712</v>
      </c>
      <c r="F209" s="15">
        <v>65700</v>
      </c>
    </row>
    <row r="210" spans="1:6" x14ac:dyDescent="0.3">
      <c r="A210" s="7">
        <v>2020</v>
      </c>
      <c r="B210" s="8" t="s">
        <v>53</v>
      </c>
      <c r="C210" s="8" t="s">
        <v>17</v>
      </c>
      <c r="D210" s="8">
        <v>916</v>
      </c>
      <c r="E210" s="14">
        <v>6415</v>
      </c>
      <c r="F210" s="15">
        <v>64265</v>
      </c>
    </row>
    <row r="211" spans="1:6" x14ac:dyDescent="0.3">
      <c r="A211" s="7">
        <v>2020</v>
      </c>
      <c r="B211" s="8" t="s">
        <v>53</v>
      </c>
      <c r="C211" s="8" t="s">
        <v>18</v>
      </c>
      <c r="D211" s="14">
        <v>2855</v>
      </c>
      <c r="E211" s="14">
        <v>33029</v>
      </c>
      <c r="F211" s="15">
        <v>110569</v>
      </c>
    </row>
    <row r="212" spans="1:6" x14ac:dyDescent="0.3">
      <c r="A212" s="7">
        <v>2020</v>
      </c>
      <c r="B212" s="8" t="s">
        <v>53</v>
      </c>
      <c r="C212" s="8" t="s">
        <v>19</v>
      </c>
      <c r="D212" s="14">
        <v>6073</v>
      </c>
      <c r="E212" s="14">
        <v>89231</v>
      </c>
      <c r="F212" s="15">
        <v>146746</v>
      </c>
    </row>
    <row r="213" spans="1:6" x14ac:dyDescent="0.3">
      <c r="A213" s="7">
        <v>2020</v>
      </c>
      <c r="B213" s="8" t="s">
        <v>53</v>
      </c>
      <c r="C213" s="8" t="s">
        <v>20</v>
      </c>
      <c r="D213" s="14">
        <v>7671</v>
      </c>
      <c r="E213" s="14">
        <v>50511</v>
      </c>
      <c r="F213" s="15">
        <v>88745</v>
      </c>
    </row>
    <row r="214" spans="1:6" x14ac:dyDescent="0.3">
      <c r="A214" s="7">
        <v>2020</v>
      </c>
      <c r="B214" s="8" t="s">
        <v>53</v>
      </c>
      <c r="C214" s="8" t="s">
        <v>21</v>
      </c>
      <c r="D214" s="14">
        <v>4304</v>
      </c>
      <c r="E214" s="14">
        <v>43145</v>
      </c>
      <c r="F214" s="15">
        <v>92292</v>
      </c>
    </row>
    <row r="215" spans="1:6" x14ac:dyDescent="0.3">
      <c r="A215" s="7">
        <v>2020</v>
      </c>
      <c r="B215" s="8" t="s">
        <v>53</v>
      </c>
      <c r="C215" s="8" t="s">
        <v>22</v>
      </c>
      <c r="D215" s="8">
        <v>964</v>
      </c>
      <c r="E215" s="14">
        <v>9629</v>
      </c>
      <c r="F215" s="15">
        <v>54301</v>
      </c>
    </row>
    <row r="216" spans="1:6" x14ac:dyDescent="0.3">
      <c r="A216" s="7">
        <v>2020</v>
      </c>
      <c r="B216" s="8" t="s">
        <v>53</v>
      </c>
      <c r="C216" s="8" t="s">
        <v>23</v>
      </c>
      <c r="D216" s="14">
        <v>3562</v>
      </c>
      <c r="E216" s="14">
        <v>43675</v>
      </c>
      <c r="F216" s="15">
        <v>89327</v>
      </c>
    </row>
    <row r="217" spans="1:6" x14ac:dyDescent="0.3">
      <c r="A217" s="7">
        <v>2020</v>
      </c>
      <c r="B217" s="8" t="s">
        <v>53</v>
      </c>
      <c r="C217" s="8" t="s">
        <v>24</v>
      </c>
      <c r="D217" s="8">
        <v>856</v>
      </c>
      <c r="E217" s="14">
        <v>5797</v>
      </c>
      <c r="F217" s="15">
        <v>65673</v>
      </c>
    </row>
    <row r="218" spans="1:6" x14ac:dyDescent="0.3">
      <c r="A218" s="7">
        <v>2020</v>
      </c>
      <c r="B218" s="8" t="s">
        <v>53</v>
      </c>
      <c r="C218" s="8" t="s">
        <v>25</v>
      </c>
      <c r="D218" s="14">
        <v>1071</v>
      </c>
      <c r="E218" s="14">
        <v>16165</v>
      </c>
      <c r="F218" s="15">
        <v>76361</v>
      </c>
    </row>
    <row r="219" spans="1:6" x14ac:dyDescent="0.3">
      <c r="A219" s="7">
        <v>2020</v>
      </c>
      <c r="B219" s="8" t="s">
        <v>53</v>
      </c>
      <c r="C219" s="8" t="s">
        <v>26</v>
      </c>
      <c r="D219" s="14">
        <v>1609</v>
      </c>
      <c r="E219" s="14">
        <v>13306</v>
      </c>
      <c r="F219" s="15">
        <v>88353</v>
      </c>
    </row>
    <row r="220" spans="1:6" x14ac:dyDescent="0.3">
      <c r="A220" s="7">
        <v>2020</v>
      </c>
      <c r="B220" s="8" t="s">
        <v>53</v>
      </c>
      <c r="C220" s="8" t="s">
        <v>27</v>
      </c>
      <c r="D220" s="14">
        <v>1168</v>
      </c>
      <c r="E220" s="14">
        <v>11735</v>
      </c>
      <c r="F220" s="15">
        <v>107194</v>
      </c>
    </row>
    <row r="221" spans="1:6" x14ac:dyDescent="0.3">
      <c r="A221" s="7">
        <v>2020</v>
      </c>
      <c r="B221" s="8" t="s">
        <v>53</v>
      </c>
      <c r="C221" s="8" t="s">
        <v>28</v>
      </c>
      <c r="D221" s="14">
        <v>3965</v>
      </c>
      <c r="E221" s="14">
        <v>67885</v>
      </c>
      <c r="F221" s="15">
        <v>130541</v>
      </c>
    </row>
    <row r="222" spans="1:6" x14ac:dyDescent="0.3">
      <c r="A222" s="7">
        <v>2020</v>
      </c>
      <c r="B222" s="8" t="s">
        <v>53</v>
      </c>
      <c r="C222" s="8" t="s">
        <v>29</v>
      </c>
      <c r="D222" s="14">
        <v>1108</v>
      </c>
      <c r="E222" s="14">
        <v>9076</v>
      </c>
      <c r="F222" s="15">
        <v>62393</v>
      </c>
    </row>
    <row r="223" spans="1:6" x14ac:dyDescent="0.3">
      <c r="A223" s="7">
        <v>2020</v>
      </c>
      <c r="B223" s="8" t="s">
        <v>53</v>
      </c>
      <c r="C223" s="8" t="s">
        <v>30</v>
      </c>
      <c r="D223" s="14">
        <v>14380</v>
      </c>
      <c r="E223" s="14">
        <v>267749</v>
      </c>
      <c r="F223" s="15">
        <v>154357</v>
      </c>
    </row>
    <row r="224" spans="1:6" x14ac:dyDescent="0.3">
      <c r="A224" s="7">
        <v>2020</v>
      </c>
      <c r="B224" s="8" t="s">
        <v>53</v>
      </c>
      <c r="C224" s="8" t="s">
        <v>31</v>
      </c>
      <c r="D224" s="14">
        <v>6302</v>
      </c>
      <c r="E224" s="14">
        <v>73440</v>
      </c>
      <c r="F224" s="15">
        <v>96207</v>
      </c>
    </row>
    <row r="225" spans="1:6" x14ac:dyDescent="0.3">
      <c r="A225" s="7">
        <v>2020</v>
      </c>
      <c r="B225" s="8" t="s">
        <v>53</v>
      </c>
      <c r="C225" s="8" t="s">
        <v>32</v>
      </c>
      <c r="D225" s="8">
        <v>417</v>
      </c>
      <c r="E225" s="14">
        <v>5780</v>
      </c>
      <c r="F225" s="15">
        <v>79624</v>
      </c>
    </row>
    <row r="226" spans="1:6" x14ac:dyDescent="0.3">
      <c r="A226" s="7">
        <v>2020</v>
      </c>
      <c r="B226" s="8" t="s">
        <v>53</v>
      </c>
      <c r="C226" s="8" t="s">
        <v>33</v>
      </c>
      <c r="D226" s="14">
        <v>5303</v>
      </c>
      <c r="E226" s="14">
        <v>63865</v>
      </c>
      <c r="F226" s="15">
        <v>80052</v>
      </c>
    </row>
    <row r="227" spans="1:6" x14ac:dyDescent="0.3">
      <c r="A227" s="7">
        <v>2020</v>
      </c>
      <c r="B227" s="8" t="s">
        <v>53</v>
      </c>
      <c r="C227" s="8" t="s">
        <v>34</v>
      </c>
      <c r="D227" s="14">
        <v>1572</v>
      </c>
      <c r="E227" s="14">
        <v>18256</v>
      </c>
      <c r="F227" s="15">
        <v>63710</v>
      </c>
    </row>
    <row r="228" spans="1:6" x14ac:dyDescent="0.3">
      <c r="A228" s="7">
        <v>2020</v>
      </c>
      <c r="B228" s="8" t="s">
        <v>53</v>
      </c>
      <c r="C228" s="8" t="s">
        <v>35</v>
      </c>
      <c r="D228" s="14">
        <v>4605</v>
      </c>
      <c r="E228" s="14">
        <v>33218</v>
      </c>
      <c r="F228" s="15">
        <v>101737</v>
      </c>
    </row>
    <row r="229" spans="1:6" x14ac:dyDescent="0.3">
      <c r="A229" s="7">
        <v>2020</v>
      </c>
      <c r="B229" s="8" t="s">
        <v>53</v>
      </c>
      <c r="C229" s="8" t="s">
        <v>36</v>
      </c>
      <c r="D229" s="14">
        <v>5891</v>
      </c>
      <c r="E229" s="14">
        <v>82872</v>
      </c>
      <c r="F229" s="15">
        <v>107388</v>
      </c>
    </row>
    <row r="230" spans="1:6" x14ac:dyDescent="0.3">
      <c r="A230" s="7">
        <v>2020</v>
      </c>
      <c r="B230" s="8" t="s">
        <v>53</v>
      </c>
      <c r="C230" s="8" t="s">
        <v>37</v>
      </c>
      <c r="D230" s="8">
        <v>762</v>
      </c>
      <c r="E230" s="14">
        <v>5243</v>
      </c>
      <c r="F230" s="15">
        <v>87286</v>
      </c>
    </row>
    <row r="231" spans="1:6" x14ac:dyDescent="0.3">
      <c r="A231" s="7">
        <v>2020</v>
      </c>
      <c r="B231" s="8" t="s">
        <v>53</v>
      </c>
      <c r="C231" s="8" t="s">
        <v>38</v>
      </c>
      <c r="D231" s="14">
        <v>3216</v>
      </c>
      <c r="E231" s="14">
        <v>24744</v>
      </c>
      <c r="F231" s="15">
        <v>73562</v>
      </c>
    </row>
    <row r="232" spans="1:6" x14ac:dyDescent="0.3">
      <c r="A232" s="7">
        <v>2020</v>
      </c>
      <c r="B232" s="8" t="s">
        <v>53</v>
      </c>
      <c r="C232" s="8" t="s">
        <v>39</v>
      </c>
      <c r="D232" s="8">
        <v>606</v>
      </c>
      <c r="E232" s="14">
        <v>5074</v>
      </c>
      <c r="F232" s="15">
        <v>58069</v>
      </c>
    </row>
    <row r="233" spans="1:6" x14ac:dyDescent="0.3">
      <c r="A233" s="7">
        <v>2020</v>
      </c>
      <c r="B233" s="8" t="s">
        <v>53</v>
      </c>
      <c r="C233" s="8" t="s">
        <v>40</v>
      </c>
      <c r="D233" s="14">
        <v>4525</v>
      </c>
      <c r="E233" s="14">
        <v>42929</v>
      </c>
      <c r="F233" s="15">
        <v>81293</v>
      </c>
    </row>
    <row r="234" spans="1:6" x14ac:dyDescent="0.3">
      <c r="A234" s="7">
        <v>2020</v>
      </c>
      <c r="B234" s="8" t="s">
        <v>53</v>
      </c>
      <c r="C234" s="8" t="s">
        <v>41</v>
      </c>
      <c r="D234" s="14">
        <v>11822</v>
      </c>
      <c r="E234" s="14">
        <v>198521</v>
      </c>
      <c r="F234" s="15">
        <v>102835</v>
      </c>
    </row>
    <row r="235" spans="1:6" x14ac:dyDescent="0.3">
      <c r="A235" s="7">
        <v>2020</v>
      </c>
      <c r="B235" s="8" t="s">
        <v>53</v>
      </c>
      <c r="C235" s="8" t="s">
        <v>42</v>
      </c>
      <c r="D235" s="14">
        <v>3177</v>
      </c>
      <c r="E235" s="14">
        <v>37222</v>
      </c>
      <c r="F235" s="15">
        <v>96974</v>
      </c>
    </row>
    <row r="236" spans="1:6" x14ac:dyDescent="0.3">
      <c r="A236" s="7">
        <v>2020</v>
      </c>
      <c r="B236" s="8" t="s">
        <v>53</v>
      </c>
      <c r="C236" s="8" t="s">
        <v>43</v>
      </c>
      <c r="D236" s="8">
        <v>584</v>
      </c>
      <c r="E236" s="14">
        <v>3961</v>
      </c>
      <c r="F236" s="15">
        <v>68605</v>
      </c>
    </row>
    <row r="237" spans="1:6" x14ac:dyDescent="0.3">
      <c r="A237" s="7">
        <v>2020</v>
      </c>
      <c r="B237" s="8" t="s">
        <v>53</v>
      </c>
      <c r="C237" s="8" t="s">
        <v>44</v>
      </c>
      <c r="D237" s="14">
        <v>4875</v>
      </c>
      <c r="E237" s="14">
        <v>64840</v>
      </c>
      <c r="F237" s="15">
        <v>117848</v>
      </c>
    </row>
    <row r="238" spans="1:6" x14ac:dyDescent="0.3">
      <c r="A238" s="7">
        <v>2020</v>
      </c>
      <c r="B238" s="8" t="s">
        <v>53</v>
      </c>
      <c r="C238" s="8" t="s">
        <v>45</v>
      </c>
      <c r="D238" s="14">
        <v>5419</v>
      </c>
      <c r="E238" s="14">
        <v>148556</v>
      </c>
      <c r="F238" s="15">
        <v>242273</v>
      </c>
    </row>
    <row r="239" spans="1:6" x14ac:dyDescent="0.3">
      <c r="A239" s="7">
        <v>2020</v>
      </c>
      <c r="B239" s="8" t="s">
        <v>53</v>
      </c>
      <c r="C239" s="8" t="s">
        <v>46</v>
      </c>
      <c r="D239" s="8">
        <v>825</v>
      </c>
      <c r="E239" s="14">
        <v>7215</v>
      </c>
      <c r="F239" s="15">
        <v>58063</v>
      </c>
    </row>
    <row r="240" spans="1:6" x14ac:dyDescent="0.3">
      <c r="A240" s="7">
        <v>2020</v>
      </c>
      <c r="B240" s="8" t="s">
        <v>53</v>
      </c>
      <c r="C240" s="8" t="s">
        <v>47</v>
      </c>
      <c r="D240" s="14">
        <v>2400</v>
      </c>
      <c r="E240" s="14">
        <v>44846</v>
      </c>
      <c r="F240" s="15">
        <v>88336</v>
      </c>
    </row>
    <row r="241" spans="1:6" x14ac:dyDescent="0.3">
      <c r="A241" s="7">
        <v>2020</v>
      </c>
      <c r="B241" s="8" t="s">
        <v>53</v>
      </c>
      <c r="C241" s="8" t="s">
        <v>48</v>
      </c>
      <c r="D241" s="8">
        <v>428</v>
      </c>
      <c r="E241" s="14">
        <v>3000</v>
      </c>
      <c r="F241" s="15">
        <v>54299</v>
      </c>
    </row>
    <row r="242" spans="1:6" x14ac:dyDescent="0.3">
      <c r="A242" s="7">
        <v>2020</v>
      </c>
      <c r="B242" s="8" t="s">
        <v>56</v>
      </c>
      <c r="C242" s="8" t="s">
        <v>1</v>
      </c>
      <c r="D242" s="14">
        <v>13880</v>
      </c>
      <c r="E242" s="14">
        <v>94715</v>
      </c>
      <c r="F242" s="15">
        <v>75982</v>
      </c>
    </row>
    <row r="243" spans="1:6" x14ac:dyDescent="0.3">
      <c r="A243" s="7">
        <v>2020</v>
      </c>
      <c r="B243" s="8" t="s">
        <v>56</v>
      </c>
      <c r="C243" s="8" t="s">
        <v>2</v>
      </c>
      <c r="D243" s="14">
        <v>20707</v>
      </c>
      <c r="E243" s="14">
        <v>225922</v>
      </c>
      <c r="F243" s="15">
        <v>82956</v>
      </c>
    </row>
    <row r="244" spans="1:6" x14ac:dyDescent="0.3">
      <c r="A244" s="7">
        <v>2020</v>
      </c>
      <c r="B244" s="8" t="s">
        <v>56</v>
      </c>
      <c r="C244" s="8" t="s">
        <v>3</v>
      </c>
      <c r="D244" s="14">
        <v>8906</v>
      </c>
      <c r="E244" s="14">
        <v>51950</v>
      </c>
      <c r="F244" s="15">
        <v>65321</v>
      </c>
    </row>
    <row r="245" spans="1:6" x14ac:dyDescent="0.3">
      <c r="A245" s="7">
        <v>2020</v>
      </c>
      <c r="B245" s="8" t="s">
        <v>56</v>
      </c>
      <c r="C245" s="8" t="s">
        <v>4</v>
      </c>
      <c r="D245" s="14">
        <v>112775</v>
      </c>
      <c r="E245" s="14">
        <v>817007</v>
      </c>
      <c r="F245" s="15">
        <v>124107</v>
      </c>
    </row>
    <row r="246" spans="1:6" x14ac:dyDescent="0.3">
      <c r="A246" s="7">
        <v>2020</v>
      </c>
      <c r="B246" s="8" t="s">
        <v>56</v>
      </c>
      <c r="C246" s="8" t="s">
        <v>5</v>
      </c>
      <c r="D246" s="14">
        <v>25139</v>
      </c>
      <c r="E246" s="14">
        <v>165271</v>
      </c>
      <c r="F246" s="15">
        <v>97276</v>
      </c>
    </row>
    <row r="247" spans="1:6" x14ac:dyDescent="0.3">
      <c r="A247" s="7">
        <v>2020</v>
      </c>
      <c r="B247" s="8" t="s">
        <v>56</v>
      </c>
      <c r="C247" s="8" t="s">
        <v>6</v>
      </c>
      <c r="D247" s="14">
        <v>11223</v>
      </c>
      <c r="E247" s="14">
        <v>118168</v>
      </c>
      <c r="F247" s="15">
        <v>165086</v>
      </c>
    </row>
    <row r="248" spans="1:6" x14ac:dyDescent="0.3">
      <c r="A248" s="7">
        <v>2020</v>
      </c>
      <c r="B248" s="8" t="s">
        <v>56</v>
      </c>
      <c r="C248" s="8" t="s">
        <v>7</v>
      </c>
      <c r="D248" s="14">
        <v>3005</v>
      </c>
      <c r="E248" s="14">
        <v>47390</v>
      </c>
      <c r="F248" s="15">
        <v>103154</v>
      </c>
    </row>
    <row r="249" spans="1:6" x14ac:dyDescent="0.3">
      <c r="A249" s="7">
        <v>2020</v>
      </c>
      <c r="B249" s="8" t="s">
        <v>56</v>
      </c>
      <c r="C249" s="8" t="s">
        <v>8</v>
      </c>
      <c r="D249" s="14">
        <v>80956</v>
      </c>
      <c r="E249" s="14">
        <v>586706</v>
      </c>
      <c r="F249" s="15">
        <v>84307</v>
      </c>
    </row>
    <row r="250" spans="1:6" x14ac:dyDescent="0.3">
      <c r="A250" s="7">
        <v>2020</v>
      </c>
      <c r="B250" s="8" t="s">
        <v>56</v>
      </c>
      <c r="C250" s="8" t="s">
        <v>9</v>
      </c>
      <c r="D250" s="14">
        <v>28810</v>
      </c>
      <c r="E250" s="14">
        <v>242175</v>
      </c>
      <c r="F250" s="15">
        <v>93145</v>
      </c>
    </row>
    <row r="251" spans="1:6" x14ac:dyDescent="0.3">
      <c r="A251" s="7">
        <v>2020</v>
      </c>
      <c r="B251" s="8" t="s">
        <v>56</v>
      </c>
      <c r="C251" s="8" t="s">
        <v>10</v>
      </c>
      <c r="D251" s="14">
        <v>6508</v>
      </c>
      <c r="E251" s="14">
        <v>34249</v>
      </c>
      <c r="F251" s="15">
        <v>68833</v>
      </c>
    </row>
    <row r="252" spans="1:6" x14ac:dyDescent="0.3">
      <c r="A252" s="7">
        <v>2020</v>
      </c>
      <c r="B252" s="8" t="s">
        <v>56</v>
      </c>
      <c r="C252" s="8" t="s">
        <v>11</v>
      </c>
      <c r="D252" s="14">
        <v>33063</v>
      </c>
      <c r="E252" s="14">
        <v>376539</v>
      </c>
      <c r="F252" s="15">
        <v>121634</v>
      </c>
    </row>
    <row r="253" spans="1:6" x14ac:dyDescent="0.3">
      <c r="A253" s="7">
        <v>2020</v>
      </c>
      <c r="B253" s="8" t="s">
        <v>56</v>
      </c>
      <c r="C253" s="8" t="s">
        <v>12</v>
      </c>
      <c r="D253" s="14">
        <v>17574</v>
      </c>
      <c r="E253" s="14">
        <v>133449</v>
      </c>
      <c r="F253" s="15">
        <v>72283</v>
      </c>
    </row>
    <row r="254" spans="1:6" x14ac:dyDescent="0.3">
      <c r="A254" s="7">
        <v>2020</v>
      </c>
      <c r="B254" s="8" t="s">
        <v>56</v>
      </c>
      <c r="C254" s="8" t="s">
        <v>13</v>
      </c>
      <c r="D254" s="14">
        <v>10731</v>
      </c>
      <c r="E254" s="14">
        <v>109283</v>
      </c>
      <c r="F254" s="15">
        <v>81131</v>
      </c>
    </row>
    <row r="255" spans="1:6" x14ac:dyDescent="0.3">
      <c r="A255" s="7">
        <v>2020</v>
      </c>
      <c r="B255" s="8" t="s">
        <v>56</v>
      </c>
      <c r="C255" s="8" t="s">
        <v>14</v>
      </c>
      <c r="D255" s="14">
        <v>8752</v>
      </c>
      <c r="E255" s="14">
        <v>73310</v>
      </c>
      <c r="F255" s="15">
        <v>75889</v>
      </c>
    </row>
    <row r="256" spans="1:6" x14ac:dyDescent="0.3">
      <c r="A256" s="7">
        <v>2020</v>
      </c>
      <c r="B256" s="8" t="s">
        <v>56</v>
      </c>
      <c r="C256" s="8" t="s">
        <v>15</v>
      </c>
      <c r="D256" s="14">
        <v>11729</v>
      </c>
      <c r="E256" s="14">
        <v>92079</v>
      </c>
      <c r="F256" s="15">
        <v>75177</v>
      </c>
    </row>
    <row r="257" spans="1:6" x14ac:dyDescent="0.3">
      <c r="A257" s="7">
        <v>2020</v>
      </c>
      <c r="B257" s="8" t="s">
        <v>56</v>
      </c>
      <c r="C257" s="8" t="s">
        <v>16</v>
      </c>
      <c r="D257" s="14">
        <v>14229</v>
      </c>
      <c r="E257" s="14">
        <v>81149</v>
      </c>
      <c r="F257" s="15">
        <v>69409</v>
      </c>
    </row>
    <row r="258" spans="1:6" x14ac:dyDescent="0.3">
      <c r="A258" s="7">
        <v>2020</v>
      </c>
      <c r="B258" s="8" t="s">
        <v>56</v>
      </c>
      <c r="C258" s="8" t="s">
        <v>17</v>
      </c>
      <c r="D258" s="14">
        <v>3926</v>
      </c>
      <c r="E258" s="14">
        <v>30107</v>
      </c>
      <c r="F258" s="15">
        <v>75870</v>
      </c>
    </row>
    <row r="259" spans="1:6" x14ac:dyDescent="0.3">
      <c r="A259" s="7">
        <v>2020</v>
      </c>
      <c r="B259" s="8" t="s">
        <v>56</v>
      </c>
      <c r="C259" s="8" t="s">
        <v>18</v>
      </c>
      <c r="D259" s="14">
        <v>15692</v>
      </c>
      <c r="E259" s="14">
        <v>129771</v>
      </c>
      <c r="F259" s="15">
        <v>110159</v>
      </c>
    </row>
    <row r="260" spans="1:6" x14ac:dyDescent="0.3">
      <c r="A260" s="7">
        <v>2020</v>
      </c>
      <c r="B260" s="8" t="s">
        <v>56</v>
      </c>
      <c r="C260" s="8" t="s">
        <v>19</v>
      </c>
      <c r="D260" s="14">
        <v>18137</v>
      </c>
      <c r="E260" s="14">
        <v>212062</v>
      </c>
      <c r="F260" s="15">
        <v>159120</v>
      </c>
    </row>
    <row r="261" spans="1:6" x14ac:dyDescent="0.3">
      <c r="A261" s="7">
        <v>2020</v>
      </c>
      <c r="B261" s="8" t="s">
        <v>56</v>
      </c>
      <c r="C261" s="8" t="s">
        <v>20</v>
      </c>
      <c r="D261" s="14">
        <v>20626</v>
      </c>
      <c r="E261" s="14">
        <v>207448</v>
      </c>
      <c r="F261" s="15">
        <v>81720</v>
      </c>
    </row>
    <row r="262" spans="1:6" x14ac:dyDescent="0.3">
      <c r="A262" s="7">
        <v>2020</v>
      </c>
      <c r="B262" s="8" t="s">
        <v>56</v>
      </c>
      <c r="C262" s="8" t="s">
        <v>21</v>
      </c>
      <c r="D262" s="14">
        <v>16134</v>
      </c>
      <c r="E262" s="14">
        <v>179728</v>
      </c>
      <c r="F262" s="15">
        <v>104989</v>
      </c>
    </row>
    <row r="263" spans="1:6" x14ac:dyDescent="0.3">
      <c r="A263" s="7">
        <v>2020</v>
      </c>
      <c r="B263" s="8" t="s">
        <v>56</v>
      </c>
      <c r="C263" s="8" t="s">
        <v>22</v>
      </c>
      <c r="D263" s="14">
        <v>7984</v>
      </c>
      <c r="E263" s="14">
        <v>41912</v>
      </c>
      <c r="F263" s="15">
        <v>59263</v>
      </c>
    </row>
    <row r="264" spans="1:6" x14ac:dyDescent="0.3">
      <c r="A264" s="7">
        <v>2020</v>
      </c>
      <c r="B264" s="8" t="s">
        <v>56</v>
      </c>
      <c r="C264" s="8" t="s">
        <v>23</v>
      </c>
      <c r="D264" s="14">
        <v>18815</v>
      </c>
      <c r="E264" s="14">
        <v>165564</v>
      </c>
      <c r="F264" s="15">
        <v>82664</v>
      </c>
    </row>
    <row r="265" spans="1:6" x14ac:dyDescent="0.3">
      <c r="A265" s="7">
        <v>2020</v>
      </c>
      <c r="B265" s="8" t="s">
        <v>56</v>
      </c>
      <c r="C265" s="8" t="s">
        <v>24</v>
      </c>
      <c r="D265" s="14">
        <v>4557</v>
      </c>
      <c r="E265" s="14">
        <v>21986</v>
      </c>
      <c r="F265" s="15">
        <v>67330</v>
      </c>
    </row>
    <row r="266" spans="1:6" x14ac:dyDescent="0.3">
      <c r="A266" s="7">
        <v>2020</v>
      </c>
      <c r="B266" s="8" t="s">
        <v>56</v>
      </c>
      <c r="C266" s="8" t="s">
        <v>25</v>
      </c>
      <c r="D266" s="14">
        <v>7000</v>
      </c>
      <c r="E266" s="14">
        <v>66588</v>
      </c>
      <c r="F266" s="15">
        <v>74942</v>
      </c>
    </row>
    <row r="267" spans="1:6" x14ac:dyDescent="0.3">
      <c r="A267" s="7">
        <v>2020</v>
      </c>
      <c r="B267" s="8" t="s">
        <v>56</v>
      </c>
      <c r="C267" s="8" t="s">
        <v>26</v>
      </c>
      <c r="D267" s="14">
        <v>9293</v>
      </c>
      <c r="E267" s="14">
        <v>62325</v>
      </c>
      <c r="F267" s="15">
        <v>79236</v>
      </c>
    </row>
    <row r="268" spans="1:6" x14ac:dyDescent="0.3">
      <c r="A268" s="7">
        <v>2020</v>
      </c>
      <c r="B268" s="8" t="s">
        <v>56</v>
      </c>
      <c r="C268" s="8" t="s">
        <v>27</v>
      </c>
      <c r="D268" s="14">
        <v>3946</v>
      </c>
      <c r="E268" s="14">
        <v>33027</v>
      </c>
      <c r="F268" s="15">
        <v>109751</v>
      </c>
    </row>
    <row r="269" spans="1:6" x14ac:dyDescent="0.3">
      <c r="A269" s="7">
        <v>2020</v>
      </c>
      <c r="B269" s="8" t="s">
        <v>56</v>
      </c>
      <c r="C269" s="8" t="s">
        <v>28</v>
      </c>
      <c r="D269" s="14">
        <v>20469</v>
      </c>
      <c r="E269" s="14">
        <v>235676</v>
      </c>
      <c r="F269" s="15">
        <v>127870</v>
      </c>
    </row>
    <row r="270" spans="1:6" x14ac:dyDescent="0.3">
      <c r="A270" s="7">
        <v>2020</v>
      </c>
      <c r="B270" s="8" t="s">
        <v>56</v>
      </c>
      <c r="C270" s="8" t="s">
        <v>29</v>
      </c>
      <c r="D270" s="14">
        <v>5600</v>
      </c>
      <c r="E270" s="14">
        <v>32608</v>
      </c>
      <c r="F270" s="15">
        <v>62343</v>
      </c>
    </row>
    <row r="271" spans="1:6" x14ac:dyDescent="0.3">
      <c r="A271" s="7">
        <v>2020</v>
      </c>
      <c r="B271" s="8" t="s">
        <v>56</v>
      </c>
      <c r="C271" s="8" t="s">
        <v>30</v>
      </c>
      <c r="D271" s="14">
        <v>63948</v>
      </c>
      <c r="E271" s="14">
        <v>700031</v>
      </c>
      <c r="F271" s="15">
        <v>207014</v>
      </c>
    </row>
    <row r="272" spans="1:6" x14ac:dyDescent="0.3">
      <c r="A272" s="7">
        <v>2020</v>
      </c>
      <c r="B272" s="8" t="s">
        <v>56</v>
      </c>
      <c r="C272" s="8" t="s">
        <v>31</v>
      </c>
      <c r="D272" s="14">
        <v>30275</v>
      </c>
      <c r="E272" s="14">
        <v>251672</v>
      </c>
      <c r="F272" s="15">
        <v>97234</v>
      </c>
    </row>
    <row r="273" spans="1:6" x14ac:dyDescent="0.3">
      <c r="A273" s="7">
        <v>2020</v>
      </c>
      <c r="B273" s="8" t="s">
        <v>56</v>
      </c>
      <c r="C273" s="8" t="s">
        <v>32</v>
      </c>
      <c r="D273" s="14">
        <v>3042</v>
      </c>
      <c r="E273" s="14">
        <v>22496</v>
      </c>
      <c r="F273" s="15">
        <v>69243</v>
      </c>
    </row>
    <row r="274" spans="1:6" x14ac:dyDescent="0.3">
      <c r="A274" s="7">
        <v>2020</v>
      </c>
      <c r="B274" s="8" t="s">
        <v>56</v>
      </c>
      <c r="C274" s="8" t="s">
        <v>33</v>
      </c>
      <c r="D274" s="14">
        <v>29307</v>
      </c>
      <c r="E274" s="14">
        <v>287990</v>
      </c>
      <c r="F274" s="15">
        <v>82336</v>
      </c>
    </row>
    <row r="275" spans="1:6" x14ac:dyDescent="0.3">
      <c r="A275" s="7">
        <v>2020</v>
      </c>
      <c r="B275" s="8" t="s">
        <v>56</v>
      </c>
      <c r="C275" s="8" t="s">
        <v>34</v>
      </c>
      <c r="D275" s="14">
        <v>11701</v>
      </c>
      <c r="E275" s="14">
        <v>74614</v>
      </c>
      <c r="F275" s="15">
        <v>64030</v>
      </c>
    </row>
    <row r="276" spans="1:6" x14ac:dyDescent="0.3">
      <c r="A276" s="7">
        <v>2020</v>
      </c>
      <c r="B276" s="8" t="s">
        <v>56</v>
      </c>
      <c r="C276" s="8" t="s">
        <v>35</v>
      </c>
      <c r="D276" s="14">
        <v>13352</v>
      </c>
      <c r="E276" s="14">
        <v>83937</v>
      </c>
      <c r="F276" s="15">
        <v>80727</v>
      </c>
    </row>
    <row r="277" spans="1:6" x14ac:dyDescent="0.3">
      <c r="A277" s="7">
        <v>2020</v>
      </c>
      <c r="B277" s="8" t="s">
        <v>56</v>
      </c>
      <c r="C277" s="8" t="s">
        <v>36</v>
      </c>
      <c r="D277" s="14">
        <v>29714</v>
      </c>
      <c r="E277" s="14">
        <v>325571</v>
      </c>
      <c r="F277" s="15">
        <v>97231</v>
      </c>
    </row>
    <row r="278" spans="1:6" x14ac:dyDescent="0.3">
      <c r="A278" s="7">
        <v>2020</v>
      </c>
      <c r="B278" s="8" t="s">
        <v>56</v>
      </c>
      <c r="C278" s="8" t="s">
        <v>37</v>
      </c>
      <c r="D278" s="14">
        <v>3038</v>
      </c>
      <c r="E278" s="14">
        <v>31304</v>
      </c>
      <c r="F278" s="15">
        <v>100316</v>
      </c>
    </row>
    <row r="279" spans="1:6" x14ac:dyDescent="0.3">
      <c r="A279" s="7">
        <v>2020</v>
      </c>
      <c r="B279" s="8" t="s">
        <v>56</v>
      </c>
      <c r="C279" s="8" t="s">
        <v>38</v>
      </c>
      <c r="D279" s="14">
        <v>15078</v>
      </c>
      <c r="E279" s="14">
        <v>101637</v>
      </c>
      <c r="F279" s="15">
        <v>71361</v>
      </c>
    </row>
    <row r="280" spans="1:6" x14ac:dyDescent="0.3">
      <c r="A280" s="7">
        <v>2020</v>
      </c>
      <c r="B280" s="8" t="s">
        <v>56</v>
      </c>
      <c r="C280" s="8" t="s">
        <v>39</v>
      </c>
      <c r="D280" s="14">
        <v>3397</v>
      </c>
      <c r="E280" s="14">
        <v>27809</v>
      </c>
      <c r="F280" s="15">
        <v>69345</v>
      </c>
    </row>
    <row r="281" spans="1:6" x14ac:dyDescent="0.3">
      <c r="A281" s="7">
        <v>2020</v>
      </c>
      <c r="B281" s="8" t="s">
        <v>56</v>
      </c>
      <c r="C281" s="8" t="s">
        <v>40</v>
      </c>
      <c r="D281" s="14">
        <v>16893</v>
      </c>
      <c r="E281" s="14">
        <v>155926</v>
      </c>
      <c r="F281" s="15">
        <v>85116</v>
      </c>
    </row>
    <row r="282" spans="1:6" x14ac:dyDescent="0.3">
      <c r="A282" s="7">
        <v>2020</v>
      </c>
      <c r="B282" s="8" t="s">
        <v>56</v>
      </c>
      <c r="C282" s="8" t="s">
        <v>41</v>
      </c>
      <c r="D282" s="14">
        <v>78940</v>
      </c>
      <c r="E282" s="14">
        <v>778554</v>
      </c>
      <c r="F282" s="15">
        <v>92477</v>
      </c>
    </row>
    <row r="283" spans="1:6" x14ac:dyDescent="0.3">
      <c r="A283" s="7">
        <v>2020</v>
      </c>
      <c r="B283" s="8" t="s">
        <v>56</v>
      </c>
      <c r="C283" s="8" t="s">
        <v>42</v>
      </c>
      <c r="D283" s="14">
        <v>12580</v>
      </c>
      <c r="E283" s="14">
        <v>93379</v>
      </c>
      <c r="F283" s="15">
        <v>79806</v>
      </c>
    </row>
    <row r="284" spans="1:6" x14ac:dyDescent="0.3">
      <c r="A284" s="7">
        <v>2020</v>
      </c>
      <c r="B284" s="8" t="s">
        <v>56</v>
      </c>
      <c r="C284" s="8" t="s">
        <v>43</v>
      </c>
      <c r="D284" s="14">
        <v>1719</v>
      </c>
      <c r="E284" s="14">
        <v>11578</v>
      </c>
      <c r="F284" s="15">
        <v>80135</v>
      </c>
    </row>
    <row r="285" spans="1:6" x14ac:dyDescent="0.3">
      <c r="A285" s="7">
        <v>2020</v>
      </c>
      <c r="B285" s="8" t="s">
        <v>56</v>
      </c>
      <c r="C285" s="8" t="s">
        <v>44</v>
      </c>
      <c r="D285" s="14">
        <v>22750</v>
      </c>
      <c r="E285" s="14">
        <v>195671</v>
      </c>
      <c r="F285" s="15">
        <v>97246</v>
      </c>
    </row>
    <row r="286" spans="1:6" x14ac:dyDescent="0.3">
      <c r="A286" s="7">
        <v>2020</v>
      </c>
      <c r="B286" s="8" t="s">
        <v>56</v>
      </c>
      <c r="C286" s="8" t="s">
        <v>45</v>
      </c>
      <c r="D286" s="14">
        <v>18828</v>
      </c>
      <c r="E286" s="14">
        <v>147772</v>
      </c>
      <c r="F286" s="15">
        <v>95674</v>
      </c>
    </row>
    <row r="287" spans="1:6" x14ac:dyDescent="0.3">
      <c r="A287" s="7">
        <v>2020</v>
      </c>
      <c r="B287" s="8" t="s">
        <v>56</v>
      </c>
      <c r="C287" s="8" t="s">
        <v>46</v>
      </c>
      <c r="D287" s="14">
        <v>4042</v>
      </c>
      <c r="E287" s="14">
        <v>24190</v>
      </c>
      <c r="F287" s="15">
        <v>56764</v>
      </c>
    </row>
    <row r="288" spans="1:6" x14ac:dyDescent="0.3">
      <c r="A288" s="7">
        <v>2020</v>
      </c>
      <c r="B288" s="8" t="s">
        <v>56</v>
      </c>
      <c r="C288" s="8" t="s">
        <v>47</v>
      </c>
      <c r="D288" s="14">
        <v>14688</v>
      </c>
      <c r="E288" s="14">
        <v>148829</v>
      </c>
      <c r="F288" s="15">
        <v>80470</v>
      </c>
    </row>
    <row r="289" spans="1:6" x14ac:dyDescent="0.3">
      <c r="A289" s="7">
        <v>2020</v>
      </c>
      <c r="B289" s="8" t="s">
        <v>56</v>
      </c>
      <c r="C289" s="8" t="s">
        <v>48</v>
      </c>
      <c r="D289" s="14">
        <v>2353</v>
      </c>
      <c r="E289" s="14">
        <v>10919</v>
      </c>
      <c r="F289" s="15">
        <v>64480</v>
      </c>
    </row>
    <row r="290" spans="1:6" x14ac:dyDescent="0.3">
      <c r="A290" s="7">
        <v>2020</v>
      </c>
      <c r="B290" s="8" t="s">
        <v>57</v>
      </c>
      <c r="C290" s="8" t="s">
        <v>1</v>
      </c>
      <c r="D290" s="14">
        <v>22875</v>
      </c>
      <c r="E290" s="14">
        <v>242419</v>
      </c>
      <c r="F290" s="15">
        <v>62111</v>
      </c>
    </row>
    <row r="291" spans="1:6" x14ac:dyDescent="0.3">
      <c r="A291" s="7">
        <v>2020</v>
      </c>
      <c r="B291" s="8" t="s">
        <v>57</v>
      </c>
      <c r="C291" s="8" t="s">
        <v>2</v>
      </c>
      <c r="D291" s="14">
        <v>40867</v>
      </c>
      <c r="E291" s="14">
        <v>431379</v>
      </c>
      <c r="F291" s="15">
        <v>63180</v>
      </c>
    </row>
    <row r="292" spans="1:6" x14ac:dyDescent="0.3">
      <c r="A292" s="7">
        <v>2020</v>
      </c>
      <c r="B292" s="8" t="s">
        <v>57</v>
      </c>
      <c r="C292" s="8" t="s">
        <v>3</v>
      </c>
      <c r="D292" s="14">
        <v>15490</v>
      </c>
      <c r="E292" s="14">
        <v>139300</v>
      </c>
      <c r="F292" s="15">
        <v>68067</v>
      </c>
    </row>
    <row r="293" spans="1:6" x14ac:dyDescent="0.3">
      <c r="A293" s="7">
        <v>2020</v>
      </c>
      <c r="B293" s="8" t="s">
        <v>57</v>
      </c>
      <c r="C293" s="8" t="s">
        <v>4</v>
      </c>
      <c r="D293" s="14">
        <v>221985</v>
      </c>
      <c r="E293" s="14">
        <v>2600604</v>
      </c>
      <c r="F293" s="15">
        <v>106486</v>
      </c>
    </row>
    <row r="294" spans="1:6" x14ac:dyDescent="0.3">
      <c r="A294" s="7">
        <v>2020</v>
      </c>
      <c r="B294" s="8" t="s">
        <v>57</v>
      </c>
      <c r="C294" s="8" t="s">
        <v>5</v>
      </c>
      <c r="D294" s="14">
        <v>58286</v>
      </c>
      <c r="E294" s="14">
        <v>430367</v>
      </c>
      <c r="F294" s="15">
        <v>90744</v>
      </c>
    </row>
    <row r="295" spans="1:6" x14ac:dyDescent="0.3">
      <c r="A295" s="7">
        <v>2020</v>
      </c>
      <c r="B295" s="8" t="s">
        <v>57</v>
      </c>
      <c r="C295" s="8" t="s">
        <v>6</v>
      </c>
      <c r="D295" s="14">
        <v>24131</v>
      </c>
      <c r="E295" s="14">
        <v>206629</v>
      </c>
      <c r="F295" s="15">
        <v>95714</v>
      </c>
    </row>
    <row r="296" spans="1:6" x14ac:dyDescent="0.3">
      <c r="A296" s="7">
        <v>2020</v>
      </c>
      <c r="B296" s="8" t="s">
        <v>57</v>
      </c>
      <c r="C296" s="8" t="s">
        <v>7</v>
      </c>
      <c r="D296" s="14">
        <v>9766</v>
      </c>
      <c r="E296" s="14">
        <v>61669</v>
      </c>
      <c r="F296" s="15">
        <v>85651</v>
      </c>
    </row>
    <row r="297" spans="1:6" x14ac:dyDescent="0.3">
      <c r="A297" s="7">
        <v>2020</v>
      </c>
      <c r="B297" s="8" t="s">
        <v>57</v>
      </c>
      <c r="C297" s="8" t="s">
        <v>8</v>
      </c>
      <c r="D297" s="14">
        <v>179893</v>
      </c>
      <c r="E297" s="14">
        <v>1358317</v>
      </c>
      <c r="F297" s="15">
        <v>68223</v>
      </c>
    </row>
    <row r="298" spans="1:6" x14ac:dyDescent="0.3">
      <c r="A298" s="7">
        <v>2020</v>
      </c>
      <c r="B298" s="8" t="s">
        <v>57</v>
      </c>
      <c r="C298" s="8" t="s">
        <v>9</v>
      </c>
      <c r="D298" s="14">
        <v>60683</v>
      </c>
      <c r="E298" s="14">
        <v>692452</v>
      </c>
      <c r="F298" s="15">
        <v>76331</v>
      </c>
    </row>
    <row r="299" spans="1:6" x14ac:dyDescent="0.3">
      <c r="A299" s="7">
        <v>2020</v>
      </c>
      <c r="B299" s="8" t="s">
        <v>57</v>
      </c>
      <c r="C299" s="8" t="s">
        <v>10</v>
      </c>
      <c r="D299" s="14">
        <v>12911</v>
      </c>
      <c r="E299" s="14">
        <v>97097</v>
      </c>
      <c r="F299" s="15">
        <v>59743</v>
      </c>
    </row>
    <row r="300" spans="1:6" x14ac:dyDescent="0.3">
      <c r="A300" s="7">
        <v>2020</v>
      </c>
      <c r="B300" s="8" t="s">
        <v>57</v>
      </c>
      <c r="C300" s="8" t="s">
        <v>11</v>
      </c>
      <c r="D300" s="14">
        <v>75904</v>
      </c>
      <c r="E300" s="14">
        <v>892150</v>
      </c>
      <c r="F300" s="15">
        <v>83889</v>
      </c>
    </row>
    <row r="301" spans="1:6" x14ac:dyDescent="0.3">
      <c r="A301" s="7">
        <v>2020</v>
      </c>
      <c r="B301" s="8" t="s">
        <v>57</v>
      </c>
      <c r="C301" s="8" t="s">
        <v>12</v>
      </c>
      <c r="D301" s="14">
        <v>32143</v>
      </c>
      <c r="E301" s="14">
        <v>326745</v>
      </c>
      <c r="F301" s="15">
        <v>58578</v>
      </c>
    </row>
    <row r="302" spans="1:6" x14ac:dyDescent="0.3">
      <c r="A302" s="7">
        <v>2020</v>
      </c>
      <c r="B302" s="8" t="s">
        <v>57</v>
      </c>
      <c r="C302" s="8" t="s">
        <v>13</v>
      </c>
      <c r="D302" s="14">
        <v>16706</v>
      </c>
      <c r="E302" s="14">
        <v>134822</v>
      </c>
      <c r="F302" s="15">
        <v>61793</v>
      </c>
    </row>
    <row r="303" spans="1:6" x14ac:dyDescent="0.3">
      <c r="A303" s="7">
        <v>2020</v>
      </c>
      <c r="B303" s="8" t="s">
        <v>57</v>
      </c>
      <c r="C303" s="8" t="s">
        <v>14</v>
      </c>
      <c r="D303" s="14">
        <v>16823</v>
      </c>
      <c r="E303" s="14">
        <v>168813</v>
      </c>
      <c r="F303" s="15">
        <v>69538</v>
      </c>
    </row>
    <row r="304" spans="1:6" x14ac:dyDescent="0.3">
      <c r="A304" s="7">
        <v>2020</v>
      </c>
      <c r="B304" s="8" t="s">
        <v>57</v>
      </c>
      <c r="C304" s="8" t="s">
        <v>15</v>
      </c>
      <c r="D304" s="14">
        <v>22329</v>
      </c>
      <c r="E304" s="14">
        <v>207575</v>
      </c>
      <c r="F304" s="15">
        <v>55987</v>
      </c>
    </row>
    <row r="305" spans="1:6" x14ac:dyDescent="0.3">
      <c r="A305" s="7">
        <v>2020</v>
      </c>
      <c r="B305" s="8" t="s">
        <v>57</v>
      </c>
      <c r="C305" s="8" t="s">
        <v>16</v>
      </c>
      <c r="D305" s="14">
        <v>26262</v>
      </c>
      <c r="E305" s="14">
        <v>204729</v>
      </c>
      <c r="F305" s="15">
        <v>60136</v>
      </c>
    </row>
    <row r="306" spans="1:6" x14ac:dyDescent="0.3">
      <c r="A306" s="7">
        <v>2020</v>
      </c>
      <c r="B306" s="8" t="s">
        <v>57</v>
      </c>
      <c r="C306" s="8" t="s">
        <v>17</v>
      </c>
      <c r="D306" s="14">
        <v>11267</v>
      </c>
      <c r="E306" s="14">
        <v>68952</v>
      </c>
      <c r="F306" s="15">
        <v>66178</v>
      </c>
    </row>
    <row r="307" spans="1:6" x14ac:dyDescent="0.3">
      <c r="A307" s="7">
        <v>2020</v>
      </c>
      <c r="B307" s="8" t="s">
        <v>57</v>
      </c>
      <c r="C307" s="8" t="s">
        <v>18</v>
      </c>
      <c r="D307" s="14">
        <v>44172</v>
      </c>
      <c r="E307" s="14">
        <v>441860</v>
      </c>
      <c r="F307" s="15">
        <v>88391</v>
      </c>
    </row>
    <row r="308" spans="1:6" x14ac:dyDescent="0.3">
      <c r="A308" s="7">
        <v>2020</v>
      </c>
      <c r="B308" s="8" t="s">
        <v>57</v>
      </c>
      <c r="C308" s="8" t="s">
        <v>19</v>
      </c>
      <c r="D308" s="14">
        <v>48428</v>
      </c>
      <c r="E308" s="14">
        <v>583792</v>
      </c>
      <c r="F308" s="15">
        <v>124638</v>
      </c>
    </row>
    <row r="309" spans="1:6" x14ac:dyDescent="0.3">
      <c r="A309" s="7">
        <v>2020</v>
      </c>
      <c r="B309" s="8" t="s">
        <v>57</v>
      </c>
      <c r="C309" s="8" t="s">
        <v>20</v>
      </c>
      <c r="D309" s="14">
        <v>46269</v>
      </c>
      <c r="E309" s="14">
        <v>599657</v>
      </c>
      <c r="F309" s="15">
        <v>76432</v>
      </c>
    </row>
    <row r="310" spans="1:6" x14ac:dyDescent="0.3">
      <c r="A310" s="7">
        <v>2020</v>
      </c>
      <c r="B310" s="8" t="s">
        <v>57</v>
      </c>
      <c r="C310" s="8" t="s">
        <v>21</v>
      </c>
      <c r="D310" s="14">
        <v>33603</v>
      </c>
      <c r="E310" s="14">
        <v>361183</v>
      </c>
      <c r="F310" s="15">
        <v>91033</v>
      </c>
    </row>
    <row r="311" spans="1:6" x14ac:dyDescent="0.3">
      <c r="A311" s="7">
        <v>2020</v>
      </c>
      <c r="B311" s="8" t="s">
        <v>57</v>
      </c>
      <c r="C311" s="8" t="s">
        <v>22</v>
      </c>
      <c r="D311" s="14">
        <v>12692</v>
      </c>
      <c r="E311" s="14">
        <v>107758</v>
      </c>
      <c r="F311" s="15">
        <v>45573</v>
      </c>
    </row>
    <row r="312" spans="1:6" x14ac:dyDescent="0.3">
      <c r="A312" s="7">
        <v>2020</v>
      </c>
      <c r="B312" s="8" t="s">
        <v>57</v>
      </c>
      <c r="C312" s="8" t="s">
        <v>23</v>
      </c>
      <c r="D312" s="14">
        <v>36089</v>
      </c>
      <c r="E312" s="14">
        <v>365657</v>
      </c>
      <c r="F312" s="15">
        <v>72666</v>
      </c>
    </row>
    <row r="313" spans="1:6" x14ac:dyDescent="0.3">
      <c r="A313" s="7">
        <v>2020</v>
      </c>
      <c r="B313" s="8" t="s">
        <v>57</v>
      </c>
      <c r="C313" s="8" t="s">
        <v>24</v>
      </c>
      <c r="D313" s="14">
        <v>10331</v>
      </c>
      <c r="E313" s="14">
        <v>43549</v>
      </c>
      <c r="F313" s="15">
        <v>59785</v>
      </c>
    </row>
    <row r="314" spans="1:6" x14ac:dyDescent="0.3">
      <c r="A314" s="7">
        <v>2020</v>
      </c>
      <c r="B314" s="8" t="s">
        <v>57</v>
      </c>
      <c r="C314" s="8" t="s">
        <v>25</v>
      </c>
      <c r="D314" s="14">
        <v>11809</v>
      </c>
      <c r="E314" s="14">
        <v>117288</v>
      </c>
      <c r="F314" s="15">
        <v>65292</v>
      </c>
    </row>
    <row r="315" spans="1:6" x14ac:dyDescent="0.3">
      <c r="A315" s="7">
        <v>2020</v>
      </c>
      <c r="B315" s="8" t="s">
        <v>57</v>
      </c>
      <c r="C315" s="8" t="s">
        <v>26</v>
      </c>
      <c r="D315" s="14">
        <v>20046</v>
      </c>
      <c r="E315" s="14">
        <v>179092</v>
      </c>
      <c r="F315" s="15">
        <v>67081</v>
      </c>
    </row>
    <row r="316" spans="1:6" x14ac:dyDescent="0.3">
      <c r="A316" s="7">
        <v>2020</v>
      </c>
      <c r="B316" s="8" t="s">
        <v>57</v>
      </c>
      <c r="C316" s="8" t="s">
        <v>27</v>
      </c>
      <c r="D316" s="14">
        <v>13616</v>
      </c>
      <c r="E316" s="14">
        <v>81639</v>
      </c>
      <c r="F316" s="15">
        <v>88167</v>
      </c>
    </row>
    <row r="317" spans="1:6" x14ac:dyDescent="0.3">
      <c r="A317" s="7">
        <v>2020</v>
      </c>
      <c r="B317" s="8" t="s">
        <v>57</v>
      </c>
      <c r="C317" s="8" t="s">
        <v>28</v>
      </c>
      <c r="D317" s="14">
        <v>53304</v>
      </c>
      <c r="E317" s="14">
        <v>643507</v>
      </c>
      <c r="F317" s="15">
        <v>102666</v>
      </c>
    </row>
    <row r="318" spans="1:6" x14ac:dyDescent="0.3">
      <c r="A318" s="7">
        <v>2020</v>
      </c>
      <c r="B318" s="8" t="s">
        <v>57</v>
      </c>
      <c r="C318" s="8" t="s">
        <v>29</v>
      </c>
      <c r="D318" s="14">
        <v>11550</v>
      </c>
      <c r="E318" s="14">
        <v>107707</v>
      </c>
      <c r="F318" s="15">
        <v>69938</v>
      </c>
    </row>
    <row r="319" spans="1:6" x14ac:dyDescent="0.3">
      <c r="A319" s="7">
        <v>2020</v>
      </c>
      <c r="B319" s="8" t="s">
        <v>57</v>
      </c>
      <c r="C319" s="8" t="s">
        <v>30</v>
      </c>
      <c r="D319" s="14">
        <v>117347</v>
      </c>
      <c r="E319" s="14">
        <v>1242471</v>
      </c>
      <c r="F319" s="15">
        <v>109413</v>
      </c>
    </row>
    <row r="320" spans="1:6" x14ac:dyDescent="0.3">
      <c r="A320" s="7">
        <v>2020</v>
      </c>
      <c r="B320" s="8" t="s">
        <v>57</v>
      </c>
      <c r="C320" s="8" t="s">
        <v>31</v>
      </c>
      <c r="D320" s="14">
        <v>64843</v>
      </c>
      <c r="E320" s="14">
        <v>637719</v>
      </c>
      <c r="F320" s="15">
        <v>72078</v>
      </c>
    </row>
    <row r="321" spans="1:6" x14ac:dyDescent="0.3">
      <c r="A321" s="7">
        <v>2020</v>
      </c>
      <c r="B321" s="8" t="s">
        <v>57</v>
      </c>
      <c r="C321" s="8" t="s">
        <v>32</v>
      </c>
      <c r="D321" s="14">
        <v>5337</v>
      </c>
      <c r="E321" s="14">
        <v>31642</v>
      </c>
      <c r="F321" s="15">
        <v>65877</v>
      </c>
    </row>
    <row r="322" spans="1:6" x14ac:dyDescent="0.3">
      <c r="A322" s="7">
        <v>2020</v>
      </c>
      <c r="B322" s="8" t="s">
        <v>57</v>
      </c>
      <c r="C322" s="8" t="s">
        <v>33</v>
      </c>
      <c r="D322" s="14">
        <v>55987</v>
      </c>
      <c r="E322" s="14">
        <v>697244</v>
      </c>
      <c r="F322" s="15">
        <v>71920</v>
      </c>
    </row>
    <row r="323" spans="1:6" x14ac:dyDescent="0.3">
      <c r="A323" s="7">
        <v>2020</v>
      </c>
      <c r="B323" s="8" t="s">
        <v>57</v>
      </c>
      <c r="C323" s="8" t="s">
        <v>34</v>
      </c>
      <c r="D323" s="14">
        <v>21652</v>
      </c>
      <c r="E323" s="14">
        <v>185307</v>
      </c>
      <c r="F323" s="15">
        <v>58539</v>
      </c>
    </row>
    <row r="324" spans="1:6" x14ac:dyDescent="0.3">
      <c r="A324" s="7">
        <v>2020</v>
      </c>
      <c r="B324" s="8" t="s">
        <v>57</v>
      </c>
      <c r="C324" s="8" t="s">
        <v>35</v>
      </c>
      <c r="D324" s="14">
        <v>27033</v>
      </c>
      <c r="E324" s="14">
        <v>242218</v>
      </c>
      <c r="F324" s="15">
        <v>81224</v>
      </c>
    </row>
    <row r="325" spans="1:6" x14ac:dyDescent="0.3">
      <c r="A325" s="7">
        <v>2020</v>
      </c>
      <c r="B325" s="8" t="s">
        <v>57</v>
      </c>
      <c r="C325" s="8" t="s">
        <v>36</v>
      </c>
      <c r="D325" s="14">
        <v>66210</v>
      </c>
      <c r="E325" s="14">
        <v>766122</v>
      </c>
      <c r="F325" s="15">
        <v>86971</v>
      </c>
    </row>
    <row r="326" spans="1:6" x14ac:dyDescent="0.3">
      <c r="A326" s="7">
        <v>2020</v>
      </c>
      <c r="B326" s="8" t="s">
        <v>57</v>
      </c>
      <c r="C326" s="8" t="s">
        <v>37</v>
      </c>
      <c r="D326" s="14">
        <v>9567</v>
      </c>
      <c r="E326" s="14">
        <v>65232</v>
      </c>
      <c r="F326" s="15">
        <v>75829</v>
      </c>
    </row>
    <row r="327" spans="1:6" x14ac:dyDescent="0.3">
      <c r="A327" s="7">
        <v>2020</v>
      </c>
      <c r="B327" s="8" t="s">
        <v>57</v>
      </c>
      <c r="C327" s="8" t="s">
        <v>38</v>
      </c>
      <c r="D327" s="14">
        <v>30793</v>
      </c>
      <c r="E327" s="14">
        <v>281874</v>
      </c>
      <c r="F327" s="15">
        <v>56907</v>
      </c>
    </row>
    <row r="328" spans="1:6" x14ac:dyDescent="0.3">
      <c r="A328" s="7">
        <v>2020</v>
      </c>
      <c r="B328" s="8" t="s">
        <v>57</v>
      </c>
      <c r="C328" s="8" t="s">
        <v>39</v>
      </c>
      <c r="D328" s="14">
        <v>5876</v>
      </c>
      <c r="E328" s="14">
        <v>32771</v>
      </c>
      <c r="F328" s="15">
        <v>63709</v>
      </c>
    </row>
    <row r="329" spans="1:6" x14ac:dyDescent="0.3">
      <c r="A329" s="7">
        <v>2020</v>
      </c>
      <c r="B329" s="8" t="s">
        <v>57</v>
      </c>
      <c r="C329" s="8" t="s">
        <v>40</v>
      </c>
      <c r="D329" s="14">
        <v>32595</v>
      </c>
      <c r="E329" s="14">
        <v>414644</v>
      </c>
      <c r="F329" s="15">
        <v>66460</v>
      </c>
    </row>
    <row r="330" spans="1:6" x14ac:dyDescent="0.3">
      <c r="A330" s="7">
        <v>2020</v>
      </c>
      <c r="B330" s="8" t="s">
        <v>57</v>
      </c>
      <c r="C330" s="8" t="s">
        <v>41</v>
      </c>
      <c r="D330" s="14">
        <v>146639</v>
      </c>
      <c r="E330" s="14">
        <v>1758991</v>
      </c>
      <c r="F330" s="15">
        <v>81123</v>
      </c>
    </row>
    <row r="331" spans="1:6" x14ac:dyDescent="0.3">
      <c r="A331" s="7">
        <v>2020</v>
      </c>
      <c r="B331" s="8" t="s">
        <v>57</v>
      </c>
      <c r="C331" s="8" t="s">
        <v>42</v>
      </c>
      <c r="D331" s="14">
        <v>25941</v>
      </c>
      <c r="E331" s="14">
        <v>223284</v>
      </c>
      <c r="F331" s="15">
        <v>68355</v>
      </c>
    </row>
    <row r="332" spans="1:6" x14ac:dyDescent="0.3">
      <c r="A332" s="7">
        <v>2020</v>
      </c>
      <c r="B332" s="8" t="s">
        <v>57</v>
      </c>
      <c r="C332" s="8" t="s">
        <v>43</v>
      </c>
      <c r="D332" s="14">
        <v>6346</v>
      </c>
      <c r="E332" s="14">
        <v>28512</v>
      </c>
      <c r="F332" s="15">
        <v>74442</v>
      </c>
    </row>
    <row r="333" spans="1:6" x14ac:dyDescent="0.3">
      <c r="A333" s="7">
        <v>2020</v>
      </c>
      <c r="B333" s="8" t="s">
        <v>57</v>
      </c>
      <c r="C333" s="8" t="s">
        <v>44</v>
      </c>
      <c r="D333" s="14">
        <v>60099</v>
      </c>
      <c r="E333" s="14">
        <v>752090</v>
      </c>
      <c r="F333" s="15">
        <v>96046</v>
      </c>
    </row>
    <row r="334" spans="1:6" x14ac:dyDescent="0.3">
      <c r="A334" s="7">
        <v>2020</v>
      </c>
      <c r="B334" s="8" t="s">
        <v>57</v>
      </c>
      <c r="C334" s="8" t="s">
        <v>45</v>
      </c>
      <c r="D334" s="14">
        <v>43094</v>
      </c>
      <c r="E334" s="14">
        <v>415190</v>
      </c>
      <c r="F334" s="15">
        <v>92279</v>
      </c>
    </row>
    <row r="335" spans="1:6" x14ac:dyDescent="0.3">
      <c r="A335" s="7">
        <v>2020</v>
      </c>
      <c r="B335" s="8" t="s">
        <v>57</v>
      </c>
      <c r="C335" s="8" t="s">
        <v>46</v>
      </c>
      <c r="D335" s="14">
        <v>8599</v>
      </c>
      <c r="E335" s="14">
        <v>65715</v>
      </c>
      <c r="F335" s="15">
        <v>53557</v>
      </c>
    </row>
    <row r="336" spans="1:6" x14ac:dyDescent="0.3">
      <c r="A336" s="7">
        <v>2020</v>
      </c>
      <c r="B336" s="8" t="s">
        <v>57</v>
      </c>
      <c r="C336" s="8" t="s">
        <v>47</v>
      </c>
      <c r="D336" s="14">
        <v>27048</v>
      </c>
      <c r="E336" s="14">
        <v>309780</v>
      </c>
      <c r="F336" s="15">
        <v>67254</v>
      </c>
    </row>
    <row r="337" spans="1:6" x14ac:dyDescent="0.3">
      <c r="A337" s="7">
        <v>2020</v>
      </c>
      <c r="B337" s="8" t="s">
        <v>57</v>
      </c>
      <c r="C337" s="8" t="s">
        <v>48</v>
      </c>
      <c r="D337" s="14">
        <v>4986</v>
      </c>
      <c r="E337" s="14">
        <v>18382</v>
      </c>
      <c r="F337" s="15">
        <v>60233</v>
      </c>
    </row>
    <row r="338" spans="1:6" x14ac:dyDescent="0.3">
      <c r="A338" s="7">
        <v>2020</v>
      </c>
      <c r="B338" s="8" t="s">
        <v>58</v>
      </c>
      <c r="C338" s="8" t="s">
        <v>1</v>
      </c>
      <c r="D338" s="14">
        <v>15859</v>
      </c>
      <c r="E338" s="14">
        <v>228486</v>
      </c>
      <c r="F338" s="15">
        <v>51193</v>
      </c>
    </row>
    <row r="339" spans="1:6" x14ac:dyDescent="0.3">
      <c r="A339" s="7">
        <v>2020</v>
      </c>
      <c r="B339" s="8" t="s">
        <v>58</v>
      </c>
      <c r="C339" s="8" t="s">
        <v>2</v>
      </c>
      <c r="D339" s="14">
        <v>20727</v>
      </c>
      <c r="E339" s="14">
        <v>455356</v>
      </c>
      <c r="F339" s="15">
        <v>56159</v>
      </c>
    </row>
    <row r="340" spans="1:6" x14ac:dyDescent="0.3">
      <c r="A340" s="7">
        <v>2020</v>
      </c>
      <c r="B340" s="8" t="s">
        <v>58</v>
      </c>
      <c r="C340" s="8" t="s">
        <v>3</v>
      </c>
      <c r="D340" s="14">
        <v>15656</v>
      </c>
      <c r="E340" s="14">
        <v>181169</v>
      </c>
      <c r="F340" s="15">
        <v>47435</v>
      </c>
    </row>
    <row r="341" spans="1:6" x14ac:dyDescent="0.3">
      <c r="A341" s="7">
        <v>2020</v>
      </c>
      <c r="B341" s="8" t="s">
        <v>58</v>
      </c>
      <c r="C341" s="8" t="s">
        <v>4</v>
      </c>
      <c r="D341" s="14">
        <v>656765</v>
      </c>
      <c r="E341" s="14">
        <v>2651781</v>
      </c>
      <c r="F341" s="15">
        <v>57668</v>
      </c>
    </row>
    <row r="342" spans="1:6" x14ac:dyDescent="0.3">
      <c r="A342" s="7">
        <v>2020</v>
      </c>
      <c r="B342" s="8" t="s">
        <v>58</v>
      </c>
      <c r="C342" s="8" t="s">
        <v>5</v>
      </c>
      <c r="D342" s="14">
        <v>23475</v>
      </c>
      <c r="E342" s="14">
        <v>332209</v>
      </c>
      <c r="F342" s="15">
        <v>55198</v>
      </c>
    </row>
    <row r="343" spans="1:6" x14ac:dyDescent="0.3">
      <c r="A343" s="7">
        <v>2020</v>
      </c>
      <c r="B343" s="8" t="s">
        <v>58</v>
      </c>
      <c r="C343" s="8" t="s">
        <v>6</v>
      </c>
      <c r="D343" s="14">
        <v>19964</v>
      </c>
      <c r="E343" s="14">
        <v>319881</v>
      </c>
      <c r="F343" s="15">
        <v>61215</v>
      </c>
    </row>
    <row r="344" spans="1:6" x14ac:dyDescent="0.3">
      <c r="A344" s="7">
        <v>2020</v>
      </c>
      <c r="B344" s="8" t="s">
        <v>58</v>
      </c>
      <c r="C344" s="8" t="s">
        <v>7</v>
      </c>
      <c r="D344" s="14">
        <v>5522</v>
      </c>
      <c r="E344" s="14">
        <v>74184</v>
      </c>
      <c r="F344" s="15">
        <v>57470</v>
      </c>
    </row>
    <row r="345" spans="1:6" x14ac:dyDescent="0.3">
      <c r="A345" s="7">
        <v>2020</v>
      </c>
      <c r="B345" s="8" t="s">
        <v>58</v>
      </c>
      <c r="C345" s="8" t="s">
        <v>8</v>
      </c>
      <c r="D345" s="14">
        <v>85058</v>
      </c>
      <c r="E345" s="14">
        <v>1293582</v>
      </c>
      <c r="F345" s="15">
        <v>55114</v>
      </c>
    </row>
    <row r="346" spans="1:6" x14ac:dyDescent="0.3">
      <c r="A346" s="7">
        <v>2020</v>
      </c>
      <c r="B346" s="8" t="s">
        <v>58</v>
      </c>
      <c r="C346" s="8" t="s">
        <v>9</v>
      </c>
      <c r="D346" s="14">
        <v>31842</v>
      </c>
      <c r="E346" s="14">
        <v>561390</v>
      </c>
      <c r="F346" s="15">
        <v>57141</v>
      </c>
    </row>
    <row r="347" spans="1:6" x14ac:dyDescent="0.3">
      <c r="A347" s="7">
        <v>2020</v>
      </c>
      <c r="B347" s="8" t="s">
        <v>58</v>
      </c>
      <c r="C347" s="8" t="s">
        <v>10</v>
      </c>
      <c r="D347" s="14">
        <v>9128</v>
      </c>
      <c r="E347" s="14">
        <v>106752</v>
      </c>
      <c r="F347" s="15">
        <v>45479</v>
      </c>
    </row>
    <row r="348" spans="1:6" x14ac:dyDescent="0.3">
      <c r="A348" s="7">
        <v>2020</v>
      </c>
      <c r="B348" s="8" t="s">
        <v>58</v>
      </c>
      <c r="C348" s="8" t="s">
        <v>11</v>
      </c>
      <c r="D348" s="14">
        <v>39684</v>
      </c>
      <c r="E348" s="14">
        <v>882088</v>
      </c>
      <c r="F348" s="15">
        <v>55678</v>
      </c>
    </row>
    <row r="349" spans="1:6" x14ac:dyDescent="0.3">
      <c r="A349" s="7">
        <v>2020</v>
      </c>
      <c r="B349" s="8" t="s">
        <v>58</v>
      </c>
      <c r="C349" s="8" t="s">
        <v>12</v>
      </c>
      <c r="D349" s="14">
        <v>16899</v>
      </c>
      <c r="E349" s="14">
        <v>451743</v>
      </c>
      <c r="F349" s="15">
        <v>52802</v>
      </c>
    </row>
    <row r="350" spans="1:6" x14ac:dyDescent="0.3">
      <c r="A350" s="7">
        <v>2020</v>
      </c>
      <c r="B350" s="8" t="s">
        <v>58</v>
      </c>
      <c r="C350" s="8" t="s">
        <v>13</v>
      </c>
      <c r="D350" s="14">
        <v>13294</v>
      </c>
      <c r="E350" s="14">
        <v>209301</v>
      </c>
      <c r="F350" s="15">
        <v>47222</v>
      </c>
    </row>
    <row r="351" spans="1:6" x14ac:dyDescent="0.3">
      <c r="A351" s="7">
        <v>2020</v>
      </c>
      <c r="B351" s="8" t="s">
        <v>58</v>
      </c>
      <c r="C351" s="8" t="s">
        <v>14</v>
      </c>
      <c r="D351" s="14">
        <v>10330</v>
      </c>
      <c r="E351" s="14">
        <v>194569</v>
      </c>
      <c r="F351" s="15">
        <v>48486</v>
      </c>
    </row>
    <row r="352" spans="1:6" x14ac:dyDescent="0.3">
      <c r="A352" s="7">
        <v>2020</v>
      </c>
      <c r="B352" s="8" t="s">
        <v>58</v>
      </c>
      <c r="C352" s="8" t="s">
        <v>15</v>
      </c>
      <c r="D352" s="14">
        <v>20809</v>
      </c>
      <c r="E352" s="14">
        <v>263195</v>
      </c>
      <c r="F352" s="15">
        <v>52098</v>
      </c>
    </row>
    <row r="353" spans="1:6" x14ac:dyDescent="0.3">
      <c r="A353" s="7">
        <v>2020</v>
      </c>
      <c r="B353" s="8" t="s">
        <v>58</v>
      </c>
      <c r="C353" s="8" t="s">
        <v>16</v>
      </c>
      <c r="D353" s="14">
        <v>16834</v>
      </c>
      <c r="E353" s="14">
        <v>296324</v>
      </c>
      <c r="F353" s="15">
        <v>48222</v>
      </c>
    </row>
    <row r="354" spans="1:6" x14ac:dyDescent="0.3">
      <c r="A354" s="7">
        <v>2020</v>
      </c>
      <c r="B354" s="8" t="s">
        <v>58</v>
      </c>
      <c r="C354" s="8" t="s">
        <v>17</v>
      </c>
      <c r="D354" s="14">
        <v>5591</v>
      </c>
      <c r="E354" s="14">
        <v>115511</v>
      </c>
      <c r="F354" s="15">
        <v>53739</v>
      </c>
    </row>
    <row r="355" spans="1:6" x14ac:dyDescent="0.3">
      <c r="A355" s="7">
        <v>2020</v>
      </c>
      <c r="B355" s="8" t="s">
        <v>58</v>
      </c>
      <c r="C355" s="8" t="s">
        <v>18</v>
      </c>
      <c r="D355" s="14">
        <v>21505</v>
      </c>
      <c r="E355" s="14">
        <v>420463</v>
      </c>
      <c r="F355" s="15">
        <v>59854</v>
      </c>
    </row>
    <row r="356" spans="1:6" x14ac:dyDescent="0.3">
      <c r="A356" s="7">
        <v>2020</v>
      </c>
      <c r="B356" s="8" t="s">
        <v>58</v>
      </c>
      <c r="C356" s="8" t="s">
        <v>19</v>
      </c>
      <c r="D356" s="14">
        <v>71270</v>
      </c>
      <c r="E356" s="14">
        <v>742606</v>
      </c>
      <c r="F356" s="15">
        <v>64556</v>
      </c>
    </row>
    <row r="357" spans="1:6" x14ac:dyDescent="0.3">
      <c r="A357" s="7">
        <v>2020</v>
      </c>
      <c r="B357" s="8" t="s">
        <v>58</v>
      </c>
      <c r="C357" s="8" t="s">
        <v>20</v>
      </c>
      <c r="D357" s="14">
        <v>32965</v>
      </c>
      <c r="E357" s="14">
        <v>622119</v>
      </c>
      <c r="F357" s="15">
        <v>54163</v>
      </c>
    </row>
    <row r="358" spans="1:6" x14ac:dyDescent="0.3">
      <c r="A358" s="7">
        <v>2020</v>
      </c>
      <c r="B358" s="8" t="s">
        <v>58</v>
      </c>
      <c r="C358" s="8" t="s">
        <v>21</v>
      </c>
      <c r="D358" s="14">
        <v>22985</v>
      </c>
      <c r="E358" s="14">
        <v>513228</v>
      </c>
      <c r="F358" s="15">
        <v>55127</v>
      </c>
    </row>
    <row r="359" spans="1:6" x14ac:dyDescent="0.3">
      <c r="A359" s="7">
        <v>2020</v>
      </c>
      <c r="B359" s="8" t="s">
        <v>58</v>
      </c>
      <c r="C359" s="8" t="s">
        <v>22</v>
      </c>
      <c r="D359" s="14">
        <v>7693</v>
      </c>
      <c r="E359" s="14">
        <v>138876</v>
      </c>
      <c r="F359" s="15">
        <v>45670</v>
      </c>
    </row>
    <row r="360" spans="1:6" x14ac:dyDescent="0.3">
      <c r="A360" s="7">
        <v>2020</v>
      </c>
      <c r="B360" s="8" t="s">
        <v>58</v>
      </c>
      <c r="C360" s="8" t="s">
        <v>23</v>
      </c>
      <c r="D360" s="14">
        <v>56134</v>
      </c>
      <c r="E360" s="14">
        <v>448355</v>
      </c>
      <c r="F360" s="15">
        <v>50460</v>
      </c>
    </row>
    <row r="361" spans="1:6" x14ac:dyDescent="0.3">
      <c r="A361" s="7">
        <v>2020</v>
      </c>
      <c r="B361" s="8" t="s">
        <v>58</v>
      </c>
      <c r="C361" s="8" t="s">
        <v>24</v>
      </c>
      <c r="D361" s="14">
        <v>5112</v>
      </c>
      <c r="E361" s="14">
        <v>73374</v>
      </c>
      <c r="F361" s="15">
        <v>52612</v>
      </c>
    </row>
    <row r="362" spans="1:6" x14ac:dyDescent="0.3">
      <c r="A362" s="7">
        <v>2020</v>
      </c>
      <c r="B362" s="8" t="s">
        <v>58</v>
      </c>
      <c r="C362" s="8" t="s">
        <v>25</v>
      </c>
      <c r="D362" s="14">
        <v>10522</v>
      </c>
      <c r="E362" s="14">
        <v>135205</v>
      </c>
      <c r="F362" s="15">
        <v>51740</v>
      </c>
    </row>
    <row r="363" spans="1:6" x14ac:dyDescent="0.3">
      <c r="A363" s="7">
        <v>2020</v>
      </c>
      <c r="B363" s="8" t="s">
        <v>58</v>
      </c>
      <c r="C363" s="8" t="s">
        <v>26</v>
      </c>
      <c r="D363" s="14">
        <v>9126</v>
      </c>
      <c r="E363" s="14">
        <v>139696</v>
      </c>
      <c r="F363" s="15">
        <v>58047</v>
      </c>
    </row>
    <row r="364" spans="1:6" x14ac:dyDescent="0.3">
      <c r="A364" s="7">
        <v>2020</v>
      </c>
      <c r="B364" s="8" t="s">
        <v>58</v>
      </c>
      <c r="C364" s="8" t="s">
        <v>27</v>
      </c>
      <c r="D364" s="14">
        <v>4900</v>
      </c>
      <c r="E364" s="14">
        <v>108757</v>
      </c>
      <c r="F364" s="15">
        <v>63675</v>
      </c>
    </row>
    <row r="365" spans="1:6" x14ac:dyDescent="0.3">
      <c r="A365" s="7">
        <v>2020</v>
      </c>
      <c r="B365" s="8" t="s">
        <v>58</v>
      </c>
      <c r="C365" s="8" t="s">
        <v>28</v>
      </c>
      <c r="D365" s="14">
        <v>43568</v>
      </c>
      <c r="E365" s="14">
        <v>622420</v>
      </c>
      <c r="F365" s="15">
        <v>60044</v>
      </c>
    </row>
    <row r="366" spans="1:6" x14ac:dyDescent="0.3">
      <c r="A366" s="7">
        <v>2020</v>
      </c>
      <c r="B366" s="8" t="s">
        <v>58</v>
      </c>
      <c r="C366" s="8" t="s">
        <v>29</v>
      </c>
      <c r="D366" s="14">
        <v>11448</v>
      </c>
      <c r="E366" s="14">
        <v>126459</v>
      </c>
      <c r="F366" s="15">
        <v>45191</v>
      </c>
    </row>
    <row r="367" spans="1:6" x14ac:dyDescent="0.3">
      <c r="A367" s="7">
        <v>2020</v>
      </c>
      <c r="B367" s="8" t="s">
        <v>58</v>
      </c>
      <c r="C367" s="8" t="s">
        <v>30</v>
      </c>
      <c r="D367" s="14">
        <v>67893</v>
      </c>
      <c r="E367" s="14">
        <v>1872526</v>
      </c>
      <c r="F367" s="15">
        <v>58936</v>
      </c>
    </row>
    <row r="368" spans="1:6" x14ac:dyDescent="0.3">
      <c r="A368" s="7">
        <v>2020</v>
      </c>
      <c r="B368" s="8" t="s">
        <v>58</v>
      </c>
      <c r="C368" s="8" t="s">
        <v>31</v>
      </c>
      <c r="D368" s="14">
        <v>29514</v>
      </c>
      <c r="E368" s="14">
        <v>584896</v>
      </c>
      <c r="F368" s="15">
        <v>53252</v>
      </c>
    </row>
    <row r="369" spans="1:6" x14ac:dyDescent="0.3">
      <c r="A369" s="7">
        <v>2020</v>
      </c>
      <c r="B369" s="8" t="s">
        <v>58</v>
      </c>
      <c r="C369" s="8" t="s">
        <v>32</v>
      </c>
      <c r="D369" s="14">
        <v>2737</v>
      </c>
      <c r="E369" s="14">
        <v>64418</v>
      </c>
      <c r="F369" s="15">
        <v>55234</v>
      </c>
    </row>
    <row r="370" spans="1:6" x14ac:dyDescent="0.3">
      <c r="A370" s="7">
        <v>2020</v>
      </c>
      <c r="B370" s="8" t="s">
        <v>58</v>
      </c>
      <c r="C370" s="8" t="s">
        <v>33</v>
      </c>
      <c r="D370" s="14">
        <v>35930</v>
      </c>
      <c r="E370" s="14">
        <v>868191</v>
      </c>
      <c r="F370" s="15">
        <v>51366</v>
      </c>
    </row>
    <row r="371" spans="1:6" x14ac:dyDescent="0.3">
      <c r="A371" s="7">
        <v>2020</v>
      </c>
      <c r="B371" s="8" t="s">
        <v>58</v>
      </c>
      <c r="C371" s="8" t="s">
        <v>34</v>
      </c>
      <c r="D371" s="14">
        <v>13656</v>
      </c>
      <c r="E371" s="14">
        <v>209679</v>
      </c>
      <c r="F371" s="15">
        <v>49095</v>
      </c>
    </row>
    <row r="372" spans="1:6" x14ac:dyDescent="0.3">
      <c r="A372" s="7">
        <v>2020</v>
      </c>
      <c r="B372" s="8" t="s">
        <v>58</v>
      </c>
      <c r="C372" s="8" t="s">
        <v>35</v>
      </c>
      <c r="D372" s="14">
        <v>28106</v>
      </c>
      <c r="E372" s="14">
        <v>292631</v>
      </c>
      <c r="F372" s="15">
        <v>54216</v>
      </c>
    </row>
    <row r="373" spans="1:6" x14ac:dyDescent="0.3">
      <c r="A373" s="7">
        <v>2020</v>
      </c>
      <c r="B373" s="8" t="s">
        <v>58</v>
      </c>
      <c r="C373" s="8" t="s">
        <v>36</v>
      </c>
      <c r="D373" s="14">
        <v>57935</v>
      </c>
      <c r="E373" s="14">
        <v>1179840</v>
      </c>
      <c r="F373" s="15">
        <v>57087</v>
      </c>
    </row>
    <row r="374" spans="1:6" x14ac:dyDescent="0.3">
      <c r="A374" s="7">
        <v>2020</v>
      </c>
      <c r="B374" s="8" t="s">
        <v>58</v>
      </c>
      <c r="C374" s="8" t="s">
        <v>37</v>
      </c>
      <c r="D374" s="14">
        <v>4907</v>
      </c>
      <c r="E374" s="14">
        <v>95079</v>
      </c>
      <c r="F374" s="15">
        <v>54510</v>
      </c>
    </row>
    <row r="375" spans="1:6" x14ac:dyDescent="0.3">
      <c r="A375" s="7">
        <v>2020</v>
      </c>
      <c r="B375" s="8" t="s">
        <v>58</v>
      </c>
      <c r="C375" s="8" t="s">
        <v>38</v>
      </c>
      <c r="D375" s="14">
        <v>15612</v>
      </c>
      <c r="E375" s="14">
        <v>231072</v>
      </c>
      <c r="F375" s="15">
        <v>50055</v>
      </c>
    </row>
    <row r="376" spans="1:6" x14ac:dyDescent="0.3">
      <c r="A376" s="7">
        <v>2020</v>
      </c>
      <c r="B376" s="8" t="s">
        <v>58</v>
      </c>
      <c r="C376" s="8" t="s">
        <v>39</v>
      </c>
      <c r="D376" s="14">
        <v>2934</v>
      </c>
      <c r="E376" s="14">
        <v>68990</v>
      </c>
      <c r="F376" s="15">
        <v>57054</v>
      </c>
    </row>
    <row r="377" spans="1:6" x14ac:dyDescent="0.3">
      <c r="A377" s="7">
        <v>2020</v>
      </c>
      <c r="B377" s="8" t="s">
        <v>58</v>
      </c>
      <c r="C377" s="8" t="s">
        <v>40</v>
      </c>
      <c r="D377" s="14">
        <v>21213</v>
      </c>
      <c r="E377" s="14">
        <v>421097</v>
      </c>
      <c r="F377" s="15">
        <v>56401</v>
      </c>
    </row>
    <row r="378" spans="1:6" x14ac:dyDescent="0.3">
      <c r="A378" s="7">
        <v>2020</v>
      </c>
      <c r="B378" s="8" t="s">
        <v>58</v>
      </c>
      <c r="C378" s="8" t="s">
        <v>41</v>
      </c>
      <c r="D378" s="14">
        <v>98681</v>
      </c>
      <c r="E378" s="14">
        <v>1646144</v>
      </c>
      <c r="F378" s="15">
        <v>51856</v>
      </c>
    </row>
    <row r="379" spans="1:6" x14ac:dyDescent="0.3">
      <c r="A379" s="7">
        <v>2020</v>
      </c>
      <c r="B379" s="8" t="s">
        <v>58</v>
      </c>
      <c r="C379" s="8" t="s">
        <v>42</v>
      </c>
      <c r="D379" s="14">
        <v>13463</v>
      </c>
      <c r="E379" s="14">
        <v>193157</v>
      </c>
      <c r="F379" s="15">
        <v>48260</v>
      </c>
    </row>
    <row r="380" spans="1:6" x14ac:dyDescent="0.3">
      <c r="A380" s="7">
        <v>2020</v>
      </c>
      <c r="B380" s="8" t="s">
        <v>58</v>
      </c>
      <c r="C380" s="8" t="s">
        <v>43</v>
      </c>
      <c r="D380" s="14">
        <v>2516</v>
      </c>
      <c r="E380" s="14">
        <v>58443</v>
      </c>
      <c r="F380" s="15">
        <v>52779</v>
      </c>
    </row>
    <row r="381" spans="1:6" x14ac:dyDescent="0.3">
      <c r="A381" s="7">
        <v>2020</v>
      </c>
      <c r="B381" s="8" t="s">
        <v>58</v>
      </c>
      <c r="C381" s="8" t="s">
        <v>44</v>
      </c>
      <c r="D381" s="14">
        <v>49705</v>
      </c>
      <c r="E381" s="14">
        <v>492598</v>
      </c>
      <c r="F381" s="15">
        <v>54119</v>
      </c>
    </row>
    <row r="382" spans="1:6" x14ac:dyDescent="0.3">
      <c r="A382" s="7">
        <v>2020</v>
      </c>
      <c r="B382" s="8" t="s">
        <v>58</v>
      </c>
      <c r="C382" s="8" t="s">
        <v>45</v>
      </c>
      <c r="D382" s="14">
        <v>74944</v>
      </c>
      <c r="E382" s="14">
        <v>468495</v>
      </c>
      <c r="F382" s="15">
        <v>55544</v>
      </c>
    </row>
    <row r="383" spans="1:6" x14ac:dyDescent="0.3">
      <c r="A383" s="7">
        <v>2020</v>
      </c>
      <c r="B383" s="8" t="s">
        <v>58</v>
      </c>
      <c r="C383" s="8" t="s">
        <v>46</v>
      </c>
      <c r="D383" s="14">
        <v>8500</v>
      </c>
      <c r="E383" s="14">
        <v>124604</v>
      </c>
      <c r="F383" s="15">
        <v>50597</v>
      </c>
    </row>
    <row r="384" spans="1:6" x14ac:dyDescent="0.3">
      <c r="A384" s="7">
        <v>2020</v>
      </c>
      <c r="B384" s="8" t="s">
        <v>58</v>
      </c>
      <c r="C384" s="8" t="s">
        <v>47</v>
      </c>
      <c r="D384" s="14">
        <v>31125</v>
      </c>
      <c r="E384" s="14">
        <v>427152</v>
      </c>
      <c r="F384" s="15">
        <v>52993</v>
      </c>
    </row>
    <row r="385" spans="1:6" x14ac:dyDescent="0.3">
      <c r="A385" s="7">
        <v>2020</v>
      </c>
      <c r="B385" s="8" t="s">
        <v>58</v>
      </c>
      <c r="C385" s="8" t="s">
        <v>48</v>
      </c>
      <c r="D385" s="14">
        <v>3485</v>
      </c>
      <c r="E385" s="14">
        <v>26942</v>
      </c>
      <c r="F385" s="15">
        <v>46334</v>
      </c>
    </row>
    <row r="386" spans="1:6" x14ac:dyDescent="0.3">
      <c r="A386" s="7">
        <v>2020</v>
      </c>
      <c r="B386" s="8" t="s">
        <v>59</v>
      </c>
      <c r="C386" s="8" t="s">
        <v>1</v>
      </c>
      <c r="D386" s="14">
        <v>11221</v>
      </c>
      <c r="E386" s="14">
        <v>178057</v>
      </c>
      <c r="F386" s="15">
        <v>18554</v>
      </c>
    </row>
    <row r="387" spans="1:6" x14ac:dyDescent="0.3">
      <c r="A387" s="7">
        <v>2020</v>
      </c>
      <c r="B387" s="8" t="s">
        <v>59</v>
      </c>
      <c r="C387" s="8" t="s">
        <v>2</v>
      </c>
      <c r="D387" s="14">
        <v>14444</v>
      </c>
      <c r="E387" s="14">
        <v>274985</v>
      </c>
      <c r="F387" s="15">
        <v>26810</v>
      </c>
    </row>
    <row r="388" spans="1:6" x14ac:dyDescent="0.3">
      <c r="A388" s="7">
        <v>2020</v>
      </c>
      <c r="B388" s="8" t="s">
        <v>59</v>
      </c>
      <c r="C388" s="8" t="s">
        <v>3</v>
      </c>
      <c r="D388" s="14">
        <v>7458</v>
      </c>
      <c r="E388" s="14">
        <v>106295</v>
      </c>
      <c r="F388" s="15">
        <v>18414</v>
      </c>
    </row>
    <row r="389" spans="1:6" x14ac:dyDescent="0.3">
      <c r="A389" s="7">
        <v>2020</v>
      </c>
      <c r="B389" s="8" t="s">
        <v>59</v>
      </c>
      <c r="C389" s="8" t="s">
        <v>4</v>
      </c>
      <c r="D389" s="14">
        <v>117833</v>
      </c>
      <c r="E389" s="14">
        <v>1482600</v>
      </c>
      <c r="F389" s="15">
        <v>36090</v>
      </c>
    </row>
    <row r="390" spans="1:6" x14ac:dyDescent="0.3">
      <c r="A390" s="7">
        <v>2020</v>
      </c>
      <c r="B390" s="8" t="s">
        <v>59</v>
      </c>
      <c r="C390" s="8" t="s">
        <v>5</v>
      </c>
      <c r="D390" s="14">
        <v>17650</v>
      </c>
      <c r="E390" s="14">
        <v>271680</v>
      </c>
      <c r="F390" s="15">
        <v>28424</v>
      </c>
    </row>
    <row r="391" spans="1:6" x14ac:dyDescent="0.3">
      <c r="A391" s="7">
        <v>2020</v>
      </c>
      <c r="B391" s="8" t="s">
        <v>59</v>
      </c>
      <c r="C391" s="8" t="s">
        <v>6</v>
      </c>
      <c r="D391" s="14">
        <v>10916</v>
      </c>
      <c r="E391" s="14">
        <v>117365</v>
      </c>
      <c r="F391" s="15">
        <v>26295</v>
      </c>
    </row>
    <row r="392" spans="1:6" x14ac:dyDescent="0.3">
      <c r="A392" s="7">
        <v>2020</v>
      </c>
      <c r="B392" s="8" t="s">
        <v>59</v>
      </c>
      <c r="C392" s="8" t="s">
        <v>7</v>
      </c>
      <c r="D392" s="14">
        <v>2698</v>
      </c>
      <c r="E392" s="14">
        <v>41103</v>
      </c>
      <c r="F392" s="15">
        <v>22228</v>
      </c>
    </row>
    <row r="393" spans="1:6" x14ac:dyDescent="0.3">
      <c r="A393" s="7">
        <v>2020</v>
      </c>
      <c r="B393" s="8" t="s">
        <v>59</v>
      </c>
      <c r="C393" s="8" t="s">
        <v>8</v>
      </c>
      <c r="D393" s="14">
        <v>59645</v>
      </c>
      <c r="E393" s="14">
        <v>1007574</v>
      </c>
      <c r="F393" s="15">
        <v>27709</v>
      </c>
    </row>
    <row r="394" spans="1:6" x14ac:dyDescent="0.3">
      <c r="A394" s="7">
        <v>2020</v>
      </c>
      <c r="B394" s="8" t="s">
        <v>59</v>
      </c>
      <c r="C394" s="8" t="s">
        <v>9</v>
      </c>
      <c r="D394" s="14">
        <v>26741</v>
      </c>
      <c r="E394" s="14">
        <v>414059</v>
      </c>
      <c r="F394" s="15">
        <v>22009</v>
      </c>
    </row>
    <row r="395" spans="1:6" x14ac:dyDescent="0.3">
      <c r="A395" s="7">
        <v>2020</v>
      </c>
      <c r="B395" s="8" t="s">
        <v>59</v>
      </c>
      <c r="C395" s="8" t="s">
        <v>10</v>
      </c>
      <c r="D395" s="14">
        <v>5242</v>
      </c>
      <c r="E395" s="14">
        <v>74574</v>
      </c>
      <c r="F395" s="15">
        <v>18637</v>
      </c>
    </row>
    <row r="396" spans="1:6" x14ac:dyDescent="0.3">
      <c r="A396" s="7">
        <v>2020</v>
      </c>
      <c r="B396" s="8" t="s">
        <v>59</v>
      </c>
      <c r="C396" s="8" t="s">
        <v>11</v>
      </c>
      <c r="D396" s="14">
        <v>32842</v>
      </c>
      <c r="E396" s="14">
        <v>462216</v>
      </c>
      <c r="F396" s="15">
        <v>25054</v>
      </c>
    </row>
    <row r="397" spans="1:6" x14ac:dyDescent="0.3">
      <c r="A397" s="7">
        <v>2020</v>
      </c>
      <c r="B397" s="8" t="s">
        <v>59</v>
      </c>
      <c r="C397" s="8" t="s">
        <v>12</v>
      </c>
      <c r="D397" s="14">
        <v>16068</v>
      </c>
      <c r="E397" s="14">
        <v>263892</v>
      </c>
      <c r="F397" s="15">
        <v>20493</v>
      </c>
    </row>
    <row r="398" spans="1:6" x14ac:dyDescent="0.3">
      <c r="A398" s="7">
        <v>2020</v>
      </c>
      <c r="B398" s="8" t="s">
        <v>59</v>
      </c>
      <c r="C398" s="8" t="s">
        <v>13</v>
      </c>
      <c r="D398" s="14">
        <v>8734</v>
      </c>
      <c r="E398" s="14">
        <v>118383</v>
      </c>
      <c r="F398" s="15">
        <v>18002</v>
      </c>
    </row>
    <row r="399" spans="1:6" x14ac:dyDescent="0.3">
      <c r="A399" s="7">
        <v>2020</v>
      </c>
      <c r="B399" s="8" t="s">
        <v>59</v>
      </c>
      <c r="C399" s="8" t="s">
        <v>14</v>
      </c>
      <c r="D399" s="14">
        <v>6792</v>
      </c>
      <c r="E399" s="14">
        <v>110526</v>
      </c>
      <c r="F399" s="15">
        <v>18088</v>
      </c>
    </row>
    <row r="400" spans="1:6" x14ac:dyDescent="0.3">
      <c r="A400" s="7">
        <v>2020</v>
      </c>
      <c r="B400" s="8" t="s">
        <v>59</v>
      </c>
      <c r="C400" s="8" t="s">
        <v>15</v>
      </c>
      <c r="D400" s="14">
        <v>10331</v>
      </c>
      <c r="E400" s="14">
        <v>165335</v>
      </c>
      <c r="F400" s="15">
        <v>19522</v>
      </c>
    </row>
    <row r="401" spans="1:6" x14ac:dyDescent="0.3">
      <c r="A401" s="7">
        <v>2020</v>
      </c>
      <c r="B401" s="8" t="s">
        <v>59</v>
      </c>
      <c r="C401" s="8" t="s">
        <v>16</v>
      </c>
      <c r="D401" s="14">
        <v>13351</v>
      </c>
      <c r="E401" s="14">
        <v>188383</v>
      </c>
      <c r="F401" s="15">
        <v>22216</v>
      </c>
    </row>
    <row r="402" spans="1:6" x14ac:dyDescent="0.3">
      <c r="A402" s="7">
        <v>2020</v>
      </c>
      <c r="B402" s="8" t="s">
        <v>59</v>
      </c>
      <c r="C402" s="8" t="s">
        <v>17</v>
      </c>
      <c r="D402" s="14">
        <v>5172</v>
      </c>
      <c r="E402" s="14">
        <v>51781</v>
      </c>
      <c r="F402" s="15">
        <v>25112</v>
      </c>
    </row>
    <row r="403" spans="1:6" x14ac:dyDescent="0.3">
      <c r="A403" s="7">
        <v>2020</v>
      </c>
      <c r="B403" s="8" t="s">
        <v>59</v>
      </c>
      <c r="C403" s="8" t="s">
        <v>18</v>
      </c>
      <c r="D403" s="14">
        <v>14823</v>
      </c>
      <c r="E403" s="14">
        <v>210848</v>
      </c>
      <c r="F403" s="15">
        <v>26383</v>
      </c>
    </row>
    <row r="404" spans="1:6" x14ac:dyDescent="0.3">
      <c r="A404" s="7">
        <v>2020</v>
      </c>
      <c r="B404" s="8" t="s">
        <v>59</v>
      </c>
      <c r="C404" s="8" t="s">
        <v>19</v>
      </c>
      <c r="D404" s="14">
        <v>20158</v>
      </c>
      <c r="E404" s="14">
        <v>262049</v>
      </c>
      <c r="F404" s="15">
        <v>30457</v>
      </c>
    </row>
    <row r="405" spans="1:6" x14ac:dyDescent="0.3">
      <c r="A405" s="7">
        <v>2020</v>
      </c>
      <c r="B405" s="8" t="s">
        <v>59</v>
      </c>
      <c r="C405" s="8" t="s">
        <v>20</v>
      </c>
      <c r="D405" s="14">
        <v>23032</v>
      </c>
      <c r="E405" s="14">
        <v>323435</v>
      </c>
      <c r="F405" s="15">
        <v>22254</v>
      </c>
    </row>
    <row r="406" spans="1:6" x14ac:dyDescent="0.3">
      <c r="A406" s="7">
        <v>2020</v>
      </c>
      <c r="B406" s="8" t="s">
        <v>59</v>
      </c>
      <c r="C406" s="8" t="s">
        <v>21</v>
      </c>
      <c r="D406" s="14">
        <v>15355</v>
      </c>
      <c r="E406" s="14">
        <v>204519</v>
      </c>
      <c r="F406" s="15">
        <v>24167</v>
      </c>
    </row>
    <row r="407" spans="1:6" x14ac:dyDescent="0.3">
      <c r="A407" s="7">
        <v>2020</v>
      </c>
      <c r="B407" s="8" t="s">
        <v>59</v>
      </c>
      <c r="C407" s="8" t="s">
        <v>22</v>
      </c>
      <c r="D407" s="14">
        <v>6644</v>
      </c>
      <c r="E407" s="14">
        <v>118107</v>
      </c>
      <c r="F407" s="15">
        <v>18380</v>
      </c>
    </row>
    <row r="408" spans="1:6" x14ac:dyDescent="0.3">
      <c r="A408" s="7">
        <v>2020</v>
      </c>
      <c r="B408" s="8" t="s">
        <v>59</v>
      </c>
      <c r="C408" s="8" t="s">
        <v>23</v>
      </c>
      <c r="D408" s="14">
        <v>15398</v>
      </c>
      <c r="E408" s="14">
        <v>253244</v>
      </c>
      <c r="F408" s="15">
        <v>22154</v>
      </c>
    </row>
    <row r="409" spans="1:6" x14ac:dyDescent="0.3">
      <c r="A409" s="7">
        <v>2020</v>
      </c>
      <c r="B409" s="8" t="s">
        <v>59</v>
      </c>
      <c r="C409" s="8" t="s">
        <v>24</v>
      </c>
      <c r="D409" s="14">
        <v>5182</v>
      </c>
      <c r="E409" s="14">
        <v>58811</v>
      </c>
      <c r="F409" s="15">
        <v>21078</v>
      </c>
    </row>
    <row r="410" spans="1:6" x14ac:dyDescent="0.3">
      <c r="A410" s="7">
        <v>2020</v>
      </c>
      <c r="B410" s="8" t="s">
        <v>59</v>
      </c>
      <c r="C410" s="8" t="s">
        <v>25</v>
      </c>
      <c r="D410" s="14">
        <v>5552</v>
      </c>
      <c r="E410" s="14">
        <v>79529</v>
      </c>
      <c r="F410" s="15">
        <v>18131</v>
      </c>
    </row>
    <row r="411" spans="1:6" x14ac:dyDescent="0.3">
      <c r="A411" s="7">
        <v>2020</v>
      </c>
      <c r="B411" s="8" t="s">
        <v>59</v>
      </c>
      <c r="C411" s="8" t="s">
        <v>26</v>
      </c>
      <c r="D411" s="14">
        <v>8698</v>
      </c>
      <c r="E411" s="14">
        <v>255447</v>
      </c>
      <c r="F411" s="15">
        <v>34061</v>
      </c>
    </row>
    <row r="412" spans="1:6" x14ac:dyDescent="0.3">
      <c r="A412" s="7">
        <v>2020</v>
      </c>
      <c r="B412" s="8" t="s">
        <v>59</v>
      </c>
      <c r="C412" s="8" t="s">
        <v>27</v>
      </c>
      <c r="D412" s="14">
        <v>4677</v>
      </c>
      <c r="E412" s="14">
        <v>57132</v>
      </c>
      <c r="F412" s="15">
        <v>24729</v>
      </c>
    </row>
    <row r="413" spans="1:6" x14ac:dyDescent="0.3">
      <c r="A413" s="7">
        <v>2020</v>
      </c>
      <c r="B413" s="8" t="s">
        <v>59</v>
      </c>
      <c r="C413" s="8" t="s">
        <v>28</v>
      </c>
      <c r="D413" s="14">
        <v>24584</v>
      </c>
      <c r="E413" s="14">
        <v>281546</v>
      </c>
      <c r="F413" s="15">
        <v>28639</v>
      </c>
    </row>
    <row r="414" spans="1:6" x14ac:dyDescent="0.3">
      <c r="A414" s="7">
        <v>2020</v>
      </c>
      <c r="B414" s="8" t="s">
        <v>59</v>
      </c>
      <c r="C414" s="8" t="s">
        <v>29</v>
      </c>
      <c r="D414" s="14">
        <v>5276</v>
      </c>
      <c r="E414" s="14">
        <v>78539</v>
      </c>
      <c r="F414" s="15">
        <v>19988</v>
      </c>
    </row>
    <row r="415" spans="1:6" x14ac:dyDescent="0.3">
      <c r="A415" s="7">
        <v>2020</v>
      </c>
      <c r="B415" s="8" t="s">
        <v>59</v>
      </c>
      <c r="C415" s="8" t="s">
        <v>30</v>
      </c>
      <c r="D415" s="14">
        <v>64959</v>
      </c>
      <c r="E415" s="14">
        <v>632760</v>
      </c>
      <c r="F415" s="15">
        <v>36986</v>
      </c>
    </row>
    <row r="416" spans="1:6" x14ac:dyDescent="0.3">
      <c r="A416" s="7">
        <v>2020</v>
      </c>
      <c r="B416" s="8" t="s">
        <v>59</v>
      </c>
      <c r="C416" s="8" t="s">
        <v>31</v>
      </c>
      <c r="D416" s="14">
        <v>27015</v>
      </c>
      <c r="E416" s="14">
        <v>420420</v>
      </c>
      <c r="F416" s="15">
        <v>21462</v>
      </c>
    </row>
    <row r="417" spans="1:6" x14ac:dyDescent="0.3">
      <c r="A417" s="7">
        <v>2020</v>
      </c>
      <c r="B417" s="8" t="s">
        <v>59</v>
      </c>
      <c r="C417" s="8" t="s">
        <v>32</v>
      </c>
      <c r="D417" s="14">
        <v>2621</v>
      </c>
      <c r="E417" s="14">
        <v>34228</v>
      </c>
      <c r="F417" s="15">
        <v>19193</v>
      </c>
    </row>
    <row r="418" spans="1:6" x14ac:dyDescent="0.3">
      <c r="A418" s="7">
        <v>2020</v>
      </c>
      <c r="B418" s="8" t="s">
        <v>59</v>
      </c>
      <c r="C418" s="8" t="s">
        <v>33</v>
      </c>
      <c r="D418" s="14">
        <v>29197</v>
      </c>
      <c r="E418" s="14">
        <v>466069</v>
      </c>
      <c r="F418" s="15">
        <v>21027</v>
      </c>
    </row>
    <row r="419" spans="1:6" x14ac:dyDescent="0.3">
      <c r="A419" s="7">
        <v>2020</v>
      </c>
      <c r="B419" s="8" t="s">
        <v>59</v>
      </c>
      <c r="C419" s="8" t="s">
        <v>34</v>
      </c>
      <c r="D419" s="14">
        <v>9364</v>
      </c>
      <c r="E419" s="14">
        <v>156230</v>
      </c>
      <c r="F419" s="15">
        <v>19310</v>
      </c>
    </row>
    <row r="420" spans="1:6" x14ac:dyDescent="0.3">
      <c r="A420" s="7">
        <v>2020</v>
      </c>
      <c r="B420" s="8" t="s">
        <v>59</v>
      </c>
      <c r="C420" s="8" t="s">
        <v>35</v>
      </c>
      <c r="D420" s="14">
        <v>13993</v>
      </c>
      <c r="E420" s="14">
        <v>161570</v>
      </c>
      <c r="F420" s="15">
        <v>24338</v>
      </c>
    </row>
    <row r="421" spans="1:6" x14ac:dyDescent="0.3">
      <c r="A421" s="7">
        <v>2020</v>
      </c>
      <c r="B421" s="8" t="s">
        <v>59</v>
      </c>
      <c r="C421" s="8" t="s">
        <v>36</v>
      </c>
      <c r="D421" s="14">
        <v>33532</v>
      </c>
      <c r="E421" s="14">
        <v>424092</v>
      </c>
      <c r="F421" s="15">
        <v>22945</v>
      </c>
    </row>
    <row r="422" spans="1:6" x14ac:dyDescent="0.3">
      <c r="A422" s="7">
        <v>2020</v>
      </c>
      <c r="B422" s="8" t="s">
        <v>59</v>
      </c>
      <c r="C422" s="8" t="s">
        <v>37</v>
      </c>
      <c r="D422" s="14">
        <v>3890</v>
      </c>
      <c r="E422" s="14">
        <v>44621</v>
      </c>
      <c r="F422" s="15">
        <v>24733</v>
      </c>
    </row>
    <row r="423" spans="1:6" x14ac:dyDescent="0.3">
      <c r="A423" s="7">
        <v>2020</v>
      </c>
      <c r="B423" s="8" t="s">
        <v>59</v>
      </c>
      <c r="C423" s="8" t="s">
        <v>38</v>
      </c>
      <c r="D423" s="14">
        <v>13676</v>
      </c>
      <c r="E423" s="14">
        <v>226959</v>
      </c>
      <c r="F423" s="15">
        <v>19677</v>
      </c>
    </row>
    <row r="424" spans="1:6" x14ac:dyDescent="0.3">
      <c r="A424" s="7">
        <v>2020</v>
      </c>
      <c r="B424" s="8" t="s">
        <v>59</v>
      </c>
      <c r="C424" s="8" t="s">
        <v>39</v>
      </c>
      <c r="D424" s="14">
        <v>3184</v>
      </c>
      <c r="E424" s="14">
        <v>41000</v>
      </c>
      <c r="F424" s="15">
        <v>18829</v>
      </c>
    </row>
    <row r="425" spans="1:6" x14ac:dyDescent="0.3">
      <c r="A425" s="7">
        <v>2020</v>
      </c>
      <c r="B425" s="8" t="s">
        <v>59</v>
      </c>
      <c r="C425" s="8" t="s">
        <v>40</v>
      </c>
      <c r="D425" s="14">
        <v>17443</v>
      </c>
      <c r="E425" s="14">
        <v>293033</v>
      </c>
      <c r="F425" s="15">
        <v>23771</v>
      </c>
    </row>
    <row r="426" spans="1:6" x14ac:dyDescent="0.3">
      <c r="A426" s="7">
        <v>2020</v>
      </c>
      <c r="B426" s="8" t="s">
        <v>59</v>
      </c>
      <c r="C426" s="8" t="s">
        <v>41</v>
      </c>
      <c r="D426" s="14">
        <v>66777</v>
      </c>
      <c r="E426" s="14">
        <v>1178456</v>
      </c>
      <c r="F426" s="15">
        <v>23001</v>
      </c>
    </row>
    <row r="427" spans="1:6" x14ac:dyDescent="0.3">
      <c r="A427" s="7">
        <v>2020</v>
      </c>
      <c r="B427" s="8" t="s">
        <v>59</v>
      </c>
      <c r="C427" s="8" t="s">
        <v>42</v>
      </c>
      <c r="D427" s="14">
        <v>7766</v>
      </c>
      <c r="E427" s="14">
        <v>133375</v>
      </c>
      <c r="F427" s="15">
        <v>21580</v>
      </c>
    </row>
    <row r="428" spans="1:6" x14ac:dyDescent="0.3">
      <c r="A428" s="7">
        <v>2020</v>
      </c>
      <c r="B428" s="8" t="s">
        <v>59</v>
      </c>
      <c r="C428" s="8" t="s">
        <v>43</v>
      </c>
      <c r="D428" s="14">
        <v>2220</v>
      </c>
      <c r="E428" s="14">
        <v>25985</v>
      </c>
      <c r="F428" s="15">
        <v>26068</v>
      </c>
    </row>
    <row r="429" spans="1:6" x14ac:dyDescent="0.3">
      <c r="A429" s="7">
        <v>2020</v>
      </c>
      <c r="B429" s="8" t="s">
        <v>59</v>
      </c>
      <c r="C429" s="8" t="s">
        <v>44</v>
      </c>
      <c r="D429" s="14">
        <v>20954</v>
      </c>
      <c r="E429" s="14">
        <v>322216</v>
      </c>
      <c r="F429" s="15">
        <v>22634</v>
      </c>
    </row>
    <row r="430" spans="1:6" x14ac:dyDescent="0.3">
      <c r="A430" s="7">
        <v>2020</v>
      </c>
      <c r="B430" s="8" t="s">
        <v>59</v>
      </c>
      <c r="C430" s="8" t="s">
        <v>45</v>
      </c>
      <c r="D430" s="14">
        <v>20710</v>
      </c>
      <c r="E430" s="14">
        <v>255412</v>
      </c>
      <c r="F430" s="15">
        <v>26657</v>
      </c>
    </row>
    <row r="431" spans="1:6" x14ac:dyDescent="0.3">
      <c r="A431" s="7">
        <v>2020</v>
      </c>
      <c r="B431" s="8" t="s">
        <v>59</v>
      </c>
      <c r="C431" s="8" t="s">
        <v>46</v>
      </c>
      <c r="D431" s="14">
        <v>4602</v>
      </c>
      <c r="E431" s="14">
        <v>61253</v>
      </c>
      <c r="F431" s="15">
        <v>18945</v>
      </c>
    </row>
    <row r="432" spans="1:6" x14ac:dyDescent="0.3">
      <c r="A432" s="7">
        <v>2020</v>
      </c>
      <c r="B432" s="8" t="s">
        <v>59</v>
      </c>
      <c r="C432" s="8" t="s">
        <v>47</v>
      </c>
      <c r="D432" s="14">
        <v>16783</v>
      </c>
      <c r="E432" s="14">
        <v>227495</v>
      </c>
      <c r="F432" s="15">
        <v>19473</v>
      </c>
    </row>
    <row r="433" spans="1:6" x14ac:dyDescent="0.3">
      <c r="A433" s="7">
        <v>2020</v>
      </c>
      <c r="B433" s="8" t="s">
        <v>59</v>
      </c>
      <c r="C433" s="8" t="s">
        <v>48</v>
      </c>
      <c r="D433" s="14">
        <v>2418</v>
      </c>
      <c r="E433" s="14">
        <v>32312</v>
      </c>
      <c r="F433" s="15">
        <v>23041</v>
      </c>
    </row>
    <row r="434" spans="1:6" x14ac:dyDescent="0.3">
      <c r="A434" s="7">
        <v>2020</v>
      </c>
      <c r="B434" s="8" t="s">
        <v>60</v>
      </c>
      <c r="C434" s="8" t="s">
        <v>1</v>
      </c>
      <c r="D434" s="14">
        <v>9048</v>
      </c>
      <c r="E434" s="14">
        <v>42367</v>
      </c>
      <c r="F434" s="15">
        <v>41437</v>
      </c>
    </row>
    <row r="435" spans="1:6" x14ac:dyDescent="0.3">
      <c r="A435" s="7">
        <v>2020</v>
      </c>
      <c r="B435" s="8" t="s">
        <v>60</v>
      </c>
      <c r="C435" s="8" t="s">
        <v>2</v>
      </c>
      <c r="D435" s="14">
        <v>10878</v>
      </c>
      <c r="E435" s="14">
        <v>69183</v>
      </c>
      <c r="F435" s="15">
        <v>42482</v>
      </c>
    </row>
    <row r="436" spans="1:6" x14ac:dyDescent="0.3">
      <c r="A436" s="7">
        <v>2020</v>
      </c>
      <c r="B436" s="8" t="s">
        <v>60</v>
      </c>
      <c r="C436" s="8" t="s">
        <v>3</v>
      </c>
      <c r="D436" s="14">
        <v>5464</v>
      </c>
      <c r="E436" s="14">
        <v>23724</v>
      </c>
      <c r="F436" s="15">
        <v>38111</v>
      </c>
    </row>
    <row r="437" spans="1:6" x14ac:dyDescent="0.3">
      <c r="A437" s="7">
        <v>2020</v>
      </c>
      <c r="B437" s="8" t="s">
        <v>60</v>
      </c>
      <c r="C437" s="8" t="s">
        <v>4</v>
      </c>
      <c r="D437" s="14">
        <v>97116</v>
      </c>
      <c r="E437" s="14">
        <v>452175</v>
      </c>
      <c r="F437" s="15">
        <v>47080</v>
      </c>
    </row>
    <row r="438" spans="1:6" x14ac:dyDescent="0.3">
      <c r="A438" s="7">
        <v>2020</v>
      </c>
      <c r="B438" s="8" t="s">
        <v>60</v>
      </c>
      <c r="C438" s="8" t="s">
        <v>5</v>
      </c>
      <c r="D438" s="14">
        <v>16860</v>
      </c>
      <c r="E438" s="14">
        <v>76766</v>
      </c>
      <c r="F438" s="15">
        <v>45642</v>
      </c>
    </row>
    <row r="439" spans="1:6" x14ac:dyDescent="0.3">
      <c r="A439" s="7">
        <v>2020</v>
      </c>
      <c r="B439" s="8" t="s">
        <v>60</v>
      </c>
      <c r="C439" s="8" t="s">
        <v>6</v>
      </c>
      <c r="D439" s="14">
        <v>12480</v>
      </c>
      <c r="E439" s="14">
        <v>48120</v>
      </c>
      <c r="F439" s="15">
        <v>42136</v>
      </c>
    </row>
    <row r="440" spans="1:6" x14ac:dyDescent="0.3">
      <c r="A440" s="7">
        <v>2020</v>
      </c>
      <c r="B440" s="8" t="s">
        <v>60</v>
      </c>
      <c r="C440" s="8" t="s">
        <v>7</v>
      </c>
      <c r="D440" s="14">
        <v>2088</v>
      </c>
      <c r="E440" s="14">
        <v>10706</v>
      </c>
      <c r="F440" s="15">
        <v>38135</v>
      </c>
    </row>
    <row r="441" spans="1:6" x14ac:dyDescent="0.3">
      <c r="A441" s="7">
        <v>2020</v>
      </c>
      <c r="B441" s="8" t="s">
        <v>60</v>
      </c>
      <c r="C441" s="8" t="s">
        <v>8</v>
      </c>
      <c r="D441" s="14">
        <v>54871</v>
      </c>
      <c r="E441" s="14">
        <v>254577</v>
      </c>
      <c r="F441" s="15">
        <v>41154</v>
      </c>
    </row>
    <row r="442" spans="1:6" x14ac:dyDescent="0.3">
      <c r="A442" s="7">
        <v>2020</v>
      </c>
      <c r="B442" s="8" t="s">
        <v>60</v>
      </c>
      <c r="C442" s="8" t="s">
        <v>9</v>
      </c>
      <c r="D442" s="14">
        <v>19294</v>
      </c>
      <c r="E442" s="14">
        <v>101509</v>
      </c>
      <c r="F442" s="15">
        <v>41319</v>
      </c>
    </row>
    <row r="443" spans="1:6" x14ac:dyDescent="0.3">
      <c r="A443" s="7">
        <v>2020</v>
      </c>
      <c r="B443" s="8" t="s">
        <v>60</v>
      </c>
      <c r="C443" s="8" t="s">
        <v>10</v>
      </c>
      <c r="D443" s="14">
        <v>4119</v>
      </c>
      <c r="E443" s="14">
        <v>18237</v>
      </c>
      <c r="F443" s="15">
        <v>35029</v>
      </c>
    </row>
    <row r="444" spans="1:6" x14ac:dyDescent="0.3">
      <c r="A444" s="7">
        <v>2020</v>
      </c>
      <c r="B444" s="8" t="s">
        <v>60</v>
      </c>
      <c r="C444" s="8" t="s">
        <v>11</v>
      </c>
      <c r="D444" s="14">
        <v>35477</v>
      </c>
      <c r="E444" s="14">
        <v>184359</v>
      </c>
      <c r="F444" s="15">
        <v>48230</v>
      </c>
    </row>
    <row r="445" spans="1:6" x14ac:dyDescent="0.3">
      <c r="A445" s="7">
        <v>2020</v>
      </c>
      <c r="B445" s="8" t="s">
        <v>60</v>
      </c>
      <c r="C445" s="8" t="s">
        <v>12</v>
      </c>
      <c r="D445" s="14">
        <v>13233</v>
      </c>
      <c r="E445" s="14">
        <v>80627</v>
      </c>
      <c r="F445" s="15">
        <v>36636</v>
      </c>
    </row>
    <row r="446" spans="1:6" x14ac:dyDescent="0.3">
      <c r="A446" s="7">
        <v>2020</v>
      </c>
      <c r="B446" s="8" t="s">
        <v>60</v>
      </c>
      <c r="C446" s="8" t="s">
        <v>13</v>
      </c>
      <c r="D446" s="14">
        <v>7585</v>
      </c>
      <c r="E446" s="14">
        <v>37229</v>
      </c>
      <c r="F446" s="15">
        <v>40163</v>
      </c>
    </row>
    <row r="447" spans="1:6" x14ac:dyDescent="0.3">
      <c r="A447" s="7">
        <v>2020</v>
      </c>
      <c r="B447" s="8" t="s">
        <v>60</v>
      </c>
      <c r="C447" s="8" t="s">
        <v>14</v>
      </c>
      <c r="D447" s="14">
        <v>5873</v>
      </c>
      <c r="E447" s="14">
        <v>31183</v>
      </c>
      <c r="F447" s="15">
        <v>38965</v>
      </c>
    </row>
    <row r="448" spans="1:6" x14ac:dyDescent="0.3">
      <c r="A448" s="7">
        <v>2020</v>
      </c>
      <c r="B448" s="8" t="s">
        <v>60</v>
      </c>
      <c r="C448" s="8" t="s">
        <v>15</v>
      </c>
      <c r="D448" s="14">
        <v>9084</v>
      </c>
      <c r="E448" s="14">
        <v>40228</v>
      </c>
      <c r="F448" s="15">
        <v>38895</v>
      </c>
    </row>
    <row r="449" spans="1:6" x14ac:dyDescent="0.3">
      <c r="A449" s="7">
        <v>2020</v>
      </c>
      <c r="B449" s="8" t="s">
        <v>60</v>
      </c>
      <c r="C449" s="8" t="s">
        <v>16</v>
      </c>
      <c r="D449" s="14">
        <v>9437</v>
      </c>
      <c r="E449" s="14">
        <v>41500</v>
      </c>
      <c r="F449" s="15">
        <v>41226</v>
      </c>
    </row>
    <row r="450" spans="1:6" x14ac:dyDescent="0.3">
      <c r="A450" s="7">
        <v>2020</v>
      </c>
      <c r="B450" s="8" t="s">
        <v>60</v>
      </c>
      <c r="C450" s="8" t="s">
        <v>17</v>
      </c>
      <c r="D450" s="14">
        <v>3830</v>
      </c>
      <c r="E450" s="14">
        <v>16120</v>
      </c>
      <c r="F450" s="15">
        <v>39497</v>
      </c>
    </row>
    <row r="451" spans="1:6" x14ac:dyDescent="0.3">
      <c r="A451" s="7">
        <v>2020</v>
      </c>
      <c r="B451" s="8" t="s">
        <v>60</v>
      </c>
      <c r="C451" s="8" t="s">
        <v>18</v>
      </c>
      <c r="D451" s="14">
        <v>19028</v>
      </c>
      <c r="E451" s="14">
        <v>78236</v>
      </c>
      <c r="F451" s="15">
        <v>48238</v>
      </c>
    </row>
    <row r="452" spans="1:6" x14ac:dyDescent="0.3">
      <c r="A452" s="7">
        <v>2020</v>
      </c>
      <c r="B452" s="8" t="s">
        <v>60</v>
      </c>
      <c r="C452" s="8" t="s">
        <v>19</v>
      </c>
      <c r="D452" s="14">
        <v>21927</v>
      </c>
      <c r="E452" s="14">
        <v>98276</v>
      </c>
      <c r="F452" s="15">
        <v>46345</v>
      </c>
    </row>
    <row r="453" spans="1:6" x14ac:dyDescent="0.3">
      <c r="A453" s="7">
        <v>2020</v>
      </c>
      <c r="B453" s="8" t="s">
        <v>60</v>
      </c>
      <c r="C453" s="8" t="s">
        <v>20</v>
      </c>
      <c r="D453" s="14">
        <v>25486</v>
      </c>
      <c r="E453" s="14">
        <v>114074</v>
      </c>
      <c r="F453" s="15">
        <v>39650</v>
      </c>
    </row>
    <row r="454" spans="1:6" x14ac:dyDescent="0.3">
      <c r="A454" s="7">
        <v>2020</v>
      </c>
      <c r="B454" s="8" t="s">
        <v>60</v>
      </c>
      <c r="C454" s="8" t="s">
        <v>21</v>
      </c>
      <c r="D454" s="14">
        <v>17118</v>
      </c>
      <c r="E454" s="14">
        <v>77083</v>
      </c>
      <c r="F454" s="15">
        <v>39485</v>
      </c>
    </row>
    <row r="455" spans="1:6" x14ac:dyDescent="0.3">
      <c r="A455" s="7">
        <v>2020</v>
      </c>
      <c r="B455" s="8" t="s">
        <v>60</v>
      </c>
      <c r="C455" s="8" t="s">
        <v>22</v>
      </c>
      <c r="D455" s="14">
        <v>4625</v>
      </c>
      <c r="E455" s="14">
        <v>19993</v>
      </c>
      <c r="F455" s="15">
        <v>38520</v>
      </c>
    </row>
    <row r="456" spans="1:6" x14ac:dyDescent="0.3">
      <c r="A456" s="7">
        <v>2020</v>
      </c>
      <c r="B456" s="8" t="s">
        <v>60</v>
      </c>
      <c r="C456" s="8" t="s">
        <v>23</v>
      </c>
      <c r="D456" s="14">
        <v>13399</v>
      </c>
      <c r="E456" s="14">
        <v>68557</v>
      </c>
      <c r="F456" s="15">
        <v>38496</v>
      </c>
    </row>
    <row r="457" spans="1:6" x14ac:dyDescent="0.3">
      <c r="A457" s="7">
        <v>2020</v>
      </c>
      <c r="B457" s="8" t="s">
        <v>60</v>
      </c>
      <c r="C457" s="8" t="s">
        <v>24</v>
      </c>
      <c r="D457" s="14">
        <v>4199</v>
      </c>
      <c r="E457" s="14">
        <v>17236</v>
      </c>
      <c r="F457" s="15">
        <v>34349</v>
      </c>
    </row>
    <row r="458" spans="1:6" x14ac:dyDescent="0.3">
      <c r="A458" s="7">
        <v>2020</v>
      </c>
      <c r="B458" s="8" t="s">
        <v>60</v>
      </c>
      <c r="C458" s="8" t="s">
        <v>25</v>
      </c>
      <c r="D458" s="14">
        <v>4602</v>
      </c>
      <c r="E458" s="14">
        <v>24061</v>
      </c>
      <c r="F458" s="15">
        <v>36266</v>
      </c>
    </row>
    <row r="459" spans="1:6" x14ac:dyDescent="0.3">
      <c r="A459" s="7">
        <v>2020</v>
      </c>
      <c r="B459" s="8" t="s">
        <v>60</v>
      </c>
      <c r="C459" s="8" t="s">
        <v>26</v>
      </c>
      <c r="D459" s="14">
        <v>5067</v>
      </c>
      <c r="E459" s="14">
        <v>30593</v>
      </c>
      <c r="F459" s="15">
        <v>41698</v>
      </c>
    </row>
    <row r="460" spans="1:6" x14ac:dyDescent="0.3">
      <c r="A460" s="7">
        <v>2020</v>
      </c>
      <c r="B460" s="8" t="s">
        <v>60</v>
      </c>
      <c r="C460" s="8" t="s">
        <v>27</v>
      </c>
      <c r="D460" s="14">
        <v>4109</v>
      </c>
      <c r="E460" s="14">
        <v>18869</v>
      </c>
      <c r="F460" s="15">
        <v>43107</v>
      </c>
    </row>
    <row r="461" spans="1:6" x14ac:dyDescent="0.3">
      <c r="A461" s="7">
        <v>2020</v>
      </c>
      <c r="B461" s="8" t="s">
        <v>60</v>
      </c>
      <c r="C461" s="8" t="s">
        <v>28</v>
      </c>
      <c r="D461" s="14">
        <v>24307</v>
      </c>
      <c r="E461" s="14">
        <v>114130</v>
      </c>
      <c r="F461" s="15">
        <v>41197</v>
      </c>
    </row>
    <row r="462" spans="1:6" x14ac:dyDescent="0.3">
      <c r="A462" s="7">
        <v>2020</v>
      </c>
      <c r="B462" s="8" t="s">
        <v>60</v>
      </c>
      <c r="C462" s="8" t="s">
        <v>29</v>
      </c>
      <c r="D462" s="14">
        <v>4261</v>
      </c>
      <c r="E462" s="14">
        <v>18424</v>
      </c>
      <c r="F462" s="15">
        <v>38699</v>
      </c>
    </row>
    <row r="463" spans="1:6" x14ac:dyDescent="0.3">
      <c r="A463" s="7">
        <v>2020</v>
      </c>
      <c r="B463" s="8" t="s">
        <v>60</v>
      </c>
      <c r="C463" s="8" t="s">
        <v>30</v>
      </c>
      <c r="D463" s="14">
        <v>70935</v>
      </c>
      <c r="E463" s="14">
        <v>307026</v>
      </c>
      <c r="F463" s="15">
        <v>49001</v>
      </c>
    </row>
    <row r="464" spans="1:6" x14ac:dyDescent="0.3">
      <c r="A464" s="7">
        <v>2020</v>
      </c>
      <c r="B464" s="8" t="s">
        <v>60</v>
      </c>
      <c r="C464" s="8" t="s">
        <v>31</v>
      </c>
      <c r="D464" s="14">
        <v>26011</v>
      </c>
      <c r="E464" s="14">
        <v>107703</v>
      </c>
      <c r="F464" s="15">
        <v>39794</v>
      </c>
    </row>
    <row r="465" spans="1:6" x14ac:dyDescent="0.3">
      <c r="A465" s="7">
        <v>2020</v>
      </c>
      <c r="B465" s="8" t="s">
        <v>60</v>
      </c>
      <c r="C465" s="8" t="s">
        <v>32</v>
      </c>
      <c r="D465" s="14">
        <v>2141</v>
      </c>
      <c r="E465" s="14">
        <v>10645</v>
      </c>
      <c r="F465" s="15">
        <v>40484</v>
      </c>
    </row>
    <row r="466" spans="1:6" x14ac:dyDescent="0.3">
      <c r="A466" s="7">
        <v>2020</v>
      </c>
      <c r="B466" s="8" t="s">
        <v>60</v>
      </c>
      <c r="C466" s="8" t="s">
        <v>33</v>
      </c>
      <c r="D466" s="14">
        <v>23929</v>
      </c>
      <c r="E466" s="14">
        <v>138448</v>
      </c>
      <c r="F466" s="15">
        <v>38332</v>
      </c>
    </row>
    <row r="467" spans="1:6" x14ac:dyDescent="0.3">
      <c r="A467" s="7">
        <v>2020</v>
      </c>
      <c r="B467" s="8" t="s">
        <v>60</v>
      </c>
      <c r="C467" s="8" t="s">
        <v>34</v>
      </c>
      <c r="D467" s="14">
        <v>6600</v>
      </c>
      <c r="E467" s="14">
        <v>34047</v>
      </c>
      <c r="F467" s="15">
        <v>37686</v>
      </c>
    </row>
    <row r="468" spans="1:6" x14ac:dyDescent="0.3">
      <c r="A468" s="7">
        <v>2020</v>
      </c>
      <c r="B468" s="8" t="s">
        <v>60</v>
      </c>
      <c r="C468" s="8" t="s">
        <v>35</v>
      </c>
      <c r="D468" s="14">
        <v>14853</v>
      </c>
      <c r="E468" s="14">
        <v>60924</v>
      </c>
      <c r="F468" s="15">
        <v>41296</v>
      </c>
    </row>
    <row r="469" spans="1:6" x14ac:dyDescent="0.3">
      <c r="A469" s="7">
        <v>2020</v>
      </c>
      <c r="B469" s="8" t="s">
        <v>60</v>
      </c>
      <c r="C469" s="8" t="s">
        <v>36</v>
      </c>
      <c r="D469" s="14">
        <v>33590</v>
      </c>
      <c r="E469" s="14">
        <v>169772</v>
      </c>
      <c r="F469" s="15">
        <v>39396</v>
      </c>
    </row>
    <row r="470" spans="1:6" x14ac:dyDescent="0.3">
      <c r="A470" s="7">
        <v>2020</v>
      </c>
      <c r="B470" s="8" t="s">
        <v>60</v>
      </c>
      <c r="C470" s="8" t="s">
        <v>37</v>
      </c>
      <c r="D470" s="14">
        <v>3576</v>
      </c>
      <c r="E470" s="14">
        <v>15156</v>
      </c>
      <c r="F470" s="15">
        <v>38763</v>
      </c>
    </row>
    <row r="471" spans="1:6" x14ac:dyDescent="0.3">
      <c r="A471" s="7">
        <v>2020</v>
      </c>
      <c r="B471" s="8" t="s">
        <v>60</v>
      </c>
      <c r="C471" s="8" t="s">
        <v>38</v>
      </c>
      <c r="D471" s="14">
        <v>10267</v>
      </c>
      <c r="E471" s="14">
        <v>49710</v>
      </c>
      <c r="F471" s="15">
        <v>38110</v>
      </c>
    </row>
    <row r="472" spans="1:6" x14ac:dyDescent="0.3">
      <c r="A472" s="7">
        <v>2020</v>
      </c>
      <c r="B472" s="8" t="s">
        <v>60</v>
      </c>
      <c r="C472" s="8" t="s">
        <v>39</v>
      </c>
      <c r="D472" s="14">
        <v>2313</v>
      </c>
      <c r="E472" s="14">
        <v>11077</v>
      </c>
      <c r="F472" s="15">
        <v>38165</v>
      </c>
    </row>
    <row r="473" spans="1:6" x14ac:dyDescent="0.3">
      <c r="A473" s="7">
        <v>2020</v>
      </c>
      <c r="B473" s="8" t="s">
        <v>60</v>
      </c>
      <c r="C473" s="8" t="s">
        <v>40</v>
      </c>
      <c r="D473" s="14">
        <v>12651</v>
      </c>
      <c r="E473" s="14">
        <v>70977</v>
      </c>
      <c r="F473" s="15">
        <v>40323</v>
      </c>
    </row>
    <row r="474" spans="1:6" x14ac:dyDescent="0.3">
      <c r="A474" s="7">
        <v>2020</v>
      </c>
      <c r="B474" s="8" t="s">
        <v>60</v>
      </c>
      <c r="C474" s="8" t="s">
        <v>41</v>
      </c>
      <c r="D474" s="14">
        <v>57936</v>
      </c>
      <c r="E474" s="14">
        <v>310244</v>
      </c>
      <c r="F474" s="15">
        <v>44055</v>
      </c>
    </row>
    <row r="475" spans="1:6" x14ac:dyDescent="0.3">
      <c r="A475" s="7">
        <v>2020</v>
      </c>
      <c r="B475" s="8" t="s">
        <v>60</v>
      </c>
      <c r="C475" s="8" t="s">
        <v>42</v>
      </c>
      <c r="D475" s="14">
        <v>6849</v>
      </c>
      <c r="E475" s="14">
        <v>35002</v>
      </c>
      <c r="F475" s="15">
        <v>39528</v>
      </c>
    </row>
    <row r="476" spans="1:6" x14ac:dyDescent="0.3">
      <c r="A476" s="7">
        <v>2020</v>
      </c>
      <c r="B476" s="8" t="s">
        <v>60</v>
      </c>
      <c r="C476" s="8" t="s">
        <v>43</v>
      </c>
      <c r="D476" s="14">
        <v>1995</v>
      </c>
      <c r="E476" s="14">
        <v>7681</v>
      </c>
      <c r="F476" s="15">
        <v>41304</v>
      </c>
    </row>
    <row r="477" spans="1:6" x14ac:dyDescent="0.3">
      <c r="A477" s="7">
        <v>2020</v>
      </c>
      <c r="B477" s="8" t="s">
        <v>60</v>
      </c>
      <c r="C477" s="8" t="s">
        <v>44</v>
      </c>
      <c r="D477" s="14">
        <v>29516</v>
      </c>
      <c r="E477" s="14">
        <v>121622</v>
      </c>
      <c r="F477" s="15">
        <v>50744</v>
      </c>
    </row>
    <row r="478" spans="1:6" x14ac:dyDescent="0.3">
      <c r="A478" s="7">
        <v>2020</v>
      </c>
      <c r="B478" s="8" t="s">
        <v>60</v>
      </c>
      <c r="C478" s="8" t="s">
        <v>45</v>
      </c>
      <c r="D478" s="14">
        <v>20259</v>
      </c>
      <c r="E478" s="14">
        <v>89105</v>
      </c>
      <c r="F478" s="15">
        <v>46691</v>
      </c>
    </row>
    <row r="479" spans="1:6" x14ac:dyDescent="0.3">
      <c r="A479" s="7">
        <v>2020</v>
      </c>
      <c r="B479" s="8" t="s">
        <v>60</v>
      </c>
      <c r="C479" s="8" t="s">
        <v>46</v>
      </c>
      <c r="D479" s="14">
        <v>3442</v>
      </c>
      <c r="E479" s="14">
        <v>15621</v>
      </c>
      <c r="F479" s="15">
        <v>35759</v>
      </c>
    </row>
    <row r="480" spans="1:6" x14ac:dyDescent="0.3">
      <c r="A480" s="7">
        <v>2020</v>
      </c>
      <c r="B480" s="8" t="s">
        <v>60</v>
      </c>
      <c r="C480" s="8" t="s">
        <v>47</v>
      </c>
      <c r="D480" s="14">
        <v>13143</v>
      </c>
      <c r="E480" s="14">
        <v>74028</v>
      </c>
      <c r="F480" s="15">
        <v>36058</v>
      </c>
    </row>
    <row r="481" spans="1:6" x14ac:dyDescent="0.3">
      <c r="A481" s="7">
        <v>2020</v>
      </c>
      <c r="B481" s="8" t="s">
        <v>60</v>
      </c>
      <c r="C481" s="8" t="s">
        <v>48</v>
      </c>
      <c r="D481" s="14">
        <v>1669</v>
      </c>
      <c r="E481" s="14">
        <v>6769</v>
      </c>
      <c r="F481" s="15">
        <v>40253</v>
      </c>
    </row>
    <row r="482" spans="1:6" x14ac:dyDescent="0.3">
      <c r="A482" s="7">
        <v>2019</v>
      </c>
      <c r="B482" s="8" t="s">
        <v>55</v>
      </c>
      <c r="C482" s="8" t="s">
        <v>1</v>
      </c>
      <c r="D482" s="14">
        <v>1846</v>
      </c>
      <c r="E482" s="14">
        <v>18939</v>
      </c>
      <c r="F482" s="15">
        <v>56529</v>
      </c>
    </row>
    <row r="483" spans="1:6" x14ac:dyDescent="0.3">
      <c r="A483" s="7">
        <v>2019</v>
      </c>
      <c r="B483" s="8" t="s">
        <v>55</v>
      </c>
      <c r="C483" s="8" t="s">
        <v>2</v>
      </c>
      <c r="D483" s="14">
        <v>1358</v>
      </c>
      <c r="E483" s="14">
        <v>37970</v>
      </c>
      <c r="F483" s="15">
        <v>52262</v>
      </c>
    </row>
    <row r="484" spans="1:6" x14ac:dyDescent="0.3">
      <c r="A484" s="7">
        <v>2019</v>
      </c>
      <c r="B484" s="8" t="s">
        <v>55</v>
      </c>
      <c r="C484" s="8" t="s">
        <v>3</v>
      </c>
      <c r="D484" s="14">
        <v>2577</v>
      </c>
      <c r="E484" s="14">
        <v>16390</v>
      </c>
      <c r="F484" s="15">
        <v>48299</v>
      </c>
    </row>
    <row r="485" spans="1:6" x14ac:dyDescent="0.3">
      <c r="A485" s="7">
        <v>2019</v>
      </c>
      <c r="B485" s="8" t="s">
        <v>55</v>
      </c>
      <c r="C485" s="8" t="s">
        <v>4</v>
      </c>
      <c r="D485" s="14">
        <v>17663</v>
      </c>
      <c r="E485" s="14">
        <v>443581</v>
      </c>
      <c r="F485" s="15">
        <v>40246</v>
      </c>
    </row>
    <row r="486" spans="1:6" x14ac:dyDescent="0.3">
      <c r="A486" s="7">
        <v>2019</v>
      </c>
      <c r="B486" s="8" t="s">
        <v>55</v>
      </c>
      <c r="C486" s="8" t="s">
        <v>5</v>
      </c>
      <c r="D486" s="14">
        <v>3279</v>
      </c>
      <c r="E486" s="14">
        <v>48392</v>
      </c>
      <c r="F486" s="15">
        <v>90328</v>
      </c>
    </row>
    <row r="487" spans="1:6" x14ac:dyDescent="0.3">
      <c r="A487" s="7">
        <v>2019</v>
      </c>
      <c r="B487" s="8" t="s">
        <v>55</v>
      </c>
      <c r="C487" s="8" t="s">
        <v>6</v>
      </c>
      <c r="D487" s="8">
        <v>437</v>
      </c>
      <c r="E487" s="14">
        <v>5258</v>
      </c>
      <c r="F487" s="15">
        <v>41449</v>
      </c>
    </row>
    <row r="488" spans="1:6" x14ac:dyDescent="0.3">
      <c r="A488" s="7">
        <v>2019</v>
      </c>
      <c r="B488" s="8" t="s">
        <v>55</v>
      </c>
      <c r="C488" s="8" t="s">
        <v>7</v>
      </c>
      <c r="D488" s="8">
        <v>180</v>
      </c>
      <c r="E488" s="14">
        <v>1471</v>
      </c>
      <c r="F488" s="15">
        <v>42123</v>
      </c>
    </row>
    <row r="489" spans="1:6" x14ac:dyDescent="0.3">
      <c r="A489" s="7">
        <v>2019</v>
      </c>
      <c r="B489" s="8" t="s">
        <v>55</v>
      </c>
      <c r="C489" s="8" t="s">
        <v>8</v>
      </c>
      <c r="D489" s="14">
        <v>5304</v>
      </c>
      <c r="E489" s="14">
        <v>71329</v>
      </c>
      <c r="F489" s="15">
        <v>35645</v>
      </c>
    </row>
    <row r="490" spans="1:6" x14ac:dyDescent="0.3">
      <c r="A490" s="7">
        <v>2019</v>
      </c>
      <c r="B490" s="8" t="s">
        <v>55</v>
      </c>
      <c r="C490" s="8" t="s">
        <v>9</v>
      </c>
      <c r="D490" s="14">
        <v>2662</v>
      </c>
      <c r="E490" s="14">
        <v>29910</v>
      </c>
      <c r="F490" s="15">
        <v>43258</v>
      </c>
    </row>
    <row r="491" spans="1:6" x14ac:dyDescent="0.3">
      <c r="A491" s="7">
        <v>2019</v>
      </c>
      <c r="B491" s="8" t="s">
        <v>55</v>
      </c>
      <c r="C491" s="8" t="s">
        <v>10</v>
      </c>
      <c r="D491" s="14">
        <v>2401</v>
      </c>
      <c r="E491" s="14">
        <v>26555</v>
      </c>
      <c r="F491" s="15">
        <v>41105</v>
      </c>
    </row>
    <row r="492" spans="1:6" x14ac:dyDescent="0.3">
      <c r="A492" s="7">
        <v>2019</v>
      </c>
      <c r="B492" s="8" t="s">
        <v>55</v>
      </c>
      <c r="C492" s="8" t="s">
        <v>11</v>
      </c>
      <c r="D492" s="14">
        <v>2825</v>
      </c>
      <c r="E492" s="14">
        <v>26828</v>
      </c>
      <c r="F492" s="15">
        <v>52197</v>
      </c>
    </row>
    <row r="493" spans="1:6" x14ac:dyDescent="0.3">
      <c r="A493" s="7">
        <v>2019</v>
      </c>
      <c r="B493" s="8" t="s">
        <v>55</v>
      </c>
      <c r="C493" s="8" t="s">
        <v>12</v>
      </c>
      <c r="D493" s="14">
        <v>2255</v>
      </c>
      <c r="E493" s="14">
        <v>21475</v>
      </c>
      <c r="F493" s="15">
        <v>50243</v>
      </c>
    </row>
    <row r="494" spans="1:6" x14ac:dyDescent="0.3">
      <c r="A494" s="7">
        <v>2019</v>
      </c>
      <c r="B494" s="8" t="s">
        <v>55</v>
      </c>
      <c r="C494" s="8" t="s">
        <v>13</v>
      </c>
      <c r="D494" s="14">
        <v>2916</v>
      </c>
      <c r="E494" s="14">
        <v>23431</v>
      </c>
      <c r="F494" s="15">
        <v>44087</v>
      </c>
    </row>
    <row r="495" spans="1:6" x14ac:dyDescent="0.3">
      <c r="A495" s="7">
        <v>2019</v>
      </c>
      <c r="B495" s="8" t="s">
        <v>55</v>
      </c>
      <c r="C495" s="8" t="s">
        <v>14</v>
      </c>
      <c r="D495" s="14">
        <v>2612</v>
      </c>
      <c r="E495" s="14">
        <v>19353</v>
      </c>
      <c r="F495" s="15">
        <v>47802</v>
      </c>
    </row>
    <row r="496" spans="1:6" x14ac:dyDescent="0.3">
      <c r="A496" s="7">
        <v>2019</v>
      </c>
      <c r="B496" s="8" t="s">
        <v>55</v>
      </c>
      <c r="C496" s="8" t="s">
        <v>15</v>
      </c>
      <c r="D496" s="14">
        <v>1561</v>
      </c>
      <c r="E496" s="14">
        <v>18911</v>
      </c>
      <c r="F496" s="15">
        <v>56448</v>
      </c>
    </row>
    <row r="497" spans="1:6" x14ac:dyDescent="0.3">
      <c r="A497" s="7">
        <v>2019</v>
      </c>
      <c r="B497" s="8" t="s">
        <v>55</v>
      </c>
      <c r="C497" s="8" t="s">
        <v>16</v>
      </c>
      <c r="D497" s="14">
        <v>3133</v>
      </c>
      <c r="E497" s="14">
        <v>44052</v>
      </c>
      <c r="F497" s="15">
        <v>87820</v>
      </c>
    </row>
    <row r="498" spans="1:6" x14ac:dyDescent="0.3">
      <c r="A498" s="7">
        <v>2019</v>
      </c>
      <c r="B498" s="8" t="s">
        <v>55</v>
      </c>
      <c r="C498" s="8" t="s">
        <v>17</v>
      </c>
      <c r="D498" s="14">
        <v>1447</v>
      </c>
      <c r="E498" s="14">
        <v>7281</v>
      </c>
      <c r="F498" s="15">
        <v>41157</v>
      </c>
    </row>
    <row r="499" spans="1:6" x14ac:dyDescent="0.3">
      <c r="A499" s="7">
        <v>2019</v>
      </c>
      <c r="B499" s="8" t="s">
        <v>55</v>
      </c>
      <c r="C499" s="8" t="s">
        <v>18</v>
      </c>
      <c r="D499" s="8">
        <v>723</v>
      </c>
      <c r="E499" s="14">
        <v>7194</v>
      </c>
      <c r="F499" s="15">
        <v>44642</v>
      </c>
    </row>
    <row r="500" spans="1:6" x14ac:dyDescent="0.3">
      <c r="A500" s="7">
        <v>2019</v>
      </c>
      <c r="B500" s="8" t="s">
        <v>55</v>
      </c>
      <c r="C500" s="8" t="s">
        <v>19</v>
      </c>
      <c r="D500" s="14">
        <v>1007</v>
      </c>
      <c r="E500" s="14">
        <v>10500</v>
      </c>
      <c r="F500" s="15">
        <v>63846</v>
      </c>
    </row>
    <row r="501" spans="1:6" x14ac:dyDescent="0.3">
      <c r="A501" s="7">
        <v>2019</v>
      </c>
      <c r="B501" s="8" t="s">
        <v>55</v>
      </c>
      <c r="C501" s="8" t="s">
        <v>20</v>
      </c>
      <c r="D501" s="14">
        <v>3480</v>
      </c>
      <c r="E501" s="14">
        <v>35622</v>
      </c>
      <c r="F501" s="15">
        <v>41799</v>
      </c>
    </row>
    <row r="502" spans="1:6" x14ac:dyDescent="0.3">
      <c r="A502" s="7">
        <v>2019</v>
      </c>
      <c r="B502" s="8" t="s">
        <v>55</v>
      </c>
      <c r="C502" s="8" t="s">
        <v>21</v>
      </c>
      <c r="D502" s="14">
        <v>3094</v>
      </c>
      <c r="E502" s="14">
        <v>28134</v>
      </c>
      <c r="F502" s="15">
        <v>51107</v>
      </c>
    </row>
    <row r="503" spans="1:6" x14ac:dyDescent="0.3">
      <c r="A503" s="7">
        <v>2019</v>
      </c>
      <c r="B503" s="8" t="s">
        <v>55</v>
      </c>
      <c r="C503" s="8" t="s">
        <v>22</v>
      </c>
      <c r="D503" s="14">
        <v>2110</v>
      </c>
      <c r="E503" s="14">
        <v>15777</v>
      </c>
      <c r="F503" s="15">
        <v>49263</v>
      </c>
    </row>
    <row r="504" spans="1:6" x14ac:dyDescent="0.3">
      <c r="A504" s="7">
        <v>2019</v>
      </c>
      <c r="B504" s="8" t="s">
        <v>55</v>
      </c>
      <c r="C504" s="8" t="s">
        <v>23</v>
      </c>
      <c r="D504" s="14">
        <v>2031</v>
      </c>
      <c r="E504" s="14">
        <v>16899</v>
      </c>
      <c r="F504" s="15">
        <v>44815</v>
      </c>
    </row>
    <row r="505" spans="1:6" x14ac:dyDescent="0.3">
      <c r="A505" s="7">
        <v>2019</v>
      </c>
      <c r="B505" s="8" t="s">
        <v>55</v>
      </c>
      <c r="C505" s="8" t="s">
        <v>24</v>
      </c>
      <c r="D505" s="14">
        <v>1789</v>
      </c>
      <c r="E505" s="14">
        <v>12792</v>
      </c>
      <c r="F505" s="15">
        <v>67162</v>
      </c>
    </row>
    <row r="506" spans="1:6" x14ac:dyDescent="0.3">
      <c r="A506" s="7">
        <v>2019</v>
      </c>
      <c r="B506" s="8" t="s">
        <v>55</v>
      </c>
      <c r="C506" s="8" t="s">
        <v>25</v>
      </c>
      <c r="D506" s="14">
        <v>2414</v>
      </c>
      <c r="E506" s="14">
        <v>15761</v>
      </c>
      <c r="F506" s="15">
        <v>42685</v>
      </c>
    </row>
    <row r="507" spans="1:6" x14ac:dyDescent="0.3">
      <c r="A507" s="7">
        <v>2019</v>
      </c>
      <c r="B507" s="8" t="s">
        <v>55</v>
      </c>
      <c r="C507" s="8" t="s">
        <v>26</v>
      </c>
      <c r="D507" s="8">
        <v>618</v>
      </c>
      <c r="E507" s="14">
        <v>19841</v>
      </c>
      <c r="F507" s="15">
        <v>86362</v>
      </c>
    </row>
    <row r="508" spans="1:6" x14ac:dyDescent="0.3">
      <c r="A508" s="7">
        <v>2019</v>
      </c>
      <c r="B508" s="8" t="s">
        <v>55</v>
      </c>
      <c r="C508" s="8" t="s">
        <v>27</v>
      </c>
      <c r="D508" s="8">
        <v>350</v>
      </c>
      <c r="E508" s="14">
        <v>2627</v>
      </c>
      <c r="F508" s="15">
        <v>44073</v>
      </c>
    </row>
    <row r="509" spans="1:6" x14ac:dyDescent="0.3">
      <c r="A509" s="7">
        <v>2019</v>
      </c>
      <c r="B509" s="8" t="s">
        <v>55</v>
      </c>
      <c r="C509" s="8" t="s">
        <v>28</v>
      </c>
      <c r="D509" s="8">
        <v>998</v>
      </c>
      <c r="E509" s="14">
        <v>12407</v>
      </c>
      <c r="F509" s="15">
        <v>41732</v>
      </c>
    </row>
    <row r="510" spans="1:6" x14ac:dyDescent="0.3">
      <c r="A510" s="7">
        <v>2019</v>
      </c>
      <c r="B510" s="8" t="s">
        <v>55</v>
      </c>
      <c r="C510" s="8" t="s">
        <v>29</v>
      </c>
      <c r="D510" s="14">
        <v>2100</v>
      </c>
      <c r="E510" s="14">
        <v>36949</v>
      </c>
      <c r="F510" s="15">
        <v>68427</v>
      </c>
    </row>
    <row r="511" spans="1:6" x14ac:dyDescent="0.3">
      <c r="A511" s="7">
        <v>2019</v>
      </c>
      <c r="B511" s="8" t="s">
        <v>55</v>
      </c>
      <c r="C511" s="8" t="s">
        <v>30</v>
      </c>
      <c r="D511" s="14">
        <v>3053</v>
      </c>
      <c r="E511" s="14">
        <v>31787</v>
      </c>
      <c r="F511" s="15">
        <v>42992</v>
      </c>
    </row>
    <row r="512" spans="1:6" x14ac:dyDescent="0.3">
      <c r="A512" s="7">
        <v>2019</v>
      </c>
      <c r="B512" s="8" t="s">
        <v>55</v>
      </c>
      <c r="C512" s="8" t="s">
        <v>31</v>
      </c>
      <c r="D512" s="14">
        <v>3378</v>
      </c>
      <c r="E512" s="14">
        <v>29828</v>
      </c>
      <c r="F512" s="15">
        <v>40862</v>
      </c>
    </row>
    <row r="513" spans="1:6" x14ac:dyDescent="0.3">
      <c r="A513" s="7">
        <v>2019</v>
      </c>
      <c r="B513" s="8" t="s">
        <v>55</v>
      </c>
      <c r="C513" s="8" t="s">
        <v>32</v>
      </c>
      <c r="D513" s="14">
        <v>1784</v>
      </c>
      <c r="E513" s="14">
        <v>25973</v>
      </c>
      <c r="F513" s="15">
        <v>97355</v>
      </c>
    </row>
    <row r="514" spans="1:6" x14ac:dyDescent="0.3">
      <c r="A514" s="7">
        <v>2019</v>
      </c>
      <c r="B514" s="8" t="s">
        <v>55</v>
      </c>
      <c r="C514" s="8" t="s">
        <v>33</v>
      </c>
      <c r="D514" s="14">
        <v>2531</v>
      </c>
      <c r="E514" s="14">
        <v>28532</v>
      </c>
      <c r="F514" s="15">
        <v>51860</v>
      </c>
    </row>
    <row r="515" spans="1:6" x14ac:dyDescent="0.3">
      <c r="A515" s="7">
        <v>2019</v>
      </c>
      <c r="B515" s="8" t="s">
        <v>55</v>
      </c>
      <c r="C515" s="8" t="s">
        <v>34</v>
      </c>
      <c r="D515" s="14">
        <v>4402</v>
      </c>
      <c r="E515" s="14">
        <v>56786</v>
      </c>
      <c r="F515" s="15">
        <v>91249</v>
      </c>
    </row>
    <row r="516" spans="1:6" x14ac:dyDescent="0.3">
      <c r="A516" s="7">
        <v>2019</v>
      </c>
      <c r="B516" s="8" t="s">
        <v>55</v>
      </c>
      <c r="C516" s="8" t="s">
        <v>35</v>
      </c>
      <c r="D516" s="14">
        <v>4633</v>
      </c>
      <c r="E516" s="14">
        <v>54550</v>
      </c>
      <c r="F516" s="15">
        <v>37586</v>
      </c>
    </row>
    <row r="517" spans="1:6" x14ac:dyDescent="0.3">
      <c r="A517" s="7">
        <v>2019</v>
      </c>
      <c r="B517" s="8" t="s">
        <v>55</v>
      </c>
      <c r="C517" s="8" t="s">
        <v>36</v>
      </c>
      <c r="D517" s="14">
        <v>3616</v>
      </c>
      <c r="E517" s="14">
        <v>52904</v>
      </c>
      <c r="F517" s="15">
        <v>65014</v>
      </c>
    </row>
    <row r="518" spans="1:6" x14ac:dyDescent="0.3">
      <c r="A518" s="7">
        <v>2019</v>
      </c>
      <c r="B518" s="8" t="s">
        <v>55</v>
      </c>
      <c r="C518" s="8" t="s">
        <v>37</v>
      </c>
      <c r="D518" s="8">
        <v>198</v>
      </c>
      <c r="E518" s="14">
        <v>1121</v>
      </c>
      <c r="F518" s="15">
        <v>39917</v>
      </c>
    </row>
    <row r="519" spans="1:6" x14ac:dyDescent="0.3">
      <c r="A519" s="7">
        <v>2019</v>
      </c>
      <c r="B519" s="8" t="s">
        <v>55</v>
      </c>
      <c r="C519" s="8" t="s">
        <v>38</v>
      </c>
      <c r="D519" s="14">
        <v>1345</v>
      </c>
      <c r="E519" s="14">
        <v>12552</v>
      </c>
      <c r="F519" s="15">
        <v>43952</v>
      </c>
    </row>
    <row r="520" spans="1:6" x14ac:dyDescent="0.3">
      <c r="A520" s="7">
        <v>2019</v>
      </c>
      <c r="B520" s="8" t="s">
        <v>55</v>
      </c>
      <c r="C520" s="8" t="s">
        <v>39</v>
      </c>
      <c r="D520" s="14">
        <v>1063</v>
      </c>
      <c r="E520" s="14">
        <v>6986</v>
      </c>
      <c r="F520" s="15">
        <v>43642</v>
      </c>
    </row>
    <row r="521" spans="1:6" x14ac:dyDescent="0.3">
      <c r="A521" s="7">
        <v>2019</v>
      </c>
      <c r="B521" s="8" t="s">
        <v>55</v>
      </c>
      <c r="C521" s="8" t="s">
        <v>40</v>
      </c>
      <c r="D521" s="14">
        <v>1107</v>
      </c>
      <c r="E521" s="14">
        <v>11568</v>
      </c>
      <c r="F521" s="15">
        <v>46865</v>
      </c>
    </row>
    <row r="522" spans="1:6" x14ac:dyDescent="0.3">
      <c r="A522" s="7">
        <v>2019</v>
      </c>
      <c r="B522" s="8" t="s">
        <v>55</v>
      </c>
      <c r="C522" s="8" t="s">
        <v>41</v>
      </c>
      <c r="D522" s="14">
        <v>19971</v>
      </c>
      <c r="E522" s="14">
        <v>307800</v>
      </c>
      <c r="F522" s="15">
        <v>114918</v>
      </c>
    </row>
    <row r="523" spans="1:6" x14ac:dyDescent="0.3">
      <c r="A523" s="7">
        <v>2019</v>
      </c>
      <c r="B523" s="8" t="s">
        <v>55</v>
      </c>
      <c r="C523" s="8" t="s">
        <v>42</v>
      </c>
      <c r="D523" s="14">
        <v>1032</v>
      </c>
      <c r="E523" s="14">
        <v>15160</v>
      </c>
      <c r="F523" s="15">
        <v>63604</v>
      </c>
    </row>
    <row r="524" spans="1:6" x14ac:dyDescent="0.3">
      <c r="A524" s="7">
        <v>2019</v>
      </c>
      <c r="B524" s="8" t="s">
        <v>55</v>
      </c>
      <c r="C524" s="8" t="s">
        <v>43</v>
      </c>
      <c r="D524" s="8">
        <v>564</v>
      </c>
      <c r="E524" s="14">
        <v>4130</v>
      </c>
      <c r="F524" s="15">
        <v>39607</v>
      </c>
    </row>
    <row r="525" spans="1:6" x14ac:dyDescent="0.3">
      <c r="A525" s="7">
        <v>2019</v>
      </c>
      <c r="B525" s="8" t="s">
        <v>55</v>
      </c>
      <c r="C525" s="8" t="s">
        <v>44</v>
      </c>
      <c r="D525" s="14">
        <v>2095</v>
      </c>
      <c r="E525" s="14">
        <v>18691</v>
      </c>
      <c r="F525" s="15">
        <v>48704</v>
      </c>
    </row>
    <row r="526" spans="1:6" x14ac:dyDescent="0.3">
      <c r="A526" s="7">
        <v>2019</v>
      </c>
      <c r="B526" s="8" t="s">
        <v>55</v>
      </c>
      <c r="C526" s="8" t="s">
        <v>45</v>
      </c>
      <c r="D526" s="14">
        <v>7117</v>
      </c>
      <c r="E526" s="14">
        <v>105362</v>
      </c>
      <c r="F526" s="15">
        <v>34547</v>
      </c>
    </row>
    <row r="527" spans="1:6" x14ac:dyDescent="0.3">
      <c r="A527" s="7">
        <v>2019</v>
      </c>
      <c r="B527" s="8" t="s">
        <v>55</v>
      </c>
      <c r="C527" s="8" t="s">
        <v>46</v>
      </c>
      <c r="D527" s="14">
        <v>1166</v>
      </c>
      <c r="E527" s="14">
        <v>23333</v>
      </c>
      <c r="F527" s="15">
        <v>80470</v>
      </c>
    </row>
    <row r="528" spans="1:6" x14ac:dyDescent="0.3">
      <c r="A528" s="7">
        <v>2019</v>
      </c>
      <c r="B528" s="8" t="s">
        <v>55</v>
      </c>
      <c r="C528" s="8" t="s">
        <v>47</v>
      </c>
      <c r="D528" s="14">
        <v>2876</v>
      </c>
      <c r="E528" s="14">
        <v>31424</v>
      </c>
      <c r="F528" s="15">
        <v>40225</v>
      </c>
    </row>
    <row r="529" spans="1:6" x14ac:dyDescent="0.3">
      <c r="A529" s="7">
        <v>2019</v>
      </c>
      <c r="B529" s="8" t="s">
        <v>55</v>
      </c>
      <c r="C529" s="8" t="s">
        <v>48</v>
      </c>
      <c r="D529" s="14">
        <v>1463</v>
      </c>
      <c r="E529" s="14">
        <v>23524</v>
      </c>
      <c r="F529" s="15">
        <v>86467</v>
      </c>
    </row>
    <row r="530" spans="1:6" x14ac:dyDescent="0.3">
      <c r="A530" s="7">
        <v>2019</v>
      </c>
      <c r="B530" s="8" t="s">
        <v>51</v>
      </c>
      <c r="C530" s="8" t="s">
        <v>1</v>
      </c>
      <c r="D530" s="14">
        <v>10069</v>
      </c>
      <c r="E530" s="14">
        <v>93619</v>
      </c>
      <c r="F530" s="15">
        <v>56141</v>
      </c>
    </row>
    <row r="531" spans="1:6" x14ac:dyDescent="0.3">
      <c r="A531" s="7">
        <v>2019</v>
      </c>
      <c r="B531" s="8" t="s">
        <v>51</v>
      </c>
      <c r="C531" s="8" t="s">
        <v>2</v>
      </c>
      <c r="D531" s="14">
        <v>13677</v>
      </c>
      <c r="E531" s="14">
        <v>171309</v>
      </c>
      <c r="F531" s="15">
        <v>58621</v>
      </c>
    </row>
    <row r="532" spans="1:6" x14ac:dyDescent="0.3">
      <c r="A532" s="7">
        <v>2019</v>
      </c>
      <c r="B532" s="8" t="s">
        <v>51</v>
      </c>
      <c r="C532" s="8" t="s">
        <v>3</v>
      </c>
      <c r="D532" s="14">
        <v>7093</v>
      </c>
      <c r="E532" s="14">
        <v>52538</v>
      </c>
      <c r="F532" s="15">
        <v>49541</v>
      </c>
    </row>
    <row r="533" spans="1:6" x14ac:dyDescent="0.3">
      <c r="A533" s="7">
        <v>2019</v>
      </c>
      <c r="B533" s="8" t="s">
        <v>51</v>
      </c>
      <c r="C533" s="8" t="s">
        <v>4</v>
      </c>
      <c r="D533" s="14">
        <v>84247</v>
      </c>
      <c r="E533" s="14">
        <v>885668</v>
      </c>
      <c r="F533" s="15">
        <v>73343</v>
      </c>
    </row>
    <row r="534" spans="1:6" x14ac:dyDescent="0.3">
      <c r="A534" s="7">
        <v>2019</v>
      </c>
      <c r="B534" s="8" t="s">
        <v>51</v>
      </c>
      <c r="C534" s="8" t="s">
        <v>5</v>
      </c>
      <c r="D534" s="14">
        <v>20430</v>
      </c>
      <c r="E534" s="14">
        <v>178880</v>
      </c>
      <c r="F534" s="15">
        <v>64603</v>
      </c>
    </row>
    <row r="535" spans="1:6" x14ac:dyDescent="0.3">
      <c r="A535" s="7">
        <v>2019</v>
      </c>
      <c r="B535" s="8" t="s">
        <v>51</v>
      </c>
      <c r="C535" s="8" t="s">
        <v>6</v>
      </c>
      <c r="D535" s="14">
        <v>9496</v>
      </c>
      <c r="E535" s="14">
        <v>59731</v>
      </c>
      <c r="F535" s="15">
        <v>72413</v>
      </c>
    </row>
    <row r="536" spans="1:6" x14ac:dyDescent="0.3">
      <c r="A536" s="7">
        <v>2019</v>
      </c>
      <c r="B536" s="8" t="s">
        <v>51</v>
      </c>
      <c r="C536" s="8" t="s">
        <v>7</v>
      </c>
      <c r="D536" s="14">
        <v>3007</v>
      </c>
      <c r="E536" s="14">
        <v>22909</v>
      </c>
      <c r="F536" s="15">
        <v>62481</v>
      </c>
    </row>
    <row r="537" spans="1:6" x14ac:dyDescent="0.3">
      <c r="A537" s="7">
        <v>2019</v>
      </c>
      <c r="B537" s="8" t="s">
        <v>51</v>
      </c>
      <c r="C537" s="8" t="s">
        <v>8</v>
      </c>
      <c r="D537" s="14">
        <v>74711</v>
      </c>
      <c r="E537" s="14">
        <v>563526</v>
      </c>
      <c r="F537" s="15">
        <v>52893</v>
      </c>
    </row>
    <row r="538" spans="1:6" x14ac:dyDescent="0.3">
      <c r="A538" s="7">
        <v>2019</v>
      </c>
      <c r="B538" s="8" t="s">
        <v>51</v>
      </c>
      <c r="C538" s="8" t="s">
        <v>9</v>
      </c>
      <c r="D538" s="14">
        <v>21408</v>
      </c>
      <c r="E538" s="14">
        <v>203951</v>
      </c>
      <c r="F538" s="15">
        <v>63683</v>
      </c>
    </row>
    <row r="539" spans="1:6" x14ac:dyDescent="0.3">
      <c r="A539" s="7">
        <v>2019</v>
      </c>
      <c r="B539" s="8" t="s">
        <v>51</v>
      </c>
      <c r="C539" s="8" t="s">
        <v>10</v>
      </c>
      <c r="D539" s="14">
        <v>8175</v>
      </c>
      <c r="E539" s="14">
        <v>50684</v>
      </c>
      <c r="F539" s="15">
        <v>46258</v>
      </c>
    </row>
    <row r="540" spans="1:6" x14ac:dyDescent="0.3">
      <c r="A540" s="7">
        <v>2019</v>
      </c>
      <c r="B540" s="8" t="s">
        <v>51</v>
      </c>
      <c r="C540" s="8" t="s">
        <v>11</v>
      </c>
      <c r="D540" s="14">
        <v>32686</v>
      </c>
      <c r="E540" s="14">
        <v>227968</v>
      </c>
      <c r="F540" s="15">
        <v>73799</v>
      </c>
    </row>
    <row r="541" spans="1:6" x14ac:dyDescent="0.3">
      <c r="A541" s="7">
        <v>2019</v>
      </c>
      <c r="B541" s="8" t="s">
        <v>51</v>
      </c>
      <c r="C541" s="8" t="s">
        <v>12</v>
      </c>
      <c r="D541" s="14">
        <v>15232</v>
      </c>
      <c r="E541" s="14">
        <v>145851</v>
      </c>
      <c r="F541" s="15">
        <v>60057</v>
      </c>
    </row>
    <row r="542" spans="1:6" x14ac:dyDescent="0.3">
      <c r="A542" s="7">
        <v>2019</v>
      </c>
      <c r="B542" s="8" t="s">
        <v>51</v>
      </c>
      <c r="C542" s="8" t="s">
        <v>13</v>
      </c>
      <c r="D542" s="14">
        <v>9462</v>
      </c>
      <c r="E542" s="14">
        <v>78134</v>
      </c>
      <c r="F542" s="15">
        <v>58962</v>
      </c>
    </row>
    <row r="543" spans="1:6" x14ac:dyDescent="0.3">
      <c r="A543" s="7">
        <v>2019</v>
      </c>
      <c r="B543" s="8" t="s">
        <v>51</v>
      </c>
      <c r="C543" s="8" t="s">
        <v>14</v>
      </c>
      <c r="D543" s="14">
        <v>7399</v>
      </c>
      <c r="E543" s="14">
        <v>63735</v>
      </c>
      <c r="F543" s="15">
        <v>57030</v>
      </c>
    </row>
    <row r="544" spans="1:6" x14ac:dyDescent="0.3">
      <c r="A544" s="7">
        <v>2019</v>
      </c>
      <c r="B544" s="8" t="s">
        <v>51</v>
      </c>
      <c r="C544" s="8" t="s">
        <v>15</v>
      </c>
      <c r="D544" s="14">
        <v>9517</v>
      </c>
      <c r="E544" s="14">
        <v>80463</v>
      </c>
      <c r="F544" s="15">
        <v>55601</v>
      </c>
    </row>
    <row r="545" spans="1:6" x14ac:dyDescent="0.3">
      <c r="A545" s="7">
        <v>2019</v>
      </c>
      <c r="B545" s="8" t="s">
        <v>51</v>
      </c>
      <c r="C545" s="8" t="s">
        <v>16</v>
      </c>
      <c r="D545" s="14">
        <v>10991</v>
      </c>
      <c r="E545" s="14">
        <v>142033</v>
      </c>
      <c r="F545" s="15">
        <v>64940</v>
      </c>
    </row>
    <row r="546" spans="1:6" x14ac:dyDescent="0.3">
      <c r="A546" s="7">
        <v>2019</v>
      </c>
      <c r="B546" s="8" t="s">
        <v>51</v>
      </c>
      <c r="C546" s="8" t="s">
        <v>17</v>
      </c>
      <c r="D546" s="14">
        <v>5605</v>
      </c>
      <c r="E546" s="14">
        <v>29987</v>
      </c>
      <c r="F546" s="15">
        <v>51654</v>
      </c>
    </row>
    <row r="547" spans="1:6" x14ac:dyDescent="0.3">
      <c r="A547" s="7">
        <v>2019</v>
      </c>
      <c r="B547" s="8" t="s">
        <v>51</v>
      </c>
      <c r="C547" s="8" t="s">
        <v>18</v>
      </c>
      <c r="D547" s="14">
        <v>16694</v>
      </c>
      <c r="E547" s="14">
        <v>166132</v>
      </c>
      <c r="F547" s="15">
        <v>67799</v>
      </c>
    </row>
    <row r="548" spans="1:6" x14ac:dyDescent="0.3">
      <c r="A548" s="7">
        <v>2019</v>
      </c>
      <c r="B548" s="8" t="s">
        <v>51</v>
      </c>
      <c r="C548" s="8" t="s">
        <v>19</v>
      </c>
      <c r="D548" s="14">
        <v>21309</v>
      </c>
      <c r="E548" s="14">
        <v>163062</v>
      </c>
      <c r="F548" s="15">
        <v>81436</v>
      </c>
    </row>
    <row r="549" spans="1:6" x14ac:dyDescent="0.3">
      <c r="A549" s="7">
        <v>2019</v>
      </c>
      <c r="B549" s="8" t="s">
        <v>51</v>
      </c>
      <c r="C549" s="8" t="s">
        <v>20</v>
      </c>
      <c r="D549" s="14">
        <v>21106</v>
      </c>
      <c r="E549" s="14">
        <v>173015</v>
      </c>
      <c r="F549" s="15">
        <v>63588</v>
      </c>
    </row>
    <row r="550" spans="1:6" x14ac:dyDescent="0.3">
      <c r="A550" s="7">
        <v>2019</v>
      </c>
      <c r="B550" s="8" t="s">
        <v>51</v>
      </c>
      <c r="C550" s="8" t="s">
        <v>21</v>
      </c>
      <c r="D550" s="14">
        <v>16700</v>
      </c>
      <c r="E550" s="14">
        <v>127092</v>
      </c>
      <c r="F550" s="15">
        <v>69734</v>
      </c>
    </row>
    <row r="551" spans="1:6" x14ac:dyDescent="0.3">
      <c r="A551" s="7">
        <v>2019</v>
      </c>
      <c r="B551" s="8" t="s">
        <v>51</v>
      </c>
      <c r="C551" s="8" t="s">
        <v>22</v>
      </c>
      <c r="D551" s="14">
        <v>5771</v>
      </c>
      <c r="E551" s="14">
        <v>44543</v>
      </c>
      <c r="F551" s="15">
        <v>50925</v>
      </c>
    </row>
    <row r="552" spans="1:6" x14ac:dyDescent="0.3">
      <c r="A552" s="7">
        <v>2019</v>
      </c>
      <c r="B552" s="8" t="s">
        <v>51</v>
      </c>
      <c r="C552" s="8" t="s">
        <v>23</v>
      </c>
      <c r="D552" s="14">
        <v>15133</v>
      </c>
      <c r="E552" s="14">
        <v>126641</v>
      </c>
      <c r="F552" s="15">
        <v>61762</v>
      </c>
    </row>
    <row r="553" spans="1:6" x14ac:dyDescent="0.3">
      <c r="A553" s="7">
        <v>2019</v>
      </c>
      <c r="B553" s="8" t="s">
        <v>51</v>
      </c>
      <c r="C553" s="8" t="s">
        <v>24</v>
      </c>
      <c r="D553" s="14">
        <v>6432</v>
      </c>
      <c r="E553" s="14">
        <v>29914</v>
      </c>
      <c r="F553" s="15">
        <v>53962</v>
      </c>
    </row>
    <row r="554" spans="1:6" x14ac:dyDescent="0.3">
      <c r="A554" s="7">
        <v>2019</v>
      </c>
      <c r="B554" s="8" t="s">
        <v>51</v>
      </c>
      <c r="C554" s="8" t="s">
        <v>25</v>
      </c>
      <c r="D554" s="14">
        <v>7038</v>
      </c>
      <c r="E554" s="14">
        <v>53732</v>
      </c>
      <c r="F554" s="15">
        <v>53794</v>
      </c>
    </row>
    <row r="555" spans="1:6" x14ac:dyDescent="0.3">
      <c r="A555" s="7">
        <v>2019</v>
      </c>
      <c r="B555" s="8" t="s">
        <v>51</v>
      </c>
      <c r="C555" s="8" t="s">
        <v>26</v>
      </c>
      <c r="D555" s="14">
        <v>5852</v>
      </c>
      <c r="E555" s="14">
        <v>95939</v>
      </c>
      <c r="F555" s="15">
        <v>64365</v>
      </c>
    </row>
    <row r="556" spans="1:6" x14ac:dyDescent="0.3">
      <c r="A556" s="7">
        <v>2019</v>
      </c>
      <c r="B556" s="8" t="s">
        <v>51</v>
      </c>
      <c r="C556" s="8" t="s">
        <v>27</v>
      </c>
      <c r="D556" s="14">
        <v>4692</v>
      </c>
      <c r="E556" s="14">
        <v>27825</v>
      </c>
      <c r="F556" s="15">
        <v>64868</v>
      </c>
    </row>
    <row r="557" spans="1:6" x14ac:dyDescent="0.3">
      <c r="A557" s="7">
        <v>2019</v>
      </c>
      <c r="B557" s="8" t="s">
        <v>51</v>
      </c>
      <c r="C557" s="8" t="s">
        <v>28</v>
      </c>
      <c r="D557" s="14">
        <v>22556</v>
      </c>
      <c r="E557" s="14">
        <v>159462</v>
      </c>
      <c r="F557" s="15">
        <v>74644</v>
      </c>
    </row>
    <row r="558" spans="1:6" x14ac:dyDescent="0.3">
      <c r="A558" s="7">
        <v>2019</v>
      </c>
      <c r="B558" s="8" t="s">
        <v>51</v>
      </c>
      <c r="C558" s="8" t="s">
        <v>29</v>
      </c>
      <c r="D558" s="14">
        <v>5571</v>
      </c>
      <c r="E558" s="14">
        <v>50153</v>
      </c>
      <c r="F558" s="15">
        <v>52091</v>
      </c>
    </row>
    <row r="559" spans="1:6" x14ac:dyDescent="0.3">
      <c r="A559" s="7">
        <v>2019</v>
      </c>
      <c r="B559" s="8" t="s">
        <v>51</v>
      </c>
      <c r="C559" s="8" t="s">
        <v>30</v>
      </c>
      <c r="D559" s="14">
        <v>50432</v>
      </c>
      <c r="E559" s="14">
        <v>405650</v>
      </c>
      <c r="F559" s="15">
        <v>75570</v>
      </c>
    </row>
    <row r="560" spans="1:6" x14ac:dyDescent="0.3">
      <c r="A560" s="7">
        <v>2019</v>
      </c>
      <c r="B560" s="8" t="s">
        <v>51</v>
      </c>
      <c r="C560" s="8" t="s">
        <v>31</v>
      </c>
      <c r="D560" s="14">
        <v>27974</v>
      </c>
      <c r="E560" s="14">
        <v>231739</v>
      </c>
      <c r="F560" s="15">
        <v>56974</v>
      </c>
    </row>
    <row r="561" spans="1:6" x14ac:dyDescent="0.3">
      <c r="A561" s="7">
        <v>2019</v>
      </c>
      <c r="B561" s="8" t="s">
        <v>51</v>
      </c>
      <c r="C561" s="8" t="s">
        <v>32</v>
      </c>
      <c r="D561" s="14">
        <v>3692</v>
      </c>
      <c r="E561" s="14">
        <v>27961</v>
      </c>
      <c r="F561" s="15">
        <v>68153</v>
      </c>
    </row>
    <row r="562" spans="1:6" x14ac:dyDescent="0.3">
      <c r="A562" s="7">
        <v>2019</v>
      </c>
      <c r="B562" s="8" t="s">
        <v>51</v>
      </c>
      <c r="C562" s="8" t="s">
        <v>33</v>
      </c>
      <c r="D562" s="14">
        <v>23405</v>
      </c>
      <c r="E562" s="14">
        <v>226563</v>
      </c>
      <c r="F562" s="15">
        <v>62383</v>
      </c>
    </row>
    <row r="563" spans="1:6" x14ac:dyDescent="0.3">
      <c r="A563" s="7">
        <v>2019</v>
      </c>
      <c r="B563" s="8" t="s">
        <v>51</v>
      </c>
      <c r="C563" s="8" t="s">
        <v>34</v>
      </c>
      <c r="D563" s="14">
        <v>9801</v>
      </c>
      <c r="E563" s="14">
        <v>82834</v>
      </c>
      <c r="F563" s="15">
        <v>54435</v>
      </c>
    </row>
    <row r="564" spans="1:6" x14ac:dyDescent="0.3">
      <c r="A564" s="7">
        <v>2019</v>
      </c>
      <c r="B564" s="8" t="s">
        <v>51</v>
      </c>
      <c r="C564" s="8" t="s">
        <v>35</v>
      </c>
      <c r="D564" s="14">
        <v>14626</v>
      </c>
      <c r="E564" s="14">
        <v>108871</v>
      </c>
      <c r="F564" s="15">
        <v>63148</v>
      </c>
    </row>
    <row r="565" spans="1:6" x14ac:dyDescent="0.3">
      <c r="A565" s="7">
        <v>2019</v>
      </c>
      <c r="B565" s="8" t="s">
        <v>51</v>
      </c>
      <c r="C565" s="8" t="s">
        <v>36</v>
      </c>
      <c r="D565" s="14">
        <v>29139</v>
      </c>
      <c r="E565" s="14">
        <v>260895</v>
      </c>
      <c r="F565" s="15">
        <v>68612</v>
      </c>
    </row>
    <row r="566" spans="1:6" x14ac:dyDescent="0.3">
      <c r="A566" s="7">
        <v>2019</v>
      </c>
      <c r="B566" s="8" t="s">
        <v>51</v>
      </c>
      <c r="C566" s="8" t="s">
        <v>37</v>
      </c>
      <c r="D566" s="14">
        <v>3833</v>
      </c>
      <c r="E566" s="14">
        <v>19980</v>
      </c>
      <c r="F566" s="15">
        <v>63414</v>
      </c>
    </row>
    <row r="567" spans="1:6" x14ac:dyDescent="0.3">
      <c r="A567" s="7">
        <v>2019</v>
      </c>
      <c r="B567" s="8" t="s">
        <v>51</v>
      </c>
      <c r="C567" s="8" t="s">
        <v>38</v>
      </c>
      <c r="D567" s="14">
        <v>12956</v>
      </c>
      <c r="E567" s="14">
        <v>107028</v>
      </c>
      <c r="F567" s="15">
        <v>55230</v>
      </c>
    </row>
    <row r="568" spans="1:6" x14ac:dyDescent="0.3">
      <c r="A568" s="7">
        <v>2019</v>
      </c>
      <c r="B568" s="8" t="s">
        <v>51</v>
      </c>
      <c r="C568" s="8" t="s">
        <v>39</v>
      </c>
      <c r="D568" s="14">
        <v>3897</v>
      </c>
      <c r="E568" s="14">
        <v>23609</v>
      </c>
      <c r="F568" s="15">
        <v>50997</v>
      </c>
    </row>
    <row r="569" spans="1:6" x14ac:dyDescent="0.3">
      <c r="A569" s="7">
        <v>2019</v>
      </c>
      <c r="B569" s="8" t="s">
        <v>51</v>
      </c>
      <c r="C569" s="8" t="s">
        <v>40</v>
      </c>
      <c r="D569" s="14">
        <v>12487</v>
      </c>
      <c r="E569" s="14">
        <v>130126</v>
      </c>
      <c r="F569" s="15">
        <v>58777</v>
      </c>
    </row>
    <row r="570" spans="1:6" x14ac:dyDescent="0.3">
      <c r="A570" s="7">
        <v>2019</v>
      </c>
      <c r="B570" s="8" t="s">
        <v>51</v>
      </c>
      <c r="C570" s="8" t="s">
        <v>41</v>
      </c>
      <c r="D570" s="14">
        <v>53248</v>
      </c>
      <c r="E570" s="14">
        <v>774190</v>
      </c>
      <c r="F570" s="15">
        <v>67564</v>
      </c>
    </row>
    <row r="571" spans="1:6" x14ac:dyDescent="0.3">
      <c r="A571" s="7">
        <v>2019</v>
      </c>
      <c r="B571" s="8" t="s">
        <v>51</v>
      </c>
      <c r="C571" s="8" t="s">
        <v>42</v>
      </c>
      <c r="D571" s="14">
        <v>12212</v>
      </c>
      <c r="E571" s="14">
        <v>109486</v>
      </c>
      <c r="F571" s="15">
        <v>53428</v>
      </c>
    </row>
    <row r="572" spans="1:6" x14ac:dyDescent="0.3">
      <c r="A572" s="7">
        <v>2019</v>
      </c>
      <c r="B572" s="8" t="s">
        <v>51</v>
      </c>
      <c r="C572" s="8" t="s">
        <v>43</v>
      </c>
      <c r="D572" s="14">
        <v>2846</v>
      </c>
      <c r="E572" s="14">
        <v>15283</v>
      </c>
      <c r="F572" s="15">
        <v>52585</v>
      </c>
    </row>
    <row r="573" spans="1:6" x14ac:dyDescent="0.3">
      <c r="A573" s="7">
        <v>2019</v>
      </c>
      <c r="B573" s="8" t="s">
        <v>51</v>
      </c>
      <c r="C573" s="8" t="s">
        <v>44</v>
      </c>
      <c r="D573" s="14">
        <v>21468</v>
      </c>
      <c r="E573" s="14">
        <v>202134</v>
      </c>
      <c r="F573" s="15">
        <v>60504</v>
      </c>
    </row>
    <row r="574" spans="1:6" x14ac:dyDescent="0.3">
      <c r="A574" s="7">
        <v>2019</v>
      </c>
      <c r="B574" s="8" t="s">
        <v>51</v>
      </c>
      <c r="C574" s="8" t="s">
        <v>45</v>
      </c>
      <c r="D574" s="14">
        <v>26472</v>
      </c>
      <c r="E574" s="14">
        <v>205717</v>
      </c>
      <c r="F574" s="15">
        <v>67833</v>
      </c>
    </row>
    <row r="575" spans="1:6" x14ac:dyDescent="0.3">
      <c r="A575" s="7">
        <v>2019</v>
      </c>
      <c r="B575" s="8" t="s">
        <v>51</v>
      </c>
      <c r="C575" s="8" t="s">
        <v>46</v>
      </c>
      <c r="D575" s="14">
        <v>4338</v>
      </c>
      <c r="E575" s="14">
        <v>35459</v>
      </c>
      <c r="F575" s="15">
        <v>64460</v>
      </c>
    </row>
    <row r="576" spans="1:6" x14ac:dyDescent="0.3">
      <c r="A576" s="7">
        <v>2019</v>
      </c>
      <c r="B576" s="8" t="s">
        <v>51</v>
      </c>
      <c r="C576" s="8" t="s">
        <v>47</v>
      </c>
      <c r="D576" s="14">
        <v>14823</v>
      </c>
      <c r="E576" s="14">
        <v>124384</v>
      </c>
      <c r="F576" s="15">
        <v>63874</v>
      </c>
    </row>
    <row r="577" spans="1:6" x14ac:dyDescent="0.3">
      <c r="A577" s="7">
        <v>2019</v>
      </c>
      <c r="B577" s="8" t="s">
        <v>51</v>
      </c>
      <c r="C577" s="8" t="s">
        <v>48</v>
      </c>
      <c r="D577" s="14">
        <v>3427</v>
      </c>
      <c r="E577" s="14">
        <v>22875</v>
      </c>
      <c r="F577" s="15">
        <v>57417</v>
      </c>
    </row>
    <row r="578" spans="1:6" x14ac:dyDescent="0.3">
      <c r="A578" s="7">
        <v>2019</v>
      </c>
      <c r="B578" s="8" t="s">
        <v>52</v>
      </c>
      <c r="C578" s="8" t="s">
        <v>1</v>
      </c>
      <c r="D578" s="14">
        <v>5677</v>
      </c>
      <c r="E578" s="14">
        <v>268948</v>
      </c>
      <c r="F578" s="15">
        <v>58532</v>
      </c>
    </row>
    <row r="579" spans="1:6" x14ac:dyDescent="0.3">
      <c r="A579" s="7">
        <v>2019</v>
      </c>
      <c r="B579" s="8" t="s">
        <v>52</v>
      </c>
      <c r="C579" s="8" t="s">
        <v>2</v>
      </c>
      <c r="D579" s="14">
        <v>5157</v>
      </c>
      <c r="E579" s="14">
        <v>177610</v>
      </c>
      <c r="F579" s="15">
        <v>78966</v>
      </c>
    </row>
    <row r="580" spans="1:6" x14ac:dyDescent="0.3">
      <c r="A580" s="7">
        <v>2019</v>
      </c>
      <c r="B580" s="8" t="s">
        <v>52</v>
      </c>
      <c r="C580" s="8" t="s">
        <v>3</v>
      </c>
      <c r="D580" s="14">
        <v>2930</v>
      </c>
      <c r="E580" s="14">
        <v>162214</v>
      </c>
      <c r="F580" s="15">
        <v>49202</v>
      </c>
    </row>
    <row r="581" spans="1:6" x14ac:dyDescent="0.3">
      <c r="A581" s="7">
        <v>2019</v>
      </c>
      <c r="B581" s="8" t="s">
        <v>52</v>
      </c>
      <c r="C581" s="8" t="s">
        <v>4</v>
      </c>
      <c r="D581" s="14">
        <v>44539</v>
      </c>
      <c r="E581" s="14">
        <v>1322455</v>
      </c>
      <c r="F581" s="15">
        <v>98222</v>
      </c>
    </row>
    <row r="582" spans="1:6" x14ac:dyDescent="0.3">
      <c r="A582" s="7">
        <v>2019</v>
      </c>
      <c r="B582" s="8" t="s">
        <v>52</v>
      </c>
      <c r="C582" s="8" t="s">
        <v>5</v>
      </c>
      <c r="D582" s="14">
        <v>5849</v>
      </c>
      <c r="E582" s="14">
        <v>150109</v>
      </c>
      <c r="F582" s="15">
        <v>73935</v>
      </c>
    </row>
    <row r="583" spans="1:6" x14ac:dyDescent="0.3">
      <c r="A583" s="7">
        <v>2019</v>
      </c>
      <c r="B583" s="8" t="s">
        <v>52</v>
      </c>
      <c r="C583" s="8" t="s">
        <v>6</v>
      </c>
      <c r="D583" s="14">
        <v>4405</v>
      </c>
      <c r="E583" s="14">
        <v>161899</v>
      </c>
      <c r="F583" s="15">
        <v>85024</v>
      </c>
    </row>
    <row r="584" spans="1:6" x14ac:dyDescent="0.3">
      <c r="A584" s="7">
        <v>2019</v>
      </c>
      <c r="B584" s="8" t="s">
        <v>52</v>
      </c>
      <c r="C584" s="8" t="s">
        <v>7</v>
      </c>
      <c r="D584" s="8">
        <v>663</v>
      </c>
      <c r="E584" s="14">
        <v>27298</v>
      </c>
      <c r="F584" s="15">
        <v>66194</v>
      </c>
    </row>
    <row r="585" spans="1:6" x14ac:dyDescent="0.3">
      <c r="A585" s="7">
        <v>2019</v>
      </c>
      <c r="B585" s="8" t="s">
        <v>52</v>
      </c>
      <c r="C585" s="8" t="s">
        <v>8</v>
      </c>
      <c r="D585" s="14">
        <v>20799</v>
      </c>
      <c r="E585" s="14">
        <v>383956</v>
      </c>
      <c r="F585" s="15">
        <v>63877</v>
      </c>
    </row>
    <row r="586" spans="1:6" x14ac:dyDescent="0.3">
      <c r="A586" s="7">
        <v>2019</v>
      </c>
      <c r="B586" s="8" t="s">
        <v>52</v>
      </c>
      <c r="C586" s="8" t="s">
        <v>9</v>
      </c>
      <c r="D586" s="14">
        <v>10066</v>
      </c>
      <c r="E586" s="14">
        <v>404085</v>
      </c>
      <c r="F586" s="15">
        <v>58246</v>
      </c>
    </row>
    <row r="587" spans="1:6" x14ac:dyDescent="0.3">
      <c r="A587" s="7">
        <v>2019</v>
      </c>
      <c r="B587" s="8" t="s">
        <v>52</v>
      </c>
      <c r="C587" s="8" t="s">
        <v>10</v>
      </c>
      <c r="D587" s="14">
        <v>2680</v>
      </c>
      <c r="E587" s="14">
        <v>68404</v>
      </c>
      <c r="F587" s="15">
        <v>62480</v>
      </c>
    </row>
    <row r="588" spans="1:6" x14ac:dyDescent="0.3">
      <c r="A588" s="7">
        <v>2019</v>
      </c>
      <c r="B588" s="8" t="s">
        <v>52</v>
      </c>
      <c r="C588" s="8" t="s">
        <v>11</v>
      </c>
      <c r="D588" s="14">
        <v>18066</v>
      </c>
      <c r="E588" s="14">
        <v>585894</v>
      </c>
      <c r="F588" s="15">
        <v>72819</v>
      </c>
    </row>
    <row r="589" spans="1:6" x14ac:dyDescent="0.3">
      <c r="A589" s="7">
        <v>2019</v>
      </c>
      <c r="B589" s="8" t="s">
        <v>52</v>
      </c>
      <c r="C589" s="8" t="s">
        <v>12</v>
      </c>
      <c r="D589" s="14">
        <v>9083</v>
      </c>
      <c r="E589" s="14">
        <v>541099</v>
      </c>
      <c r="F589" s="15">
        <v>63320</v>
      </c>
    </row>
    <row r="590" spans="1:6" x14ac:dyDescent="0.3">
      <c r="A590" s="7">
        <v>2019</v>
      </c>
      <c r="B590" s="8" t="s">
        <v>52</v>
      </c>
      <c r="C590" s="8" t="s">
        <v>13</v>
      </c>
      <c r="D590" s="14">
        <v>4132</v>
      </c>
      <c r="E590" s="14">
        <v>226152</v>
      </c>
      <c r="F590" s="15">
        <v>60185</v>
      </c>
    </row>
    <row r="591" spans="1:6" x14ac:dyDescent="0.3">
      <c r="A591" s="7">
        <v>2019</v>
      </c>
      <c r="B591" s="8" t="s">
        <v>52</v>
      </c>
      <c r="C591" s="8" t="s">
        <v>14</v>
      </c>
      <c r="D591" s="14">
        <v>3105</v>
      </c>
      <c r="E591" s="14">
        <v>167196</v>
      </c>
      <c r="F591" s="15">
        <v>59652</v>
      </c>
    </row>
    <row r="592" spans="1:6" x14ac:dyDescent="0.3">
      <c r="A592" s="7">
        <v>2019</v>
      </c>
      <c r="B592" s="8" t="s">
        <v>52</v>
      </c>
      <c r="C592" s="8" t="s">
        <v>15</v>
      </c>
      <c r="D592" s="14">
        <v>4583</v>
      </c>
      <c r="E592" s="14">
        <v>252626</v>
      </c>
      <c r="F592" s="15">
        <v>61167</v>
      </c>
    </row>
    <row r="593" spans="1:6" x14ac:dyDescent="0.3">
      <c r="A593" s="7">
        <v>2019</v>
      </c>
      <c r="B593" s="8" t="s">
        <v>52</v>
      </c>
      <c r="C593" s="8" t="s">
        <v>16</v>
      </c>
      <c r="D593" s="14">
        <v>4453</v>
      </c>
      <c r="E593" s="14">
        <v>137729</v>
      </c>
      <c r="F593" s="15">
        <v>77600</v>
      </c>
    </row>
    <row r="594" spans="1:6" x14ac:dyDescent="0.3">
      <c r="A594" s="7">
        <v>2019</v>
      </c>
      <c r="B594" s="8" t="s">
        <v>52</v>
      </c>
      <c r="C594" s="8" t="s">
        <v>17</v>
      </c>
      <c r="D594" s="14">
        <v>1870</v>
      </c>
      <c r="E594" s="14">
        <v>53047</v>
      </c>
      <c r="F594" s="15">
        <v>57227</v>
      </c>
    </row>
    <row r="595" spans="1:6" x14ac:dyDescent="0.3">
      <c r="A595" s="7">
        <v>2019</v>
      </c>
      <c r="B595" s="8" t="s">
        <v>52</v>
      </c>
      <c r="C595" s="8" t="s">
        <v>18</v>
      </c>
      <c r="D595" s="14">
        <v>4145</v>
      </c>
      <c r="E595" s="14">
        <v>112273</v>
      </c>
      <c r="F595" s="15">
        <v>79016</v>
      </c>
    </row>
    <row r="596" spans="1:6" x14ac:dyDescent="0.3">
      <c r="A596" s="7">
        <v>2019</v>
      </c>
      <c r="B596" s="8" t="s">
        <v>52</v>
      </c>
      <c r="C596" s="8" t="s">
        <v>19</v>
      </c>
      <c r="D596" s="14">
        <v>6682</v>
      </c>
      <c r="E596" s="14">
        <v>244258</v>
      </c>
      <c r="F596" s="15">
        <v>89698</v>
      </c>
    </row>
    <row r="597" spans="1:6" x14ac:dyDescent="0.3">
      <c r="A597" s="7">
        <v>2019</v>
      </c>
      <c r="B597" s="8" t="s">
        <v>52</v>
      </c>
      <c r="C597" s="8" t="s">
        <v>20</v>
      </c>
      <c r="D597" s="14">
        <v>16948</v>
      </c>
      <c r="E597" s="14">
        <v>625676</v>
      </c>
      <c r="F597" s="15">
        <v>68465</v>
      </c>
    </row>
    <row r="598" spans="1:6" x14ac:dyDescent="0.3">
      <c r="A598" s="7">
        <v>2019</v>
      </c>
      <c r="B598" s="8" t="s">
        <v>52</v>
      </c>
      <c r="C598" s="8" t="s">
        <v>21</v>
      </c>
      <c r="D598" s="14">
        <v>8265</v>
      </c>
      <c r="E598" s="14">
        <v>324018</v>
      </c>
      <c r="F598" s="15">
        <v>68082</v>
      </c>
    </row>
    <row r="599" spans="1:6" x14ac:dyDescent="0.3">
      <c r="A599" s="7">
        <v>2019</v>
      </c>
      <c r="B599" s="8" t="s">
        <v>52</v>
      </c>
      <c r="C599" s="8" t="s">
        <v>22</v>
      </c>
      <c r="D599" s="14">
        <v>2396</v>
      </c>
      <c r="E599" s="14">
        <v>146775</v>
      </c>
      <c r="F599" s="15">
        <v>50065</v>
      </c>
    </row>
    <row r="600" spans="1:6" x14ac:dyDescent="0.3">
      <c r="A600" s="7">
        <v>2019</v>
      </c>
      <c r="B600" s="8" t="s">
        <v>52</v>
      </c>
      <c r="C600" s="8" t="s">
        <v>23</v>
      </c>
      <c r="D600" s="14">
        <v>6681</v>
      </c>
      <c r="E600" s="14">
        <v>277104</v>
      </c>
      <c r="F600" s="15">
        <v>59758</v>
      </c>
    </row>
    <row r="601" spans="1:6" x14ac:dyDescent="0.3">
      <c r="A601" s="7">
        <v>2019</v>
      </c>
      <c r="B601" s="8" t="s">
        <v>52</v>
      </c>
      <c r="C601" s="8" t="s">
        <v>24</v>
      </c>
      <c r="D601" s="14">
        <v>1625</v>
      </c>
      <c r="E601" s="14">
        <v>20972</v>
      </c>
      <c r="F601" s="15">
        <v>51666</v>
      </c>
    </row>
    <row r="602" spans="1:6" x14ac:dyDescent="0.3">
      <c r="A602" s="7">
        <v>2019</v>
      </c>
      <c r="B602" s="8" t="s">
        <v>52</v>
      </c>
      <c r="C602" s="8" t="s">
        <v>25</v>
      </c>
      <c r="D602" s="14">
        <v>1974</v>
      </c>
      <c r="E602" s="14">
        <v>99914</v>
      </c>
      <c r="F602" s="15">
        <v>52716</v>
      </c>
    </row>
    <row r="603" spans="1:6" x14ac:dyDescent="0.3">
      <c r="A603" s="7">
        <v>2019</v>
      </c>
      <c r="B603" s="8" t="s">
        <v>52</v>
      </c>
      <c r="C603" s="8" t="s">
        <v>26</v>
      </c>
      <c r="D603" s="14">
        <v>2069</v>
      </c>
      <c r="E603" s="14">
        <v>59279</v>
      </c>
      <c r="F603" s="15">
        <v>59498</v>
      </c>
    </row>
    <row r="604" spans="1:6" x14ac:dyDescent="0.3">
      <c r="A604" s="7">
        <v>2019</v>
      </c>
      <c r="B604" s="8" t="s">
        <v>52</v>
      </c>
      <c r="C604" s="8" t="s">
        <v>27</v>
      </c>
      <c r="D604" s="14">
        <v>2012</v>
      </c>
      <c r="E604" s="14">
        <v>71459</v>
      </c>
      <c r="F604" s="15">
        <v>73007</v>
      </c>
    </row>
    <row r="605" spans="1:6" x14ac:dyDescent="0.3">
      <c r="A605" s="7">
        <v>2019</v>
      </c>
      <c r="B605" s="8" t="s">
        <v>52</v>
      </c>
      <c r="C605" s="8" t="s">
        <v>28</v>
      </c>
      <c r="D605" s="14">
        <v>8994</v>
      </c>
      <c r="E605" s="14">
        <v>249464</v>
      </c>
      <c r="F605" s="15">
        <v>81649</v>
      </c>
    </row>
    <row r="606" spans="1:6" x14ac:dyDescent="0.3">
      <c r="A606" s="7">
        <v>2019</v>
      </c>
      <c r="B606" s="8" t="s">
        <v>52</v>
      </c>
      <c r="C606" s="8" t="s">
        <v>29</v>
      </c>
      <c r="D606" s="14">
        <v>1810</v>
      </c>
      <c r="E606" s="14">
        <v>28514</v>
      </c>
      <c r="F606" s="15">
        <v>55737</v>
      </c>
    </row>
    <row r="607" spans="1:6" x14ac:dyDescent="0.3">
      <c r="A607" s="7">
        <v>2019</v>
      </c>
      <c r="B607" s="8" t="s">
        <v>52</v>
      </c>
      <c r="C607" s="8" t="s">
        <v>30</v>
      </c>
      <c r="D607" s="14">
        <v>16457</v>
      </c>
      <c r="E607" s="14">
        <v>437040</v>
      </c>
      <c r="F607" s="15">
        <v>69154</v>
      </c>
    </row>
    <row r="608" spans="1:6" x14ac:dyDescent="0.3">
      <c r="A608" s="7">
        <v>2019</v>
      </c>
      <c r="B608" s="8" t="s">
        <v>52</v>
      </c>
      <c r="C608" s="8" t="s">
        <v>31</v>
      </c>
      <c r="D608" s="14">
        <v>10247</v>
      </c>
      <c r="E608" s="14">
        <v>477086</v>
      </c>
      <c r="F608" s="15">
        <v>61095</v>
      </c>
    </row>
    <row r="609" spans="1:6" x14ac:dyDescent="0.3">
      <c r="A609" s="7">
        <v>2019</v>
      </c>
      <c r="B609" s="8" t="s">
        <v>52</v>
      </c>
      <c r="C609" s="8" t="s">
        <v>32</v>
      </c>
      <c r="D609" s="8">
        <v>808</v>
      </c>
      <c r="E609" s="14">
        <v>26471</v>
      </c>
      <c r="F609" s="15">
        <v>55179</v>
      </c>
    </row>
    <row r="610" spans="1:6" x14ac:dyDescent="0.3">
      <c r="A610" s="7">
        <v>2019</v>
      </c>
      <c r="B610" s="8" t="s">
        <v>52</v>
      </c>
      <c r="C610" s="8" t="s">
        <v>33</v>
      </c>
      <c r="D610" s="14">
        <v>15486</v>
      </c>
      <c r="E610" s="14">
        <v>700786</v>
      </c>
      <c r="F610" s="15">
        <v>62878</v>
      </c>
    </row>
    <row r="611" spans="1:6" x14ac:dyDescent="0.3">
      <c r="A611" s="7">
        <v>2019</v>
      </c>
      <c r="B611" s="8" t="s">
        <v>52</v>
      </c>
      <c r="C611" s="8" t="s">
        <v>34</v>
      </c>
      <c r="D611" s="14">
        <v>4213</v>
      </c>
      <c r="E611" s="14">
        <v>140812</v>
      </c>
      <c r="F611" s="15">
        <v>59951</v>
      </c>
    </row>
    <row r="612" spans="1:6" x14ac:dyDescent="0.3">
      <c r="A612" s="7">
        <v>2019</v>
      </c>
      <c r="B612" s="8" t="s">
        <v>52</v>
      </c>
      <c r="C612" s="8" t="s">
        <v>35</v>
      </c>
      <c r="D612" s="14">
        <v>6396</v>
      </c>
      <c r="E612" s="14">
        <v>197626</v>
      </c>
      <c r="F612" s="15">
        <v>71436</v>
      </c>
    </row>
    <row r="613" spans="1:6" x14ac:dyDescent="0.3">
      <c r="A613" s="7">
        <v>2019</v>
      </c>
      <c r="B613" s="8" t="s">
        <v>52</v>
      </c>
      <c r="C613" s="8" t="s">
        <v>36</v>
      </c>
      <c r="D613" s="14">
        <v>14432</v>
      </c>
      <c r="E613" s="14">
        <v>574751</v>
      </c>
      <c r="F613" s="15">
        <v>64231</v>
      </c>
    </row>
    <row r="614" spans="1:6" x14ac:dyDescent="0.3">
      <c r="A614" s="7">
        <v>2019</v>
      </c>
      <c r="B614" s="8" t="s">
        <v>52</v>
      </c>
      <c r="C614" s="8" t="s">
        <v>37</v>
      </c>
      <c r="D614" s="14">
        <v>1636</v>
      </c>
      <c r="E614" s="14">
        <v>39736</v>
      </c>
      <c r="F614" s="15">
        <v>60286</v>
      </c>
    </row>
    <row r="615" spans="1:6" x14ac:dyDescent="0.3">
      <c r="A615" s="7">
        <v>2019</v>
      </c>
      <c r="B615" s="8" t="s">
        <v>52</v>
      </c>
      <c r="C615" s="8" t="s">
        <v>38</v>
      </c>
      <c r="D615" s="14">
        <v>6414</v>
      </c>
      <c r="E615" s="14">
        <v>258252</v>
      </c>
      <c r="F615" s="15">
        <v>60850</v>
      </c>
    </row>
    <row r="616" spans="1:6" x14ac:dyDescent="0.3">
      <c r="A616" s="7">
        <v>2019</v>
      </c>
      <c r="B616" s="8" t="s">
        <v>52</v>
      </c>
      <c r="C616" s="8" t="s">
        <v>39</v>
      </c>
      <c r="D616" s="14">
        <v>1067</v>
      </c>
      <c r="E616" s="14">
        <v>44972</v>
      </c>
      <c r="F616" s="15">
        <v>50219</v>
      </c>
    </row>
    <row r="617" spans="1:6" x14ac:dyDescent="0.3">
      <c r="A617" s="7">
        <v>2019</v>
      </c>
      <c r="B617" s="8" t="s">
        <v>52</v>
      </c>
      <c r="C617" s="8" t="s">
        <v>40</v>
      </c>
      <c r="D617" s="14">
        <v>7272</v>
      </c>
      <c r="E617" s="14">
        <v>354961</v>
      </c>
      <c r="F617" s="15">
        <v>60305</v>
      </c>
    </row>
    <row r="618" spans="1:6" x14ac:dyDescent="0.3">
      <c r="A618" s="7">
        <v>2019</v>
      </c>
      <c r="B618" s="8" t="s">
        <v>52</v>
      </c>
      <c r="C618" s="8" t="s">
        <v>41</v>
      </c>
      <c r="D618" s="14">
        <v>25577</v>
      </c>
      <c r="E618" s="14">
        <v>905953</v>
      </c>
      <c r="F618" s="15">
        <v>79766</v>
      </c>
    </row>
    <row r="619" spans="1:6" x14ac:dyDescent="0.3">
      <c r="A619" s="7">
        <v>2019</v>
      </c>
      <c r="B619" s="8" t="s">
        <v>52</v>
      </c>
      <c r="C619" s="8" t="s">
        <v>42</v>
      </c>
      <c r="D619" s="14">
        <v>4547</v>
      </c>
      <c r="E619" s="14">
        <v>136085</v>
      </c>
      <c r="F619" s="15">
        <v>59426</v>
      </c>
    </row>
    <row r="620" spans="1:6" x14ac:dyDescent="0.3">
      <c r="A620" s="7">
        <v>2019</v>
      </c>
      <c r="B620" s="8" t="s">
        <v>52</v>
      </c>
      <c r="C620" s="8" t="s">
        <v>43</v>
      </c>
      <c r="D620" s="14">
        <v>1108</v>
      </c>
      <c r="E620" s="14">
        <v>30091</v>
      </c>
      <c r="F620" s="15">
        <v>60807</v>
      </c>
    </row>
    <row r="621" spans="1:6" x14ac:dyDescent="0.3">
      <c r="A621" s="7">
        <v>2019</v>
      </c>
      <c r="B621" s="8" t="s">
        <v>52</v>
      </c>
      <c r="C621" s="8" t="s">
        <v>44</v>
      </c>
      <c r="D621" s="14">
        <v>6864</v>
      </c>
      <c r="E621" s="14">
        <v>242160</v>
      </c>
      <c r="F621" s="15">
        <v>61341</v>
      </c>
    </row>
    <row r="622" spans="1:6" x14ac:dyDescent="0.3">
      <c r="A622" s="7">
        <v>2019</v>
      </c>
      <c r="B622" s="8" t="s">
        <v>52</v>
      </c>
      <c r="C622" s="8" t="s">
        <v>45</v>
      </c>
      <c r="D622" s="14">
        <v>7824</v>
      </c>
      <c r="E622" s="14">
        <v>290326</v>
      </c>
      <c r="F622" s="15">
        <v>81228</v>
      </c>
    </row>
    <row r="623" spans="1:6" x14ac:dyDescent="0.3">
      <c r="A623" s="7">
        <v>2019</v>
      </c>
      <c r="B623" s="8" t="s">
        <v>52</v>
      </c>
      <c r="C623" s="8" t="s">
        <v>46</v>
      </c>
      <c r="D623" s="14">
        <v>1251</v>
      </c>
      <c r="E623" s="14">
        <v>46979</v>
      </c>
      <c r="F623" s="15">
        <v>61074</v>
      </c>
    </row>
    <row r="624" spans="1:6" x14ac:dyDescent="0.3">
      <c r="A624" s="7">
        <v>2019</v>
      </c>
      <c r="B624" s="8" t="s">
        <v>52</v>
      </c>
      <c r="C624" s="8" t="s">
        <v>47</v>
      </c>
      <c r="D624" s="14">
        <v>9333</v>
      </c>
      <c r="E624" s="14">
        <v>483196</v>
      </c>
      <c r="F624" s="15">
        <v>59083</v>
      </c>
    </row>
    <row r="625" spans="1:6" x14ac:dyDescent="0.3">
      <c r="A625" s="7">
        <v>2019</v>
      </c>
      <c r="B625" s="8" t="s">
        <v>52</v>
      </c>
      <c r="C625" s="8" t="s">
        <v>48</v>
      </c>
      <c r="D625" s="8">
        <v>615</v>
      </c>
      <c r="E625" s="14">
        <v>10043</v>
      </c>
      <c r="F625" s="15">
        <v>68738</v>
      </c>
    </row>
    <row r="626" spans="1:6" x14ac:dyDescent="0.3">
      <c r="A626" s="7">
        <v>2019</v>
      </c>
      <c r="B626" s="8" t="s">
        <v>54</v>
      </c>
      <c r="C626" s="8" t="s">
        <v>1</v>
      </c>
      <c r="D626" s="14">
        <v>32423</v>
      </c>
      <c r="E626" s="14">
        <v>380193</v>
      </c>
      <c r="F626" s="15">
        <v>43426</v>
      </c>
    </row>
    <row r="627" spans="1:6" x14ac:dyDescent="0.3">
      <c r="A627" s="7">
        <v>2019</v>
      </c>
      <c r="B627" s="8" t="s">
        <v>54</v>
      </c>
      <c r="C627" s="8" t="s">
        <v>2</v>
      </c>
      <c r="D627" s="14">
        <v>33190</v>
      </c>
      <c r="E627" s="14">
        <v>541793</v>
      </c>
      <c r="F627" s="15">
        <v>48023</v>
      </c>
    </row>
    <row r="628" spans="1:6" x14ac:dyDescent="0.3">
      <c r="A628" s="7">
        <v>2019</v>
      </c>
      <c r="B628" s="8" t="s">
        <v>54</v>
      </c>
      <c r="C628" s="8" t="s">
        <v>3</v>
      </c>
      <c r="D628" s="14">
        <v>21821</v>
      </c>
      <c r="E628" s="14">
        <v>248631</v>
      </c>
      <c r="F628" s="15">
        <v>42897</v>
      </c>
    </row>
    <row r="629" spans="1:6" x14ac:dyDescent="0.3">
      <c r="A629" s="7">
        <v>2019</v>
      </c>
      <c r="B629" s="8" t="s">
        <v>54</v>
      </c>
      <c r="C629" s="8" t="s">
        <v>4</v>
      </c>
      <c r="D629" s="14">
        <v>198955</v>
      </c>
      <c r="E629" s="14">
        <v>3042089</v>
      </c>
      <c r="F629" s="15">
        <v>54908</v>
      </c>
    </row>
    <row r="630" spans="1:6" x14ac:dyDescent="0.3">
      <c r="A630" s="7">
        <v>2019</v>
      </c>
      <c r="B630" s="8" t="s">
        <v>54</v>
      </c>
      <c r="C630" s="8" t="s">
        <v>5</v>
      </c>
      <c r="D630" s="14">
        <v>36041</v>
      </c>
      <c r="E630" s="14">
        <v>474011</v>
      </c>
      <c r="F630" s="15">
        <v>52675</v>
      </c>
    </row>
    <row r="631" spans="1:6" x14ac:dyDescent="0.3">
      <c r="A631" s="7">
        <v>2019</v>
      </c>
      <c r="B631" s="8" t="s">
        <v>54</v>
      </c>
      <c r="C631" s="8" t="s">
        <v>6</v>
      </c>
      <c r="D631" s="14">
        <v>24868</v>
      </c>
      <c r="E631" s="14">
        <v>291966</v>
      </c>
      <c r="F631" s="15">
        <v>52540</v>
      </c>
    </row>
    <row r="632" spans="1:6" x14ac:dyDescent="0.3">
      <c r="A632" s="7">
        <v>2019</v>
      </c>
      <c r="B632" s="8" t="s">
        <v>54</v>
      </c>
      <c r="C632" s="8" t="s">
        <v>7</v>
      </c>
      <c r="D632" s="14">
        <v>7005</v>
      </c>
      <c r="E632" s="14">
        <v>79487</v>
      </c>
      <c r="F632" s="15">
        <v>42440</v>
      </c>
    </row>
    <row r="633" spans="1:6" x14ac:dyDescent="0.3">
      <c r="A633" s="7">
        <v>2019</v>
      </c>
      <c r="B633" s="8" t="s">
        <v>54</v>
      </c>
      <c r="C633" s="8" t="s">
        <v>8</v>
      </c>
      <c r="D633" s="14">
        <v>140278</v>
      </c>
      <c r="E633" s="14">
        <v>1799930</v>
      </c>
      <c r="F633" s="15">
        <v>46232</v>
      </c>
    </row>
    <row r="634" spans="1:6" x14ac:dyDescent="0.3">
      <c r="A634" s="7">
        <v>2019</v>
      </c>
      <c r="B634" s="8" t="s">
        <v>54</v>
      </c>
      <c r="C634" s="8" t="s">
        <v>9</v>
      </c>
      <c r="D634" s="14">
        <v>61774</v>
      </c>
      <c r="E634" s="14">
        <v>938063</v>
      </c>
      <c r="F634" s="15">
        <v>49817</v>
      </c>
    </row>
    <row r="635" spans="1:6" x14ac:dyDescent="0.3">
      <c r="A635" s="7">
        <v>2019</v>
      </c>
      <c r="B635" s="8" t="s">
        <v>54</v>
      </c>
      <c r="C635" s="8" t="s">
        <v>10</v>
      </c>
      <c r="D635" s="14">
        <v>11892</v>
      </c>
      <c r="E635" s="14">
        <v>142186</v>
      </c>
      <c r="F635" s="15">
        <v>41533</v>
      </c>
    </row>
    <row r="636" spans="1:6" x14ac:dyDescent="0.3">
      <c r="A636" s="7">
        <v>2019</v>
      </c>
      <c r="B636" s="8" t="s">
        <v>54</v>
      </c>
      <c r="C636" s="8" t="s">
        <v>11</v>
      </c>
      <c r="D636" s="14">
        <v>78822</v>
      </c>
      <c r="E636" s="14">
        <v>1187941</v>
      </c>
      <c r="F636" s="15">
        <v>53573</v>
      </c>
    </row>
    <row r="637" spans="1:6" x14ac:dyDescent="0.3">
      <c r="A637" s="7">
        <v>2019</v>
      </c>
      <c r="B637" s="8" t="s">
        <v>54</v>
      </c>
      <c r="C637" s="8" t="s">
        <v>12</v>
      </c>
      <c r="D637" s="14">
        <v>40283</v>
      </c>
      <c r="E637" s="14">
        <v>594348</v>
      </c>
      <c r="F637" s="15">
        <v>43345</v>
      </c>
    </row>
    <row r="638" spans="1:6" x14ac:dyDescent="0.3">
      <c r="A638" s="7">
        <v>2019</v>
      </c>
      <c r="B638" s="8" t="s">
        <v>54</v>
      </c>
      <c r="C638" s="8" t="s">
        <v>13</v>
      </c>
      <c r="D638" s="14">
        <v>23557</v>
      </c>
      <c r="E638" s="14">
        <v>307822</v>
      </c>
      <c r="F638" s="15">
        <v>41407</v>
      </c>
    </row>
    <row r="639" spans="1:6" x14ac:dyDescent="0.3">
      <c r="A639" s="7">
        <v>2019</v>
      </c>
      <c r="B639" s="8" t="s">
        <v>54</v>
      </c>
      <c r="C639" s="8" t="s">
        <v>14</v>
      </c>
      <c r="D639" s="14">
        <v>19844</v>
      </c>
      <c r="E639" s="14">
        <v>262383</v>
      </c>
      <c r="F639" s="15">
        <v>43539</v>
      </c>
    </row>
    <row r="640" spans="1:6" x14ac:dyDescent="0.3">
      <c r="A640" s="7">
        <v>2019</v>
      </c>
      <c r="B640" s="8" t="s">
        <v>54</v>
      </c>
      <c r="C640" s="8" t="s">
        <v>15</v>
      </c>
      <c r="D640" s="14">
        <v>27892</v>
      </c>
      <c r="E640" s="14">
        <v>401804</v>
      </c>
      <c r="F640" s="15">
        <v>44163</v>
      </c>
    </row>
    <row r="641" spans="1:6" x14ac:dyDescent="0.3">
      <c r="A641" s="7">
        <v>2019</v>
      </c>
      <c r="B641" s="8" t="s">
        <v>54</v>
      </c>
      <c r="C641" s="8" t="s">
        <v>16</v>
      </c>
      <c r="D641" s="14">
        <v>30876</v>
      </c>
      <c r="E641" s="14">
        <v>376026</v>
      </c>
      <c r="F641" s="15">
        <v>43579</v>
      </c>
    </row>
    <row r="642" spans="1:6" x14ac:dyDescent="0.3">
      <c r="A642" s="7">
        <v>2019</v>
      </c>
      <c r="B642" s="8" t="s">
        <v>54</v>
      </c>
      <c r="C642" s="8" t="s">
        <v>17</v>
      </c>
      <c r="D642" s="14">
        <v>10676</v>
      </c>
      <c r="E642" s="14">
        <v>117746</v>
      </c>
      <c r="F642" s="15">
        <v>39115</v>
      </c>
    </row>
    <row r="643" spans="1:6" x14ac:dyDescent="0.3">
      <c r="A643" s="7">
        <v>2019</v>
      </c>
      <c r="B643" s="8" t="s">
        <v>54</v>
      </c>
      <c r="C643" s="8" t="s">
        <v>18</v>
      </c>
      <c r="D643" s="14">
        <v>32640</v>
      </c>
      <c r="E643" s="14">
        <v>463647</v>
      </c>
      <c r="F643" s="15">
        <v>47503</v>
      </c>
    </row>
    <row r="644" spans="1:6" x14ac:dyDescent="0.3">
      <c r="A644" s="7">
        <v>2019</v>
      </c>
      <c r="B644" s="8" t="s">
        <v>54</v>
      </c>
      <c r="C644" s="8" t="s">
        <v>19</v>
      </c>
      <c r="D644" s="14">
        <v>41620</v>
      </c>
      <c r="E644" s="14">
        <v>577282</v>
      </c>
      <c r="F644" s="15">
        <v>55423</v>
      </c>
    </row>
    <row r="645" spans="1:6" x14ac:dyDescent="0.3">
      <c r="A645" s="7">
        <v>2019</v>
      </c>
      <c r="B645" s="8" t="s">
        <v>54</v>
      </c>
      <c r="C645" s="8" t="s">
        <v>20</v>
      </c>
      <c r="D645" s="14">
        <v>55150</v>
      </c>
      <c r="E645" s="14">
        <v>791177</v>
      </c>
      <c r="F645" s="15">
        <v>48357</v>
      </c>
    </row>
    <row r="646" spans="1:6" x14ac:dyDescent="0.3">
      <c r="A646" s="7">
        <v>2019</v>
      </c>
      <c r="B646" s="8" t="s">
        <v>54</v>
      </c>
      <c r="C646" s="8" t="s">
        <v>21</v>
      </c>
      <c r="D646" s="14">
        <v>37323</v>
      </c>
      <c r="E646" s="14">
        <v>525857</v>
      </c>
      <c r="F646" s="15">
        <v>50523</v>
      </c>
    </row>
    <row r="647" spans="1:6" x14ac:dyDescent="0.3">
      <c r="A647" s="7">
        <v>2019</v>
      </c>
      <c r="B647" s="8" t="s">
        <v>54</v>
      </c>
      <c r="C647" s="8" t="s">
        <v>22</v>
      </c>
      <c r="D647" s="14">
        <v>19568</v>
      </c>
      <c r="E647" s="14">
        <v>229039</v>
      </c>
      <c r="F647" s="15">
        <v>37621</v>
      </c>
    </row>
    <row r="648" spans="1:6" x14ac:dyDescent="0.3">
      <c r="A648" s="7">
        <v>2019</v>
      </c>
      <c r="B648" s="8" t="s">
        <v>54</v>
      </c>
      <c r="C648" s="8" t="s">
        <v>23</v>
      </c>
      <c r="D648" s="14">
        <v>39400</v>
      </c>
      <c r="E648" s="14">
        <v>536753</v>
      </c>
      <c r="F648" s="15">
        <v>43646</v>
      </c>
    </row>
    <row r="649" spans="1:6" x14ac:dyDescent="0.3">
      <c r="A649" s="7">
        <v>2019</v>
      </c>
      <c r="B649" s="8" t="s">
        <v>54</v>
      </c>
      <c r="C649" s="8" t="s">
        <v>24</v>
      </c>
      <c r="D649" s="14">
        <v>9112</v>
      </c>
      <c r="E649" s="14">
        <v>90946</v>
      </c>
      <c r="F649" s="15">
        <v>40937</v>
      </c>
    </row>
    <row r="650" spans="1:6" x14ac:dyDescent="0.3">
      <c r="A650" s="7">
        <v>2019</v>
      </c>
      <c r="B650" s="8" t="s">
        <v>54</v>
      </c>
      <c r="C650" s="8" t="s">
        <v>25</v>
      </c>
      <c r="D650" s="14">
        <v>14969</v>
      </c>
      <c r="E650" s="14">
        <v>188094</v>
      </c>
      <c r="F650" s="15">
        <v>41557</v>
      </c>
    </row>
    <row r="651" spans="1:6" x14ac:dyDescent="0.3">
      <c r="A651" s="7">
        <v>2019</v>
      </c>
      <c r="B651" s="8" t="s">
        <v>54</v>
      </c>
      <c r="C651" s="8" t="s">
        <v>26</v>
      </c>
      <c r="D651" s="14">
        <v>15866</v>
      </c>
      <c r="E651" s="14">
        <v>261018</v>
      </c>
      <c r="F651" s="15">
        <v>45452</v>
      </c>
    </row>
    <row r="652" spans="1:6" x14ac:dyDescent="0.3">
      <c r="A652" s="7">
        <v>2019</v>
      </c>
      <c r="B652" s="8" t="s">
        <v>54</v>
      </c>
      <c r="C652" s="8" t="s">
        <v>27</v>
      </c>
      <c r="D652" s="14">
        <v>12448</v>
      </c>
      <c r="E652" s="14">
        <v>139278</v>
      </c>
      <c r="F652" s="15">
        <v>49409</v>
      </c>
    </row>
    <row r="653" spans="1:6" x14ac:dyDescent="0.3">
      <c r="A653" s="7">
        <v>2019</v>
      </c>
      <c r="B653" s="8" t="s">
        <v>54</v>
      </c>
      <c r="C653" s="8" t="s">
        <v>28</v>
      </c>
      <c r="D653" s="14">
        <v>54227</v>
      </c>
      <c r="E653" s="14">
        <v>876452</v>
      </c>
      <c r="F653" s="15">
        <v>55204</v>
      </c>
    </row>
    <row r="654" spans="1:6" x14ac:dyDescent="0.3">
      <c r="A654" s="7">
        <v>2019</v>
      </c>
      <c r="B654" s="8" t="s">
        <v>54</v>
      </c>
      <c r="C654" s="8" t="s">
        <v>29</v>
      </c>
      <c r="D654" s="14">
        <v>10974</v>
      </c>
      <c r="E654" s="14">
        <v>135131</v>
      </c>
      <c r="F654" s="15">
        <v>39275</v>
      </c>
    </row>
    <row r="655" spans="1:6" x14ac:dyDescent="0.3">
      <c r="A655" s="7">
        <v>2019</v>
      </c>
      <c r="B655" s="8" t="s">
        <v>54</v>
      </c>
      <c r="C655" s="8" t="s">
        <v>30</v>
      </c>
      <c r="D655" s="14">
        <v>120950</v>
      </c>
      <c r="E655" s="14">
        <v>1543991</v>
      </c>
      <c r="F655" s="15">
        <v>53710</v>
      </c>
    </row>
    <row r="656" spans="1:6" x14ac:dyDescent="0.3">
      <c r="A656" s="7">
        <v>2019</v>
      </c>
      <c r="B656" s="8" t="s">
        <v>54</v>
      </c>
      <c r="C656" s="8" t="s">
        <v>31</v>
      </c>
      <c r="D656" s="14">
        <v>62397</v>
      </c>
      <c r="E656" s="14">
        <v>846177</v>
      </c>
      <c r="F656" s="15">
        <v>44579</v>
      </c>
    </row>
    <row r="657" spans="1:6" x14ac:dyDescent="0.3">
      <c r="A657" s="7">
        <v>2019</v>
      </c>
      <c r="B657" s="8" t="s">
        <v>54</v>
      </c>
      <c r="C657" s="8" t="s">
        <v>32</v>
      </c>
      <c r="D657" s="14">
        <v>7738</v>
      </c>
      <c r="E657" s="14">
        <v>91333</v>
      </c>
      <c r="F657" s="15">
        <v>51925</v>
      </c>
    </row>
    <row r="658" spans="1:6" x14ac:dyDescent="0.3">
      <c r="A658" s="7">
        <v>2019</v>
      </c>
      <c r="B658" s="8" t="s">
        <v>54</v>
      </c>
      <c r="C658" s="8" t="s">
        <v>33</v>
      </c>
      <c r="D658" s="14">
        <v>68958</v>
      </c>
      <c r="E658" s="14">
        <v>1021890</v>
      </c>
      <c r="F658" s="15">
        <v>45569</v>
      </c>
    </row>
    <row r="659" spans="1:6" x14ac:dyDescent="0.3">
      <c r="A659" s="7">
        <v>2019</v>
      </c>
      <c r="B659" s="8" t="s">
        <v>54</v>
      </c>
      <c r="C659" s="8" t="s">
        <v>34</v>
      </c>
      <c r="D659" s="14">
        <v>23883</v>
      </c>
      <c r="E659" s="14">
        <v>300268</v>
      </c>
      <c r="F659" s="15">
        <v>43049</v>
      </c>
    </row>
    <row r="660" spans="1:6" x14ac:dyDescent="0.3">
      <c r="A660" s="7">
        <v>2019</v>
      </c>
      <c r="B660" s="8" t="s">
        <v>54</v>
      </c>
      <c r="C660" s="8" t="s">
        <v>35</v>
      </c>
      <c r="D660" s="14">
        <v>26460</v>
      </c>
      <c r="E660" s="14">
        <v>354168</v>
      </c>
      <c r="F660" s="15">
        <v>45879</v>
      </c>
    </row>
    <row r="661" spans="1:6" x14ac:dyDescent="0.3">
      <c r="A661" s="7">
        <v>2019</v>
      </c>
      <c r="B661" s="8" t="s">
        <v>54</v>
      </c>
      <c r="C661" s="8" t="s">
        <v>36</v>
      </c>
      <c r="D661" s="14">
        <v>74684</v>
      </c>
      <c r="E661" s="14">
        <v>1117033</v>
      </c>
      <c r="F661" s="15">
        <v>46296</v>
      </c>
    </row>
    <row r="662" spans="1:6" x14ac:dyDescent="0.3">
      <c r="A662" s="7">
        <v>2019</v>
      </c>
      <c r="B662" s="8" t="s">
        <v>54</v>
      </c>
      <c r="C662" s="8" t="s">
        <v>37</v>
      </c>
      <c r="D662" s="14">
        <v>7648</v>
      </c>
      <c r="E662" s="14">
        <v>76672</v>
      </c>
      <c r="F662" s="15">
        <v>45232</v>
      </c>
    </row>
    <row r="663" spans="1:6" x14ac:dyDescent="0.3">
      <c r="A663" s="7">
        <v>2019</v>
      </c>
      <c r="B663" s="8" t="s">
        <v>54</v>
      </c>
      <c r="C663" s="8" t="s">
        <v>38</v>
      </c>
      <c r="D663" s="14">
        <v>31073</v>
      </c>
      <c r="E663" s="14">
        <v>406455</v>
      </c>
      <c r="F663" s="15">
        <v>41048</v>
      </c>
    </row>
    <row r="664" spans="1:6" x14ac:dyDescent="0.3">
      <c r="A664" s="7">
        <v>2019</v>
      </c>
      <c r="B664" s="8" t="s">
        <v>54</v>
      </c>
      <c r="C664" s="8" t="s">
        <v>39</v>
      </c>
      <c r="D664" s="14">
        <v>8027</v>
      </c>
      <c r="E664" s="14">
        <v>85125</v>
      </c>
      <c r="F664" s="15">
        <v>40980</v>
      </c>
    </row>
    <row r="665" spans="1:6" x14ac:dyDescent="0.3">
      <c r="A665" s="7">
        <v>2019</v>
      </c>
      <c r="B665" s="8" t="s">
        <v>54</v>
      </c>
      <c r="C665" s="8" t="s">
        <v>40</v>
      </c>
      <c r="D665" s="14">
        <v>40380</v>
      </c>
      <c r="E665" s="14">
        <v>633819</v>
      </c>
      <c r="F665" s="15">
        <v>46991</v>
      </c>
    </row>
    <row r="666" spans="1:6" x14ac:dyDescent="0.3">
      <c r="A666" s="7">
        <v>2019</v>
      </c>
      <c r="B666" s="8" t="s">
        <v>54</v>
      </c>
      <c r="C666" s="8" t="s">
        <v>41</v>
      </c>
      <c r="D666" s="14">
        <v>150310</v>
      </c>
      <c r="E666" s="14">
        <v>2496193</v>
      </c>
      <c r="F666" s="15">
        <v>54323</v>
      </c>
    </row>
    <row r="667" spans="1:6" x14ac:dyDescent="0.3">
      <c r="A667" s="7">
        <v>2019</v>
      </c>
      <c r="B667" s="8" t="s">
        <v>54</v>
      </c>
      <c r="C667" s="8" t="s">
        <v>42</v>
      </c>
      <c r="D667" s="14">
        <v>20066</v>
      </c>
      <c r="E667" s="14">
        <v>289140</v>
      </c>
      <c r="F667" s="15">
        <v>45785</v>
      </c>
    </row>
    <row r="668" spans="1:6" x14ac:dyDescent="0.3">
      <c r="A668" s="7">
        <v>2019</v>
      </c>
      <c r="B668" s="8" t="s">
        <v>54</v>
      </c>
      <c r="C668" s="8" t="s">
        <v>43</v>
      </c>
      <c r="D668" s="14">
        <v>5040</v>
      </c>
      <c r="E668" s="14">
        <v>53817</v>
      </c>
      <c r="F668" s="15">
        <v>41456</v>
      </c>
    </row>
    <row r="669" spans="1:6" x14ac:dyDescent="0.3">
      <c r="A669" s="7">
        <v>2019</v>
      </c>
      <c r="B669" s="8" t="s">
        <v>54</v>
      </c>
      <c r="C669" s="8" t="s">
        <v>44</v>
      </c>
      <c r="D669" s="14">
        <v>42839</v>
      </c>
      <c r="E669" s="14">
        <v>650148</v>
      </c>
      <c r="F669" s="15">
        <v>45486</v>
      </c>
    </row>
    <row r="670" spans="1:6" x14ac:dyDescent="0.3">
      <c r="A670" s="7">
        <v>2019</v>
      </c>
      <c r="B670" s="8" t="s">
        <v>54</v>
      </c>
      <c r="C670" s="8" t="s">
        <v>45</v>
      </c>
      <c r="D670" s="14">
        <v>38692</v>
      </c>
      <c r="E670" s="14">
        <v>628543</v>
      </c>
      <c r="F670" s="15">
        <v>67312</v>
      </c>
    </row>
    <row r="671" spans="1:6" x14ac:dyDescent="0.3">
      <c r="A671" s="7">
        <v>2019</v>
      </c>
      <c r="B671" s="8" t="s">
        <v>54</v>
      </c>
      <c r="C671" s="8" t="s">
        <v>46</v>
      </c>
      <c r="D671" s="14">
        <v>10709</v>
      </c>
      <c r="E671" s="14">
        <v>125470</v>
      </c>
      <c r="F671" s="15">
        <v>40148</v>
      </c>
    </row>
    <row r="672" spans="1:6" x14ac:dyDescent="0.3">
      <c r="A672" s="7">
        <v>2019</v>
      </c>
      <c r="B672" s="8" t="s">
        <v>54</v>
      </c>
      <c r="C672" s="8" t="s">
        <v>47</v>
      </c>
      <c r="D672" s="14">
        <v>36253</v>
      </c>
      <c r="E672" s="14">
        <v>533175</v>
      </c>
      <c r="F672" s="15">
        <v>42647</v>
      </c>
    </row>
    <row r="673" spans="1:6" x14ac:dyDescent="0.3">
      <c r="A673" s="7">
        <v>2019</v>
      </c>
      <c r="B673" s="8" t="s">
        <v>54</v>
      </c>
      <c r="C673" s="8" t="s">
        <v>48</v>
      </c>
      <c r="D673" s="14">
        <v>4819</v>
      </c>
      <c r="E673" s="14">
        <v>49901</v>
      </c>
      <c r="F673" s="15">
        <v>44408</v>
      </c>
    </row>
    <row r="674" spans="1:6" x14ac:dyDescent="0.3">
      <c r="A674" s="7">
        <v>2019</v>
      </c>
      <c r="B674" s="8" t="s">
        <v>53</v>
      </c>
      <c r="C674" s="8" t="s">
        <v>1</v>
      </c>
      <c r="D674" s="14">
        <v>2309</v>
      </c>
      <c r="E674" s="14">
        <v>21296</v>
      </c>
      <c r="F674" s="15">
        <v>62845</v>
      </c>
    </row>
    <row r="675" spans="1:6" x14ac:dyDescent="0.3">
      <c r="A675" s="7">
        <v>2019</v>
      </c>
      <c r="B675" s="8" t="s">
        <v>53</v>
      </c>
      <c r="C675" s="8" t="s">
        <v>2</v>
      </c>
      <c r="D675" s="14">
        <v>3691</v>
      </c>
      <c r="E675" s="14">
        <v>49188</v>
      </c>
      <c r="F675" s="15">
        <v>77822</v>
      </c>
    </row>
    <row r="676" spans="1:6" x14ac:dyDescent="0.3">
      <c r="A676" s="7">
        <v>2019</v>
      </c>
      <c r="B676" s="8" t="s">
        <v>53</v>
      </c>
      <c r="C676" s="8" t="s">
        <v>3</v>
      </c>
      <c r="D676" s="14">
        <v>1303</v>
      </c>
      <c r="E676" s="14">
        <v>10974</v>
      </c>
      <c r="F676" s="15">
        <v>57981</v>
      </c>
    </row>
    <row r="677" spans="1:6" x14ac:dyDescent="0.3">
      <c r="A677" s="7">
        <v>2019</v>
      </c>
      <c r="B677" s="8" t="s">
        <v>53</v>
      </c>
      <c r="C677" s="8" t="s">
        <v>4</v>
      </c>
      <c r="D677" s="14">
        <v>28529</v>
      </c>
      <c r="E677" s="14">
        <v>550084</v>
      </c>
      <c r="F677" s="15">
        <v>191278</v>
      </c>
    </row>
    <row r="678" spans="1:6" x14ac:dyDescent="0.3">
      <c r="A678" s="7">
        <v>2019</v>
      </c>
      <c r="B678" s="8" t="s">
        <v>53</v>
      </c>
      <c r="C678" s="8" t="s">
        <v>5</v>
      </c>
      <c r="D678" s="14">
        <v>4330</v>
      </c>
      <c r="E678" s="14">
        <v>76292</v>
      </c>
      <c r="F678" s="15">
        <v>109380</v>
      </c>
    </row>
    <row r="679" spans="1:6" x14ac:dyDescent="0.3">
      <c r="A679" s="7">
        <v>2019</v>
      </c>
      <c r="B679" s="8" t="s">
        <v>53</v>
      </c>
      <c r="C679" s="8" t="s">
        <v>6</v>
      </c>
      <c r="D679" s="14">
        <v>2551</v>
      </c>
      <c r="E679" s="14">
        <v>31469</v>
      </c>
      <c r="F679" s="15">
        <v>120406</v>
      </c>
    </row>
    <row r="680" spans="1:6" x14ac:dyDescent="0.3">
      <c r="A680" s="7">
        <v>2019</v>
      </c>
      <c r="B680" s="8" t="s">
        <v>53</v>
      </c>
      <c r="C680" s="8" t="s">
        <v>7</v>
      </c>
      <c r="D680" s="8">
        <v>497</v>
      </c>
      <c r="E680" s="14">
        <v>3905</v>
      </c>
      <c r="F680" s="15">
        <v>70031</v>
      </c>
    </row>
    <row r="681" spans="1:6" x14ac:dyDescent="0.3">
      <c r="A681" s="7">
        <v>2019</v>
      </c>
      <c r="B681" s="8" t="s">
        <v>53</v>
      </c>
      <c r="C681" s="8" t="s">
        <v>8</v>
      </c>
      <c r="D681" s="14">
        <v>11744</v>
      </c>
      <c r="E681" s="14">
        <v>138845</v>
      </c>
      <c r="F681" s="15">
        <v>86153</v>
      </c>
    </row>
    <row r="682" spans="1:6" x14ac:dyDescent="0.3">
      <c r="A682" s="7">
        <v>2019</v>
      </c>
      <c r="B682" s="8" t="s">
        <v>53</v>
      </c>
      <c r="C682" s="8" t="s">
        <v>9</v>
      </c>
      <c r="D682" s="14">
        <v>5380</v>
      </c>
      <c r="E682" s="14">
        <v>116215</v>
      </c>
      <c r="F682" s="15">
        <v>100462</v>
      </c>
    </row>
    <row r="683" spans="1:6" x14ac:dyDescent="0.3">
      <c r="A683" s="7">
        <v>2019</v>
      </c>
      <c r="B683" s="8" t="s">
        <v>53</v>
      </c>
      <c r="C683" s="8" t="s">
        <v>10</v>
      </c>
      <c r="D683" s="14">
        <v>1231</v>
      </c>
      <c r="E683" s="14">
        <v>8802</v>
      </c>
      <c r="F683" s="15">
        <v>56211</v>
      </c>
    </row>
    <row r="684" spans="1:6" x14ac:dyDescent="0.3">
      <c r="A684" s="7">
        <v>2019</v>
      </c>
      <c r="B684" s="8" t="s">
        <v>53</v>
      </c>
      <c r="C684" s="8" t="s">
        <v>11</v>
      </c>
      <c r="D684" s="14">
        <v>6998</v>
      </c>
      <c r="E684" s="14">
        <v>94879</v>
      </c>
      <c r="F684" s="15">
        <v>96732</v>
      </c>
    </row>
    <row r="685" spans="1:6" x14ac:dyDescent="0.3">
      <c r="A685" s="7">
        <v>2019</v>
      </c>
      <c r="B685" s="8" t="s">
        <v>53</v>
      </c>
      <c r="C685" s="8" t="s">
        <v>12</v>
      </c>
      <c r="D685" s="14">
        <v>2278</v>
      </c>
      <c r="E685" s="14">
        <v>28628</v>
      </c>
      <c r="F685" s="15">
        <v>62444</v>
      </c>
    </row>
    <row r="686" spans="1:6" x14ac:dyDescent="0.3">
      <c r="A686" s="7">
        <v>2019</v>
      </c>
      <c r="B686" s="8" t="s">
        <v>53</v>
      </c>
      <c r="C686" s="8" t="s">
        <v>13</v>
      </c>
      <c r="D686" s="14">
        <v>1778</v>
      </c>
      <c r="E686" s="14">
        <v>21356</v>
      </c>
      <c r="F686" s="15">
        <v>60664</v>
      </c>
    </row>
    <row r="687" spans="1:6" x14ac:dyDescent="0.3">
      <c r="A687" s="7">
        <v>2019</v>
      </c>
      <c r="B687" s="8" t="s">
        <v>53</v>
      </c>
      <c r="C687" s="8" t="s">
        <v>14</v>
      </c>
      <c r="D687" s="14">
        <v>1386</v>
      </c>
      <c r="E687" s="14">
        <v>18137</v>
      </c>
      <c r="F687" s="15">
        <v>66434</v>
      </c>
    </row>
    <row r="688" spans="1:6" x14ac:dyDescent="0.3">
      <c r="A688" s="7">
        <v>2019</v>
      </c>
      <c r="B688" s="8" t="s">
        <v>53</v>
      </c>
      <c r="C688" s="8" t="s">
        <v>15</v>
      </c>
      <c r="D688" s="14">
        <v>1924</v>
      </c>
      <c r="E688" s="14">
        <v>21670</v>
      </c>
      <c r="F688" s="15">
        <v>58590</v>
      </c>
    </row>
    <row r="689" spans="1:6" x14ac:dyDescent="0.3">
      <c r="A689" s="7">
        <v>2019</v>
      </c>
      <c r="B689" s="8" t="s">
        <v>53</v>
      </c>
      <c r="C689" s="8" t="s">
        <v>16</v>
      </c>
      <c r="D689" s="14">
        <v>1801</v>
      </c>
      <c r="E689" s="14">
        <v>22427</v>
      </c>
      <c r="F689" s="15">
        <v>60638</v>
      </c>
    </row>
    <row r="690" spans="1:6" x14ac:dyDescent="0.3">
      <c r="A690" s="7">
        <v>2019</v>
      </c>
      <c r="B690" s="8" t="s">
        <v>53</v>
      </c>
      <c r="C690" s="8" t="s">
        <v>17</v>
      </c>
      <c r="D690" s="8">
        <v>869</v>
      </c>
      <c r="E690" s="14">
        <v>7158</v>
      </c>
      <c r="F690" s="15">
        <v>57442</v>
      </c>
    </row>
    <row r="691" spans="1:6" x14ac:dyDescent="0.3">
      <c r="A691" s="7">
        <v>2019</v>
      </c>
      <c r="B691" s="8" t="s">
        <v>53</v>
      </c>
      <c r="C691" s="8" t="s">
        <v>18</v>
      </c>
      <c r="D691" s="14">
        <v>2846</v>
      </c>
      <c r="E691" s="14">
        <v>35678</v>
      </c>
      <c r="F691" s="15">
        <v>98834</v>
      </c>
    </row>
    <row r="692" spans="1:6" x14ac:dyDescent="0.3">
      <c r="A692" s="7">
        <v>2019</v>
      </c>
      <c r="B692" s="8" t="s">
        <v>53</v>
      </c>
      <c r="C692" s="8" t="s">
        <v>19</v>
      </c>
      <c r="D692" s="14">
        <v>5717</v>
      </c>
      <c r="E692" s="14">
        <v>93033</v>
      </c>
      <c r="F692" s="15">
        <v>128022</v>
      </c>
    </row>
    <row r="693" spans="1:6" x14ac:dyDescent="0.3">
      <c r="A693" s="7">
        <v>2019</v>
      </c>
      <c r="B693" s="8" t="s">
        <v>53</v>
      </c>
      <c r="C693" s="8" t="s">
        <v>20</v>
      </c>
      <c r="D693" s="14">
        <v>7146</v>
      </c>
      <c r="E693" s="14">
        <v>55298</v>
      </c>
      <c r="F693" s="15">
        <v>77504</v>
      </c>
    </row>
    <row r="694" spans="1:6" x14ac:dyDescent="0.3">
      <c r="A694" s="7">
        <v>2019</v>
      </c>
      <c r="B694" s="8" t="s">
        <v>53</v>
      </c>
      <c r="C694" s="8" t="s">
        <v>21</v>
      </c>
      <c r="D694" s="14">
        <v>4133</v>
      </c>
      <c r="E694" s="14">
        <v>46906</v>
      </c>
      <c r="F694" s="15">
        <v>83846</v>
      </c>
    </row>
    <row r="695" spans="1:6" x14ac:dyDescent="0.3">
      <c r="A695" s="7">
        <v>2019</v>
      </c>
      <c r="B695" s="8" t="s">
        <v>53</v>
      </c>
      <c r="C695" s="8" t="s">
        <v>22</v>
      </c>
      <c r="D695" s="8">
        <v>944</v>
      </c>
      <c r="E695" s="14">
        <v>10695</v>
      </c>
      <c r="F695" s="15">
        <v>49438</v>
      </c>
    </row>
    <row r="696" spans="1:6" x14ac:dyDescent="0.3">
      <c r="A696" s="7">
        <v>2019</v>
      </c>
      <c r="B696" s="8" t="s">
        <v>53</v>
      </c>
      <c r="C696" s="8" t="s">
        <v>23</v>
      </c>
      <c r="D696" s="14">
        <v>3310</v>
      </c>
      <c r="E696" s="14">
        <v>46729</v>
      </c>
      <c r="F696" s="15">
        <v>85960</v>
      </c>
    </row>
    <row r="697" spans="1:6" x14ac:dyDescent="0.3">
      <c r="A697" s="7">
        <v>2019</v>
      </c>
      <c r="B697" s="8" t="s">
        <v>53</v>
      </c>
      <c r="C697" s="8" t="s">
        <v>24</v>
      </c>
      <c r="D697" s="8">
        <v>799</v>
      </c>
      <c r="E697" s="14">
        <v>6210</v>
      </c>
      <c r="F697" s="15">
        <v>56592</v>
      </c>
    </row>
    <row r="698" spans="1:6" x14ac:dyDescent="0.3">
      <c r="A698" s="7">
        <v>2019</v>
      </c>
      <c r="B698" s="8" t="s">
        <v>53</v>
      </c>
      <c r="C698" s="8" t="s">
        <v>25</v>
      </c>
      <c r="D698" s="14">
        <v>1015</v>
      </c>
      <c r="E698" s="14">
        <v>17258</v>
      </c>
      <c r="F698" s="15">
        <v>66732</v>
      </c>
    </row>
    <row r="699" spans="1:6" x14ac:dyDescent="0.3">
      <c r="A699" s="7">
        <v>2019</v>
      </c>
      <c r="B699" s="8" t="s">
        <v>53</v>
      </c>
      <c r="C699" s="8" t="s">
        <v>26</v>
      </c>
      <c r="D699" s="14">
        <v>1664</v>
      </c>
      <c r="E699" s="14">
        <v>15847</v>
      </c>
      <c r="F699" s="15">
        <v>73213</v>
      </c>
    </row>
    <row r="700" spans="1:6" x14ac:dyDescent="0.3">
      <c r="A700" s="7">
        <v>2019</v>
      </c>
      <c r="B700" s="8" t="s">
        <v>53</v>
      </c>
      <c r="C700" s="8" t="s">
        <v>27</v>
      </c>
      <c r="D700" s="14">
        <v>1037</v>
      </c>
      <c r="E700" s="14">
        <v>12334</v>
      </c>
      <c r="F700" s="15">
        <v>97212</v>
      </c>
    </row>
    <row r="701" spans="1:6" x14ac:dyDescent="0.3">
      <c r="A701" s="7">
        <v>2019</v>
      </c>
      <c r="B701" s="8" t="s">
        <v>53</v>
      </c>
      <c r="C701" s="8" t="s">
        <v>28</v>
      </c>
      <c r="D701" s="14">
        <v>3724</v>
      </c>
      <c r="E701" s="14">
        <v>67578</v>
      </c>
      <c r="F701" s="15">
        <v>117433</v>
      </c>
    </row>
    <row r="702" spans="1:6" x14ac:dyDescent="0.3">
      <c r="A702" s="7">
        <v>2019</v>
      </c>
      <c r="B702" s="8" t="s">
        <v>53</v>
      </c>
      <c r="C702" s="8" t="s">
        <v>29</v>
      </c>
      <c r="D702" s="14">
        <v>1074</v>
      </c>
      <c r="E702" s="14">
        <v>11166</v>
      </c>
      <c r="F702" s="15">
        <v>57554</v>
      </c>
    </row>
    <row r="703" spans="1:6" x14ac:dyDescent="0.3">
      <c r="A703" s="7">
        <v>2019</v>
      </c>
      <c r="B703" s="8" t="s">
        <v>53</v>
      </c>
      <c r="C703" s="8" t="s">
        <v>30</v>
      </c>
      <c r="D703" s="14">
        <v>12812</v>
      </c>
      <c r="E703" s="14">
        <v>277408</v>
      </c>
      <c r="F703" s="15">
        <v>135959</v>
      </c>
    </row>
    <row r="704" spans="1:6" x14ac:dyDescent="0.3">
      <c r="A704" s="7">
        <v>2019</v>
      </c>
      <c r="B704" s="8" t="s">
        <v>53</v>
      </c>
      <c r="C704" s="8" t="s">
        <v>31</v>
      </c>
      <c r="D704" s="14">
        <v>5669</v>
      </c>
      <c r="E704" s="14">
        <v>75919</v>
      </c>
      <c r="F704" s="15">
        <v>87039</v>
      </c>
    </row>
    <row r="705" spans="1:6" x14ac:dyDescent="0.3">
      <c r="A705" s="7">
        <v>2019</v>
      </c>
      <c r="B705" s="8" t="s">
        <v>53</v>
      </c>
      <c r="C705" s="8" t="s">
        <v>32</v>
      </c>
      <c r="D705" s="8">
        <v>402</v>
      </c>
      <c r="E705" s="14">
        <v>6093</v>
      </c>
      <c r="F705" s="15">
        <v>71543</v>
      </c>
    </row>
    <row r="706" spans="1:6" x14ac:dyDescent="0.3">
      <c r="A706" s="7">
        <v>2019</v>
      </c>
      <c r="B706" s="8" t="s">
        <v>53</v>
      </c>
      <c r="C706" s="8" t="s">
        <v>33</v>
      </c>
      <c r="D706" s="14">
        <v>4915</v>
      </c>
      <c r="E706" s="14">
        <v>69330</v>
      </c>
      <c r="F706" s="15">
        <v>72613</v>
      </c>
    </row>
    <row r="707" spans="1:6" x14ac:dyDescent="0.3">
      <c r="A707" s="7">
        <v>2019</v>
      </c>
      <c r="B707" s="8" t="s">
        <v>53</v>
      </c>
      <c r="C707" s="8" t="s">
        <v>34</v>
      </c>
      <c r="D707" s="14">
        <v>1550</v>
      </c>
      <c r="E707" s="14">
        <v>19627</v>
      </c>
      <c r="F707" s="15">
        <v>60407</v>
      </c>
    </row>
    <row r="708" spans="1:6" x14ac:dyDescent="0.3">
      <c r="A708" s="7">
        <v>2019</v>
      </c>
      <c r="B708" s="8" t="s">
        <v>53</v>
      </c>
      <c r="C708" s="8" t="s">
        <v>35</v>
      </c>
      <c r="D708" s="14">
        <v>4135</v>
      </c>
      <c r="E708" s="14">
        <v>35053</v>
      </c>
      <c r="F708" s="15">
        <v>89633</v>
      </c>
    </row>
    <row r="709" spans="1:6" x14ac:dyDescent="0.3">
      <c r="A709" s="7">
        <v>2019</v>
      </c>
      <c r="B709" s="8" t="s">
        <v>53</v>
      </c>
      <c r="C709" s="8" t="s">
        <v>36</v>
      </c>
      <c r="D709" s="14">
        <v>5348</v>
      </c>
      <c r="E709" s="14">
        <v>87043</v>
      </c>
      <c r="F709" s="15">
        <v>94900</v>
      </c>
    </row>
    <row r="710" spans="1:6" x14ac:dyDescent="0.3">
      <c r="A710" s="7">
        <v>2019</v>
      </c>
      <c r="B710" s="8" t="s">
        <v>53</v>
      </c>
      <c r="C710" s="8" t="s">
        <v>37</v>
      </c>
      <c r="D710" s="8">
        <v>714</v>
      </c>
      <c r="E710" s="14">
        <v>5878</v>
      </c>
      <c r="F710" s="15">
        <v>76409</v>
      </c>
    </row>
    <row r="711" spans="1:6" x14ac:dyDescent="0.3">
      <c r="A711" s="7">
        <v>2019</v>
      </c>
      <c r="B711" s="8" t="s">
        <v>53</v>
      </c>
      <c r="C711" s="8" t="s">
        <v>38</v>
      </c>
      <c r="D711" s="14">
        <v>2883</v>
      </c>
      <c r="E711" s="14">
        <v>26869</v>
      </c>
      <c r="F711" s="15">
        <v>66032</v>
      </c>
    </row>
    <row r="712" spans="1:6" x14ac:dyDescent="0.3">
      <c r="A712" s="7">
        <v>2019</v>
      </c>
      <c r="B712" s="8" t="s">
        <v>53</v>
      </c>
      <c r="C712" s="8" t="s">
        <v>39</v>
      </c>
      <c r="D712" s="8">
        <v>589</v>
      </c>
      <c r="E712" s="14">
        <v>5500</v>
      </c>
      <c r="F712" s="15">
        <v>51535</v>
      </c>
    </row>
    <row r="713" spans="1:6" x14ac:dyDescent="0.3">
      <c r="A713" s="7">
        <v>2019</v>
      </c>
      <c r="B713" s="8" t="s">
        <v>53</v>
      </c>
      <c r="C713" s="8" t="s">
        <v>40</v>
      </c>
      <c r="D713" s="14">
        <v>3981</v>
      </c>
      <c r="E713" s="14">
        <v>45042</v>
      </c>
      <c r="F713" s="15">
        <v>75375</v>
      </c>
    </row>
    <row r="714" spans="1:6" x14ac:dyDescent="0.3">
      <c r="A714" s="7">
        <v>2019</v>
      </c>
      <c r="B714" s="8" t="s">
        <v>53</v>
      </c>
      <c r="C714" s="8" t="s">
        <v>41</v>
      </c>
      <c r="D714" s="14">
        <v>10627</v>
      </c>
      <c r="E714" s="14">
        <v>208591</v>
      </c>
      <c r="F714" s="15">
        <v>90857</v>
      </c>
    </row>
    <row r="715" spans="1:6" x14ac:dyDescent="0.3">
      <c r="A715" s="7">
        <v>2019</v>
      </c>
      <c r="B715" s="8" t="s">
        <v>53</v>
      </c>
      <c r="C715" s="8" t="s">
        <v>42</v>
      </c>
      <c r="D715" s="14">
        <v>2776</v>
      </c>
      <c r="E715" s="14">
        <v>38323</v>
      </c>
      <c r="F715" s="15">
        <v>84735</v>
      </c>
    </row>
    <row r="716" spans="1:6" x14ac:dyDescent="0.3">
      <c r="A716" s="7">
        <v>2019</v>
      </c>
      <c r="B716" s="8" t="s">
        <v>53</v>
      </c>
      <c r="C716" s="8" t="s">
        <v>43</v>
      </c>
      <c r="D716" s="8">
        <v>527</v>
      </c>
      <c r="E716" s="14">
        <v>4322</v>
      </c>
      <c r="F716" s="15">
        <v>62861</v>
      </c>
    </row>
    <row r="717" spans="1:6" x14ac:dyDescent="0.3">
      <c r="A717" s="7">
        <v>2019</v>
      </c>
      <c r="B717" s="8" t="s">
        <v>53</v>
      </c>
      <c r="C717" s="8" t="s">
        <v>44</v>
      </c>
      <c r="D717" s="14">
        <v>4600</v>
      </c>
      <c r="E717" s="14">
        <v>67714</v>
      </c>
      <c r="F717" s="15">
        <v>107966</v>
      </c>
    </row>
    <row r="718" spans="1:6" x14ac:dyDescent="0.3">
      <c r="A718" s="7">
        <v>2019</v>
      </c>
      <c r="B718" s="8" t="s">
        <v>53</v>
      </c>
      <c r="C718" s="8" t="s">
        <v>45</v>
      </c>
      <c r="D718" s="14">
        <v>5007</v>
      </c>
      <c r="E718" s="14">
        <v>143883</v>
      </c>
      <c r="F718" s="15">
        <v>207135</v>
      </c>
    </row>
    <row r="719" spans="1:6" x14ac:dyDescent="0.3">
      <c r="A719" s="7">
        <v>2019</v>
      </c>
      <c r="B719" s="8" t="s">
        <v>53</v>
      </c>
      <c r="C719" s="8" t="s">
        <v>46</v>
      </c>
      <c r="D719" s="8">
        <v>818</v>
      </c>
      <c r="E719" s="14">
        <v>8072</v>
      </c>
      <c r="F719" s="15">
        <v>53281</v>
      </c>
    </row>
    <row r="720" spans="1:6" x14ac:dyDescent="0.3">
      <c r="A720" s="7">
        <v>2019</v>
      </c>
      <c r="B720" s="8" t="s">
        <v>53</v>
      </c>
      <c r="C720" s="8" t="s">
        <v>47</v>
      </c>
      <c r="D720" s="14">
        <v>2335</v>
      </c>
      <c r="E720" s="14">
        <v>46993</v>
      </c>
      <c r="F720" s="15">
        <v>82512</v>
      </c>
    </row>
    <row r="721" spans="1:6" x14ac:dyDescent="0.3">
      <c r="A721" s="7">
        <v>2019</v>
      </c>
      <c r="B721" s="8" t="s">
        <v>53</v>
      </c>
      <c r="C721" s="8" t="s">
        <v>48</v>
      </c>
      <c r="D721" s="8">
        <v>417</v>
      </c>
      <c r="E721" s="14">
        <v>3424</v>
      </c>
      <c r="F721" s="15">
        <v>49035</v>
      </c>
    </row>
    <row r="722" spans="1:6" x14ac:dyDescent="0.3">
      <c r="A722" s="7">
        <v>2019</v>
      </c>
      <c r="B722" s="8" t="s">
        <v>56</v>
      </c>
      <c r="C722" s="8" t="s">
        <v>1</v>
      </c>
      <c r="D722" s="14">
        <v>13590</v>
      </c>
      <c r="E722" s="14">
        <v>95053</v>
      </c>
      <c r="F722" s="15">
        <v>71076</v>
      </c>
    </row>
    <row r="723" spans="1:6" x14ac:dyDescent="0.3">
      <c r="A723" s="7">
        <v>2019</v>
      </c>
      <c r="B723" s="8" t="s">
        <v>56</v>
      </c>
      <c r="C723" s="8" t="s">
        <v>2</v>
      </c>
      <c r="D723" s="14">
        <v>19357</v>
      </c>
      <c r="E723" s="14">
        <v>223263</v>
      </c>
      <c r="F723" s="15">
        <v>74627</v>
      </c>
    </row>
    <row r="724" spans="1:6" x14ac:dyDescent="0.3">
      <c r="A724" s="7">
        <v>2019</v>
      </c>
      <c r="B724" s="8" t="s">
        <v>56</v>
      </c>
      <c r="C724" s="8" t="s">
        <v>3</v>
      </c>
      <c r="D724" s="14">
        <v>8591</v>
      </c>
      <c r="E724" s="14">
        <v>51934</v>
      </c>
      <c r="F724" s="15">
        <v>60198</v>
      </c>
    </row>
    <row r="725" spans="1:6" x14ac:dyDescent="0.3">
      <c r="A725" s="7">
        <v>2019</v>
      </c>
      <c r="B725" s="8" t="s">
        <v>56</v>
      </c>
      <c r="C725" s="8" t="s">
        <v>4</v>
      </c>
      <c r="D725" s="14">
        <v>109980</v>
      </c>
      <c r="E725" s="14">
        <v>841829</v>
      </c>
      <c r="F725" s="15">
        <v>112757</v>
      </c>
    </row>
    <row r="726" spans="1:6" x14ac:dyDescent="0.3">
      <c r="A726" s="7">
        <v>2019</v>
      </c>
      <c r="B726" s="8" t="s">
        <v>56</v>
      </c>
      <c r="C726" s="8" t="s">
        <v>5</v>
      </c>
      <c r="D726" s="14">
        <v>24028</v>
      </c>
      <c r="E726" s="14">
        <v>167272</v>
      </c>
      <c r="F726" s="15">
        <v>88613</v>
      </c>
    </row>
    <row r="727" spans="1:6" x14ac:dyDescent="0.3">
      <c r="A727" s="7">
        <v>2019</v>
      </c>
      <c r="B727" s="8" t="s">
        <v>56</v>
      </c>
      <c r="C727" s="8" t="s">
        <v>6</v>
      </c>
      <c r="D727" s="14">
        <v>11028</v>
      </c>
      <c r="E727" s="14">
        <v>121869</v>
      </c>
      <c r="F727" s="15">
        <v>157629</v>
      </c>
    </row>
    <row r="728" spans="1:6" x14ac:dyDescent="0.3">
      <c r="A728" s="7">
        <v>2019</v>
      </c>
      <c r="B728" s="8" t="s">
        <v>56</v>
      </c>
      <c r="C728" s="8" t="s">
        <v>7</v>
      </c>
      <c r="D728" s="14">
        <v>2907</v>
      </c>
      <c r="E728" s="14">
        <v>48162</v>
      </c>
      <c r="F728" s="15">
        <v>97426</v>
      </c>
    </row>
    <row r="729" spans="1:6" x14ac:dyDescent="0.3">
      <c r="A729" s="7">
        <v>2019</v>
      </c>
      <c r="B729" s="8" t="s">
        <v>56</v>
      </c>
      <c r="C729" s="8" t="s">
        <v>8</v>
      </c>
      <c r="D729" s="14">
        <v>76648</v>
      </c>
      <c r="E729" s="14">
        <v>585959</v>
      </c>
      <c r="F729" s="15">
        <v>77025</v>
      </c>
    </row>
    <row r="730" spans="1:6" x14ac:dyDescent="0.3">
      <c r="A730" s="7">
        <v>2019</v>
      </c>
      <c r="B730" s="8" t="s">
        <v>56</v>
      </c>
      <c r="C730" s="8" t="s">
        <v>9</v>
      </c>
      <c r="D730" s="14">
        <v>26961</v>
      </c>
      <c r="E730" s="14">
        <v>242468</v>
      </c>
      <c r="F730" s="15">
        <v>86701</v>
      </c>
    </row>
    <row r="731" spans="1:6" x14ac:dyDescent="0.3">
      <c r="A731" s="7">
        <v>2019</v>
      </c>
      <c r="B731" s="8" t="s">
        <v>56</v>
      </c>
      <c r="C731" s="8" t="s">
        <v>10</v>
      </c>
      <c r="D731" s="14">
        <v>5859</v>
      </c>
      <c r="E731" s="14">
        <v>33273</v>
      </c>
      <c r="F731" s="15">
        <v>59504</v>
      </c>
    </row>
    <row r="732" spans="1:6" x14ac:dyDescent="0.3">
      <c r="A732" s="7">
        <v>2019</v>
      </c>
      <c r="B732" s="8" t="s">
        <v>56</v>
      </c>
      <c r="C732" s="8" t="s">
        <v>11</v>
      </c>
      <c r="D732" s="14">
        <v>32792</v>
      </c>
      <c r="E732" s="14">
        <v>381941</v>
      </c>
      <c r="F732" s="15">
        <v>113091</v>
      </c>
    </row>
    <row r="733" spans="1:6" x14ac:dyDescent="0.3">
      <c r="A733" s="7">
        <v>2019</v>
      </c>
      <c r="B733" s="8" t="s">
        <v>56</v>
      </c>
      <c r="C733" s="8" t="s">
        <v>12</v>
      </c>
      <c r="D733" s="14">
        <v>16940</v>
      </c>
      <c r="E733" s="14">
        <v>135547</v>
      </c>
      <c r="F733" s="15">
        <v>67469</v>
      </c>
    </row>
    <row r="734" spans="1:6" x14ac:dyDescent="0.3">
      <c r="A734" s="7">
        <v>2019</v>
      </c>
      <c r="B734" s="8" t="s">
        <v>56</v>
      </c>
      <c r="C734" s="8" t="s">
        <v>13</v>
      </c>
      <c r="D734" s="14">
        <v>10414</v>
      </c>
      <c r="E734" s="14">
        <v>110010</v>
      </c>
      <c r="F734" s="15">
        <v>76212</v>
      </c>
    </row>
    <row r="735" spans="1:6" x14ac:dyDescent="0.3">
      <c r="A735" s="7">
        <v>2019</v>
      </c>
      <c r="B735" s="8" t="s">
        <v>56</v>
      </c>
      <c r="C735" s="8" t="s">
        <v>14</v>
      </c>
      <c r="D735" s="14">
        <v>8744</v>
      </c>
      <c r="E735" s="14">
        <v>74336</v>
      </c>
      <c r="F735" s="15">
        <v>68950</v>
      </c>
    </row>
    <row r="736" spans="1:6" x14ac:dyDescent="0.3">
      <c r="A736" s="7">
        <v>2019</v>
      </c>
      <c r="B736" s="8" t="s">
        <v>56</v>
      </c>
      <c r="C736" s="8" t="s">
        <v>15</v>
      </c>
      <c r="D736" s="14">
        <v>11201</v>
      </c>
      <c r="E736" s="14">
        <v>93556</v>
      </c>
      <c r="F736" s="15">
        <v>69885</v>
      </c>
    </row>
    <row r="737" spans="1:6" x14ac:dyDescent="0.3">
      <c r="A737" s="7">
        <v>2019</v>
      </c>
      <c r="B737" s="8" t="s">
        <v>56</v>
      </c>
      <c r="C737" s="8" t="s">
        <v>16</v>
      </c>
      <c r="D737" s="14">
        <v>13852</v>
      </c>
      <c r="E737" s="14">
        <v>84791</v>
      </c>
      <c r="F737" s="15">
        <v>63590</v>
      </c>
    </row>
    <row r="738" spans="1:6" x14ac:dyDescent="0.3">
      <c r="A738" s="7">
        <v>2019</v>
      </c>
      <c r="B738" s="8" t="s">
        <v>56</v>
      </c>
      <c r="C738" s="8" t="s">
        <v>17</v>
      </c>
      <c r="D738" s="14">
        <v>3854</v>
      </c>
      <c r="E738" s="14">
        <v>30481</v>
      </c>
      <c r="F738" s="15">
        <v>70030</v>
      </c>
    </row>
    <row r="739" spans="1:6" x14ac:dyDescent="0.3">
      <c r="A739" s="7">
        <v>2019</v>
      </c>
      <c r="B739" s="8" t="s">
        <v>56</v>
      </c>
      <c r="C739" s="8" t="s">
        <v>18</v>
      </c>
      <c r="D739" s="14">
        <v>15512</v>
      </c>
      <c r="E739" s="14">
        <v>135216</v>
      </c>
      <c r="F739" s="15">
        <v>98024</v>
      </c>
    </row>
    <row r="740" spans="1:6" x14ac:dyDescent="0.3">
      <c r="A740" s="7">
        <v>2019</v>
      </c>
      <c r="B740" s="8" t="s">
        <v>56</v>
      </c>
      <c r="C740" s="8" t="s">
        <v>19</v>
      </c>
      <c r="D740" s="14">
        <v>17883</v>
      </c>
      <c r="E740" s="14">
        <v>218858</v>
      </c>
      <c r="F740" s="15">
        <v>147565</v>
      </c>
    </row>
    <row r="741" spans="1:6" x14ac:dyDescent="0.3">
      <c r="A741" s="7">
        <v>2019</v>
      </c>
      <c r="B741" s="8" t="s">
        <v>56</v>
      </c>
      <c r="C741" s="8" t="s">
        <v>20</v>
      </c>
      <c r="D741" s="14">
        <v>19641</v>
      </c>
      <c r="E741" s="14">
        <v>208812</v>
      </c>
      <c r="F741" s="15">
        <v>73691</v>
      </c>
    </row>
    <row r="742" spans="1:6" x14ac:dyDescent="0.3">
      <c r="A742" s="7">
        <v>2019</v>
      </c>
      <c r="B742" s="8" t="s">
        <v>56</v>
      </c>
      <c r="C742" s="8" t="s">
        <v>21</v>
      </c>
      <c r="D742" s="14">
        <v>15855</v>
      </c>
      <c r="E742" s="14">
        <v>182914</v>
      </c>
      <c r="F742" s="15">
        <v>97673</v>
      </c>
    </row>
    <row r="743" spans="1:6" x14ac:dyDescent="0.3">
      <c r="A743" s="7">
        <v>2019</v>
      </c>
      <c r="B743" s="8" t="s">
        <v>56</v>
      </c>
      <c r="C743" s="8" t="s">
        <v>22</v>
      </c>
      <c r="D743" s="14">
        <v>7944</v>
      </c>
      <c r="E743" s="14">
        <v>43109</v>
      </c>
      <c r="F743" s="15">
        <v>54672</v>
      </c>
    </row>
    <row r="744" spans="1:6" x14ac:dyDescent="0.3">
      <c r="A744" s="7">
        <v>2019</v>
      </c>
      <c r="B744" s="8" t="s">
        <v>56</v>
      </c>
      <c r="C744" s="8" t="s">
        <v>23</v>
      </c>
      <c r="D744" s="14">
        <v>17951</v>
      </c>
      <c r="E744" s="14">
        <v>166025</v>
      </c>
      <c r="F744" s="15">
        <v>75387</v>
      </c>
    </row>
    <row r="745" spans="1:6" x14ac:dyDescent="0.3">
      <c r="A745" s="7">
        <v>2019</v>
      </c>
      <c r="B745" s="8" t="s">
        <v>56</v>
      </c>
      <c r="C745" s="8" t="s">
        <v>24</v>
      </c>
      <c r="D745" s="14">
        <v>4314</v>
      </c>
      <c r="E745" s="14">
        <v>22199</v>
      </c>
      <c r="F745" s="15">
        <v>60907</v>
      </c>
    </row>
    <row r="746" spans="1:6" x14ac:dyDescent="0.3">
      <c r="A746" s="7">
        <v>2019</v>
      </c>
      <c r="B746" s="8" t="s">
        <v>56</v>
      </c>
      <c r="C746" s="8" t="s">
        <v>25</v>
      </c>
      <c r="D746" s="14">
        <v>6842</v>
      </c>
      <c r="E746" s="14">
        <v>67425</v>
      </c>
      <c r="F746" s="15">
        <v>69072</v>
      </c>
    </row>
    <row r="747" spans="1:6" x14ac:dyDescent="0.3">
      <c r="A747" s="7">
        <v>2019</v>
      </c>
      <c r="B747" s="8" t="s">
        <v>56</v>
      </c>
      <c r="C747" s="8" t="s">
        <v>26</v>
      </c>
      <c r="D747" s="14">
        <v>9324</v>
      </c>
      <c r="E747" s="14">
        <v>64932</v>
      </c>
      <c r="F747" s="15">
        <v>70204</v>
      </c>
    </row>
    <row r="748" spans="1:6" x14ac:dyDescent="0.3">
      <c r="A748" s="7">
        <v>2019</v>
      </c>
      <c r="B748" s="8" t="s">
        <v>56</v>
      </c>
      <c r="C748" s="8" t="s">
        <v>27</v>
      </c>
      <c r="D748" s="14">
        <v>3881</v>
      </c>
      <c r="E748" s="14">
        <v>33418</v>
      </c>
      <c r="F748" s="15">
        <v>100104</v>
      </c>
    </row>
    <row r="749" spans="1:6" x14ac:dyDescent="0.3">
      <c r="A749" s="7">
        <v>2019</v>
      </c>
      <c r="B749" s="8" t="s">
        <v>56</v>
      </c>
      <c r="C749" s="8" t="s">
        <v>28</v>
      </c>
      <c r="D749" s="14">
        <v>20037</v>
      </c>
      <c r="E749" s="14">
        <v>243892</v>
      </c>
      <c r="F749" s="15">
        <v>117277</v>
      </c>
    </row>
    <row r="750" spans="1:6" x14ac:dyDescent="0.3">
      <c r="A750" s="7">
        <v>2019</v>
      </c>
      <c r="B750" s="8" t="s">
        <v>56</v>
      </c>
      <c r="C750" s="8" t="s">
        <v>29</v>
      </c>
      <c r="D750" s="14">
        <v>5460</v>
      </c>
      <c r="E750" s="14">
        <v>33799</v>
      </c>
      <c r="F750" s="15">
        <v>57768</v>
      </c>
    </row>
    <row r="751" spans="1:6" x14ac:dyDescent="0.3">
      <c r="A751" s="7">
        <v>2019</v>
      </c>
      <c r="B751" s="8" t="s">
        <v>56</v>
      </c>
      <c r="C751" s="8" t="s">
        <v>30</v>
      </c>
      <c r="D751" s="14">
        <v>63310</v>
      </c>
      <c r="E751" s="14">
        <v>720818</v>
      </c>
      <c r="F751" s="15">
        <v>191494</v>
      </c>
    </row>
    <row r="752" spans="1:6" x14ac:dyDescent="0.3">
      <c r="A752" s="7">
        <v>2019</v>
      </c>
      <c r="B752" s="8" t="s">
        <v>56</v>
      </c>
      <c r="C752" s="8" t="s">
        <v>31</v>
      </c>
      <c r="D752" s="14">
        <v>28672</v>
      </c>
      <c r="E752" s="14">
        <v>245903</v>
      </c>
      <c r="F752" s="15">
        <v>89886</v>
      </c>
    </row>
    <row r="753" spans="1:6" x14ac:dyDescent="0.3">
      <c r="A753" s="7">
        <v>2019</v>
      </c>
      <c r="B753" s="8" t="s">
        <v>56</v>
      </c>
      <c r="C753" s="8" t="s">
        <v>32</v>
      </c>
      <c r="D753" s="14">
        <v>2985</v>
      </c>
      <c r="E753" s="14">
        <v>23264</v>
      </c>
      <c r="F753" s="15">
        <v>65784</v>
      </c>
    </row>
    <row r="754" spans="1:6" x14ac:dyDescent="0.3">
      <c r="A754" s="7">
        <v>2019</v>
      </c>
      <c r="B754" s="8" t="s">
        <v>56</v>
      </c>
      <c r="C754" s="8" t="s">
        <v>33</v>
      </c>
      <c r="D754" s="14">
        <v>29119</v>
      </c>
      <c r="E754" s="14">
        <v>292556</v>
      </c>
      <c r="F754" s="15">
        <v>75683</v>
      </c>
    </row>
    <row r="755" spans="1:6" x14ac:dyDescent="0.3">
      <c r="A755" s="7">
        <v>2019</v>
      </c>
      <c r="B755" s="8" t="s">
        <v>56</v>
      </c>
      <c r="C755" s="8" t="s">
        <v>34</v>
      </c>
      <c r="D755" s="14">
        <v>11672</v>
      </c>
      <c r="E755" s="14">
        <v>77324</v>
      </c>
      <c r="F755" s="15">
        <v>59814</v>
      </c>
    </row>
    <row r="756" spans="1:6" x14ac:dyDescent="0.3">
      <c r="A756" s="7">
        <v>2019</v>
      </c>
      <c r="B756" s="8" t="s">
        <v>56</v>
      </c>
      <c r="C756" s="8" t="s">
        <v>35</v>
      </c>
      <c r="D756" s="14">
        <v>13190</v>
      </c>
      <c r="E756" s="14">
        <v>85425</v>
      </c>
      <c r="F756" s="15">
        <v>73291</v>
      </c>
    </row>
    <row r="757" spans="1:6" x14ac:dyDescent="0.3">
      <c r="A757" s="7">
        <v>2019</v>
      </c>
      <c r="B757" s="8" t="s">
        <v>56</v>
      </c>
      <c r="C757" s="8" t="s">
        <v>36</v>
      </c>
      <c r="D757" s="14">
        <v>29264</v>
      </c>
      <c r="E757" s="14">
        <v>329745</v>
      </c>
      <c r="F757" s="15">
        <v>90778</v>
      </c>
    </row>
    <row r="758" spans="1:6" x14ac:dyDescent="0.3">
      <c r="A758" s="7">
        <v>2019</v>
      </c>
      <c r="B758" s="8" t="s">
        <v>56</v>
      </c>
      <c r="C758" s="8" t="s">
        <v>37</v>
      </c>
      <c r="D758" s="14">
        <v>2934</v>
      </c>
      <c r="E758" s="14">
        <v>32223</v>
      </c>
      <c r="F758" s="15">
        <v>91537</v>
      </c>
    </row>
    <row r="759" spans="1:6" x14ac:dyDescent="0.3">
      <c r="A759" s="7">
        <v>2019</v>
      </c>
      <c r="B759" s="8" t="s">
        <v>56</v>
      </c>
      <c r="C759" s="8" t="s">
        <v>38</v>
      </c>
      <c r="D759" s="14">
        <v>14196</v>
      </c>
      <c r="E759" s="14">
        <v>101755</v>
      </c>
      <c r="F759" s="15">
        <v>64481</v>
      </c>
    </row>
    <row r="760" spans="1:6" x14ac:dyDescent="0.3">
      <c r="A760" s="7">
        <v>2019</v>
      </c>
      <c r="B760" s="8" t="s">
        <v>56</v>
      </c>
      <c r="C760" s="8" t="s">
        <v>39</v>
      </c>
      <c r="D760" s="14">
        <v>3315</v>
      </c>
      <c r="E760" s="14">
        <v>28483</v>
      </c>
      <c r="F760" s="15">
        <v>63499</v>
      </c>
    </row>
    <row r="761" spans="1:6" x14ac:dyDescent="0.3">
      <c r="A761" s="7">
        <v>2019</v>
      </c>
      <c r="B761" s="8" t="s">
        <v>56</v>
      </c>
      <c r="C761" s="8" t="s">
        <v>40</v>
      </c>
      <c r="D761" s="14">
        <v>16270</v>
      </c>
      <c r="E761" s="14">
        <v>157388</v>
      </c>
      <c r="F761" s="15">
        <v>77805</v>
      </c>
    </row>
    <row r="762" spans="1:6" x14ac:dyDescent="0.3">
      <c r="A762" s="7">
        <v>2019</v>
      </c>
      <c r="B762" s="8" t="s">
        <v>56</v>
      </c>
      <c r="C762" s="8" t="s">
        <v>41</v>
      </c>
      <c r="D762" s="14">
        <v>76169</v>
      </c>
      <c r="E762" s="14">
        <v>777574</v>
      </c>
      <c r="F762" s="15">
        <v>86718</v>
      </c>
    </row>
    <row r="763" spans="1:6" x14ac:dyDescent="0.3">
      <c r="A763" s="7">
        <v>2019</v>
      </c>
      <c r="B763" s="8" t="s">
        <v>56</v>
      </c>
      <c r="C763" s="8" t="s">
        <v>42</v>
      </c>
      <c r="D763" s="14">
        <v>11885</v>
      </c>
      <c r="E763" s="14">
        <v>90007</v>
      </c>
      <c r="F763" s="15">
        <v>70967</v>
      </c>
    </row>
    <row r="764" spans="1:6" x14ac:dyDescent="0.3">
      <c r="A764" s="7">
        <v>2019</v>
      </c>
      <c r="B764" s="8" t="s">
        <v>56</v>
      </c>
      <c r="C764" s="8" t="s">
        <v>43</v>
      </c>
      <c r="D764" s="14">
        <v>1709</v>
      </c>
      <c r="E764" s="14">
        <v>11948</v>
      </c>
      <c r="F764" s="15">
        <v>74642</v>
      </c>
    </row>
    <row r="765" spans="1:6" x14ac:dyDescent="0.3">
      <c r="A765" s="7">
        <v>2019</v>
      </c>
      <c r="B765" s="8" t="s">
        <v>56</v>
      </c>
      <c r="C765" s="8" t="s">
        <v>44</v>
      </c>
      <c r="D765" s="14">
        <v>22249</v>
      </c>
      <c r="E765" s="14">
        <v>198459</v>
      </c>
      <c r="F765" s="15">
        <v>88029</v>
      </c>
    </row>
    <row r="766" spans="1:6" x14ac:dyDescent="0.3">
      <c r="A766" s="7">
        <v>2019</v>
      </c>
      <c r="B766" s="8" t="s">
        <v>56</v>
      </c>
      <c r="C766" s="8" t="s">
        <v>45</v>
      </c>
      <c r="D766" s="14">
        <v>17624</v>
      </c>
      <c r="E766" s="14">
        <v>150178</v>
      </c>
      <c r="F766" s="15">
        <v>85242</v>
      </c>
    </row>
    <row r="767" spans="1:6" x14ac:dyDescent="0.3">
      <c r="A767" s="7">
        <v>2019</v>
      </c>
      <c r="B767" s="8" t="s">
        <v>56</v>
      </c>
      <c r="C767" s="8" t="s">
        <v>46</v>
      </c>
      <c r="D767" s="14">
        <v>4003</v>
      </c>
      <c r="E767" s="14">
        <v>24569</v>
      </c>
      <c r="F767" s="15">
        <v>54528</v>
      </c>
    </row>
    <row r="768" spans="1:6" x14ac:dyDescent="0.3">
      <c r="A768" s="7">
        <v>2019</v>
      </c>
      <c r="B768" s="8" t="s">
        <v>56</v>
      </c>
      <c r="C768" s="8" t="s">
        <v>47</v>
      </c>
      <c r="D768" s="14">
        <v>14066</v>
      </c>
      <c r="E768" s="14">
        <v>150327</v>
      </c>
      <c r="F768" s="15">
        <v>74040</v>
      </c>
    </row>
    <row r="769" spans="1:6" x14ac:dyDescent="0.3">
      <c r="A769" s="7">
        <v>2019</v>
      </c>
      <c r="B769" s="8" t="s">
        <v>56</v>
      </c>
      <c r="C769" s="8" t="s">
        <v>48</v>
      </c>
      <c r="D769" s="14">
        <v>2306</v>
      </c>
      <c r="E769" s="14">
        <v>11180</v>
      </c>
      <c r="F769" s="15">
        <v>60849</v>
      </c>
    </row>
    <row r="770" spans="1:6" x14ac:dyDescent="0.3">
      <c r="A770" s="7">
        <v>2019</v>
      </c>
      <c r="B770" s="8" t="s">
        <v>57</v>
      </c>
      <c r="C770" s="8" t="s">
        <v>1</v>
      </c>
      <c r="D770" s="14">
        <v>22186</v>
      </c>
      <c r="E770" s="14">
        <v>251073</v>
      </c>
      <c r="F770" s="15">
        <v>57061</v>
      </c>
    </row>
    <row r="771" spans="1:6" x14ac:dyDescent="0.3">
      <c r="A771" s="7">
        <v>2019</v>
      </c>
      <c r="B771" s="8" t="s">
        <v>57</v>
      </c>
      <c r="C771" s="8" t="s">
        <v>2</v>
      </c>
      <c r="D771" s="14">
        <v>38940</v>
      </c>
      <c r="E771" s="14">
        <v>445648</v>
      </c>
      <c r="F771" s="15">
        <v>58892</v>
      </c>
    </row>
    <row r="772" spans="1:6" x14ac:dyDescent="0.3">
      <c r="A772" s="7">
        <v>2019</v>
      </c>
      <c r="B772" s="8" t="s">
        <v>57</v>
      </c>
      <c r="C772" s="8" t="s">
        <v>3</v>
      </c>
      <c r="D772" s="14">
        <v>14911</v>
      </c>
      <c r="E772" s="14">
        <v>145841</v>
      </c>
      <c r="F772" s="15">
        <v>63354</v>
      </c>
    </row>
    <row r="773" spans="1:6" x14ac:dyDescent="0.3">
      <c r="A773" s="7">
        <v>2019</v>
      </c>
      <c r="B773" s="8" t="s">
        <v>57</v>
      </c>
      <c r="C773" s="8" t="s">
        <v>4</v>
      </c>
      <c r="D773" s="14">
        <v>215691</v>
      </c>
      <c r="E773" s="14">
        <v>2723437</v>
      </c>
      <c r="F773" s="15">
        <v>95348</v>
      </c>
    </row>
    <row r="774" spans="1:6" x14ac:dyDescent="0.3">
      <c r="A774" s="7">
        <v>2019</v>
      </c>
      <c r="B774" s="8" t="s">
        <v>57</v>
      </c>
      <c r="C774" s="8" t="s">
        <v>5</v>
      </c>
      <c r="D774" s="14">
        <v>55003</v>
      </c>
      <c r="E774" s="14">
        <v>439613</v>
      </c>
      <c r="F774" s="15">
        <v>86477</v>
      </c>
    </row>
    <row r="775" spans="1:6" x14ac:dyDescent="0.3">
      <c r="A775" s="7">
        <v>2019</v>
      </c>
      <c r="B775" s="8" t="s">
        <v>57</v>
      </c>
      <c r="C775" s="8" t="s">
        <v>6</v>
      </c>
      <c r="D775" s="14">
        <v>23755</v>
      </c>
      <c r="E775" s="14">
        <v>218815</v>
      </c>
      <c r="F775" s="15">
        <v>92139</v>
      </c>
    </row>
    <row r="776" spans="1:6" x14ac:dyDescent="0.3">
      <c r="A776" s="7">
        <v>2019</v>
      </c>
      <c r="B776" s="8" t="s">
        <v>57</v>
      </c>
      <c r="C776" s="8" t="s">
        <v>7</v>
      </c>
      <c r="D776" s="14">
        <v>9421</v>
      </c>
      <c r="E776" s="14">
        <v>63844</v>
      </c>
      <c r="F776" s="15">
        <v>82658</v>
      </c>
    </row>
    <row r="777" spans="1:6" x14ac:dyDescent="0.3">
      <c r="A777" s="7">
        <v>2019</v>
      </c>
      <c r="B777" s="8" t="s">
        <v>57</v>
      </c>
      <c r="C777" s="8" t="s">
        <v>8</v>
      </c>
      <c r="D777" s="14">
        <v>170397</v>
      </c>
      <c r="E777" s="14">
        <v>1391050</v>
      </c>
      <c r="F777" s="15">
        <v>63740</v>
      </c>
    </row>
    <row r="778" spans="1:6" x14ac:dyDescent="0.3">
      <c r="A778" s="7">
        <v>2019</v>
      </c>
      <c r="B778" s="8" t="s">
        <v>57</v>
      </c>
      <c r="C778" s="8" t="s">
        <v>9</v>
      </c>
      <c r="D778" s="14">
        <v>56304</v>
      </c>
      <c r="E778" s="14">
        <v>717238</v>
      </c>
      <c r="F778" s="15">
        <v>71861</v>
      </c>
    </row>
    <row r="779" spans="1:6" x14ac:dyDescent="0.3">
      <c r="A779" s="7">
        <v>2019</v>
      </c>
      <c r="B779" s="8" t="s">
        <v>57</v>
      </c>
      <c r="C779" s="8" t="s">
        <v>10</v>
      </c>
      <c r="D779" s="14">
        <v>11359</v>
      </c>
      <c r="E779" s="14">
        <v>94181</v>
      </c>
      <c r="F779" s="15">
        <v>55072</v>
      </c>
    </row>
    <row r="780" spans="1:6" x14ac:dyDescent="0.3">
      <c r="A780" s="7">
        <v>2019</v>
      </c>
      <c r="B780" s="8" t="s">
        <v>57</v>
      </c>
      <c r="C780" s="8" t="s">
        <v>11</v>
      </c>
      <c r="D780" s="14">
        <v>75870</v>
      </c>
      <c r="E780" s="14">
        <v>948055</v>
      </c>
      <c r="F780" s="15">
        <v>78228</v>
      </c>
    </row>
    <row r="781" spans="1:6" x14ac:dyDescent="0.3">
      <c r="A781" s="7">
        <v>2019</v>
      </c>
      <c r="B781" s="8" t="s">
        <v>57</v>
      </c>
      <c r="C781" s="8" t="s">
        <v>12</v>
      </c>
      <c r="D781" s="14">
        <v>30165</v>
      </c>
      <c r="E781" s="14">
        <v>346667</v>
      </c>
      <c r="F781" s="15">
        <v>53817</v>
      </c>
    </row>
    <row r="782" spans="1:6" x14ac:dyDescent="0.3">
      <c r="A782" s="7">
        <v>2019</v>
      </c>
      <c r="B782" s="8" t="s">
        <v>57</v>
      </c>
      <c r="C782" s="8" t="s">
        <v>13</v>
      </c>
      <c r="D782" s="14">
        <v>16421</v>
      </c>
      <c r="E782" s="14">
        <v>139337</v>
      </c>
      <c r="F782" s="15">
        <v>56755</v>
      </c>
    </row>
    <row r="783" spans="1:6" x14ac:dyDescent="0.3">
      <c r="A783" s="7">
        <v>2019</v>
      </c>
      <c r="B783" s="8" t="s">
        <v>57</v>
      </c>
      <c r="C783" s="8" t="s">
        <v>14</v>
      </c>
      <c r="D783" s="14">
        <v>16598</v>
      </c>
      <c r="E783" s="14">
        <v>179211</v>
      </c>
      <c r="F783" s="15">
        <v>64554</v>
      </c>
    </row>
    <row r="784" spans="1:6" x14ac:dyDescent="0.3">
      <c r="A784" s="7">
        <v>2019</v>
      </c>
      <c r="B784" s="8" t="s">
        <v>57</v>
      </c>
      <c r="C784" s="8" t="s">
        <v>15</v>
      </c>
      <c r="D784" s="14">
        <v>20866</v>
      </c>
      <c r="E784" s="14">
        <v>216049</v>
      </c>
      <c r="F784" s="15">
        <v>52511</v>
      </c>
    </row>
    <row r="785" spans="1:6" x14ac:dyDescent="0.3">
      <c r="A785" s="7">
        <v>2019</v>
      </c>
      <c r="B785" s="8" t="s">
        <v>57</v>
      </c>
      <c r="C785" s="8" t="s">
        <v>16</v>
      </c>
      <c r="D785" s="14">
        <v>25304</v>
      </c>
      <c r="E785" s="14">
        <v>216009</v>
      </c>
      <c r="F785" s="15">
        <v>57624</v>
      </c>
    </row>
    <row r="786" spans="1:6" x14ac:dyDescent="0.3">
      <c r="A786" s="7">
        <v>2019</v>
      </c>
      <c r="B786" s="8" t="s">
        <v>57</v>
      </c>
      <c r="C786" s="8" t="s">
        <v>17</v>
      </c>
      <c r="D786" s="14">
        <v>10504</v>
      </c>
      <c r="E786" s="14">
        <v>69931</v>
      </c>
      <c r="F786" s="15">
        <v>60893</v>
      </c>
    </row>
    <row r="787" spans="1:6" x14ac:dyDescent="0.3">
      <c r="A787" s="7">
        <v>2019</v>
      </c>
      <c r="B787" s="8" t="s">
        <v>57</v>
      </c>
      <c r="C787" s="8" t="s">
        <v>18</v>
      </c>
      <c r="D787" s="14">
        <v>44172</v>
      </c>
      <c r="E787" s="14">
        <v>461724</v>
      </c>
      <c r="F787" s="15">
        <v>82573</v>
      </c>
    </row>
    <row r="788" spans="1:6" x14ac:dyDescent="0.3">
      <c r="A788" s="7">
        <v>2019</v>
      </c>
      <c r="B788" s="8" t="s">
        <v>57</v>
      </c>
      <c r="C788" s="8" t="s">
        <v>19</v>
      </c>
      <c r="D788" s="14">
        <v>47892</v>
      </c>
      <c r="E788" s="14">
        <v>605822</v>
      </c>
      <c r="F788" s="15">
        <v>113872</v>
      </c>
    </row>
    <row r="789" spans="1:6" x14ac:dyDescent="0.3">
      <c r="A789" s="7">
        <v>2019</v>
      </c>
      <c r="B789" s="8" t="s">
        <v>57</v>
      </c>
      <c r="C789" s="8" t="s">
        <v>20</v>
      </c>
      <c r="D789" s="14">
        <v>44483</v>
      </c>
      <c r="E789" s="14">
        <v>655188</v>
      </c>
      <c r="F789" s="15">
        <v>70805</v>
      </c>
    </row>
    <row r="790" spans="1:6" x14ac:dyDescent="0.3">
      <c r="A790" s="7">
        <v>2019</v>
      </c>
      <c r="B790" s="8" t="s">
        <v>57</v>
      </c>
      <c r="C790" s="8" t="s">
        <v>21</v>
      </c>
      <c r="D790" s="14">
        <v>32903</v>
      </c>
      <c r="E790" s="14">
        <v>383591</v>
      </c>
      <c r="F790" s="15">
        <v>85736</v>
      </c>
    </row>
    <row r="791" spans="1:6" x14ac:dyDescent="0.3">
      <c r="A791" s="7">
        <v>2019</v>
      </c>
      <c r="B791" s="8" t="s">
        <v>57</v>
      </c>
      <c r="C791" s="8" t="s">
        <v>22</v>
      </c>
      <c r="D791" s="14">
        <v>12421</v>
      </c>
      <c r="E791" s="14">
        <v>108490</v>
      </c>
      <c r="F791" s="15">
        <v>43023</v>
      </c>
    </row>
    <row r="792" spans="1:6" x14ac:dyDescent="0.3">
      <c r="A792" s="7">
        <v>2019</v>
      </c>
      <c r="B792" s="8" t="s">
        <v>57</v>
      </c>
      <c r="C792" s="8" t="s">
        <v>23</v>
      </c>
      <c r="D792" s="14">
        <v>34349</v>
      </c>
      <c r="E792" s="14">
        <v>382484</v>
      </c>
      <c r="F792" s="15">
        <v>68700</v>
      </c>
    </row>
    <row r="793" spans="1:6" x14ac:dyDescent="0.3">
      <c r="A793" s="7">
        <v>2019</v>
      </c>
      <c r="B793" s="8" t="s">
        <v>57</v>
      </c>
      <c r="C793" s="8" t="s">
        <v>24</v>
      </c>
      <c r="D793" s="14">
        <v>9482</v>
      </c>
      <c r="E793" s="14">
        <v>43417</v>
      </c>
      <c r="F793" s="15">
        <v>54553</v>
      </c>
    </row>
    <row r="794" spans="1:6" x14ac:dyDescent="0.3">
      <c r="A794" s="7">
        <v>2019</v>
      </c>
      <c r="B794" s="8" t="s">
        <v>57</v>
      </c>
      <c r="C794" s="8" t="s">
        <v>25</v>
      </c>
      <c r="D794" s="14">
        <v>11737</v>
      </c>
      <c r="E794" s="14">
        <v>120560</v>
      </c>
      <c r="F794" s="15">
        <v>60603</v>
      </c>
    </row>
    <row r="795" spans="1:6" x14ac:dyDescent="0.3">
      <c r="A795" s="7">
        <v>2019</v>
      </c>
      <c r="B795" s="8" t="s">
        <v>57</v>
      </c>
      <c r="C795" s="8" t="s">
        <v>26</v>
      </c>
      <c r="D795" s="14">
        <v>20106</v>
      </c>
      <c r="E795" s="14">
        <v>196204</v>
      </c>
      <c r="F795" s="15">
        <v>62008</v>
      </c>
    </row>
    <row r="796" spans="1:6" x14ac:dyDescent="0.3">
      <c r="A796" s="7">
        <v>2019</v>
      </c>
      <c r="B796" s="8" t="s">
        <v>57</v>
      </c>
      <c r="C796" s="8" t="s">
        <v>27</v>
      </c>
      <c r="D796" s="14">
        <v>12808</v>
      </c>
      <c r="E796" s="14">
        <v>83513</v>
      </c>
      <c r="F796" s="15">
        <v>80647</v>
      </c>
    </row>
    <row r="797" spans="1:6" x14ac:dyDescent="0.3">
      <c r="A797" s="7">
        <v>2019</v>
      </c>
      <c r="B797" s="8" t="s">
        <v>57</v>
      </c>
      <c r="C797" s="8" t="s">
        <v>28</v>
      </c>
      <c r="D797" s="14">
        <v>52040</v>
      </c>
      <c r="E797" s="14">
        <v>677810</v>
      </c>
      <c r="F797" s="15">
        <v>94022</v>
      </c>
    </row>
    <row r="798" spans="1:6" x14ac:dyDescent="0.3">
      <c r="A798" s="7">
        <v>2019</v>
      </c>
      <c r="B798" s="8" t="s">
        <v>57</v>
      </c>
      <c r="C798" s="8" t="s">
        <v>29</v>
      </c>
      <c r="D798" s="14">
        <v>11347</v>
      </c>
      <c r="E798" s="14">
        <v>111478</v>
      </c>
      <c r="F798" s="15">
        <v>64156</v>
      </c>
    </row>
    <row r="799" spans="1:6" x14ac:dyDescent="0.3">
      <c r="A799" s="7">
        <v>2019</v>
      </c>
      <c r="B799" s="8" t="s">
        <v>57</v>
      </c>
      <c r="C799" s="8" t="s">
        <v>30</v>
      </c>
      <c r="D799" s="14">
        <v>112890</v>
      </c>
      <c r="E799" s="14">
        <v>1368950</v>
      </c>
      <c r="F799" s="15">
        <v>99615</v>
      </c>
    </row>
    <row r="800" spans="1:6" x14ac:dyDescent="0.3">
      <c r="A800" s="7">
        <v>2019</v>
      </c>
      <c r="B800" s="8" t="s">
        <v>57</v>
      </c>
      <c r="C800" s="8" t="s">
        <v>31</v>
      </c>
      <c r="D800" s="14">
        <v>61321</v>
      </c>
      <c r="E800" s="14">
        <v>649747</v>
      </c>
      <c r="F800" s="15">
        <v>67705</v>
      </c>
    </row>
    <row r="801" spans="1:6" x14ac:dyDescent="0.3">
      <c r="A801" s="7">
        <v>2019</v>
      </c>
      <c r="B801" s="8" t="s">
        <v>57</v>
      </c>
      <c r="C801" s="8" t="s">
        <v>32</v>
      </c>
      <c r="D801" s="14">
        <v>5198</v>
      </c>
      <c r="E801" s="14">
        <v>32856</v>
      </c>
      <c r="F801" s="15">
        <v>63897</v>
      </c>
    </row>
    <row r="802" spans="1:6" x14ac:dyDescent="0.3">
      <c r="A802" s="7">
        <v>2019</v>
      </c>
      <c r="B802" s="8" t="s">
        <v>57</v>
      </c>
      <c r="C802" s="8" t="s">
        <v>33</v>
      </c>
      <c r="D802" s="14">
        <v>54330</v>
      </c>
      <c r="E802" s="14">
        <v>734963</v>
      </c>
      <c r="F802" s="15">
        <v>66752</v>
      </c>
    </row>
    <row r="803" spans="1:6" x14ac:dyDescent="0.3">
      <c r="A803" s="7">
        <v>2019</v>
      </c>
      <c r="B803" s="8" t="s">
        <v>57</v>
      </c>
      <c r="C803" s="8" t="s">
        <v>34</v>
      </c>
      <c r="D803" s="14">
        <v>21148</v>
      </c>
      <c r="E803" s="14">
        <v>194601</v>
      </c>
      <c r="F803" s="15">
        <v>54841</v>
      </c>
    </row>
    <row r="804" spans="1:6" x14ac:dyDescent="0.3">
      <c r="A804" s="7">
        <v>2019</v>
      </c>
      <c r="B804" s="8" t="s">
        <v>57</v>
      </c>
      <c r="C804" s="8" t="s">
        <v>35</v>
      </c>
      <c r="D804" s="14">
        <v>26161</v>
      </c>
      <c r="E804" s="14">
        <v>253667</v>
      </c>
      <c r="F804" s="15">
        <v>73460</v>
      </c>
    </row>
    <row r="805" spans="1:6" x14ac:dyDescent="0.3">
      <c r="A805" s="7">
        <v>2019</v>
      </c>
      <c r="B805" s="8" t="s">
        <v>57</v>
      </c>
      <c r="C805" s="8" t="s">
        <v>36</v>
      </c>
      <c r="D805" s="14">
        <v>64541</v>
      </c>
      <c r="E805" s="14">
        <v>816358</v>
      </c>
      <c r="F805" s="15">
        <v>81681</v>
      </c>
    </row>
    <row r="806" spans="1:6" x14ac:dyDescent="0.3">
      <c r="A806" s="7">
        <v>2019</v>
      </c>
      <c r="B806" s="8" t="s">
        <v>57</v>
      </c>
      <c r="C806" s="8" t="s">
        <v>37</v>
      </c>
      <c r="D806" s="14">
        <v>9043</v>
      </c>
      <c r="E806" s="14">
        <v>68259</v>
      </c>
      <c r="F806" s="15">
        <v>68454</v>
      </c>
    </row>
    <row r="807" spans="1:6" x14ac:dyDescent="0.3">
      <c r="A807" s="7">
        <v>2019</v>
      </c>
      <c r="B807" s="8" t="s">
        <v>57</v>
      </c>
      <c r="C807" s="8" t="s">
        <v>38</v>
      </c>
      <c r="D807" s="14">
        <v>29329</v>
      </c>
      <c r="E807" s="14">
        <v>298404</v>
      </c>
      <c r="F807" s="15">
        <v>52492</v>
      </c>
    </row>
    <row r="808" spans="1:6" x14ac:dyDescent="0.3">
      <c r="A808" s="7">
        <v>2019</v>
      </c>
      <c r="B808" s="8" t="s">
        <v>57</v>
      </c>
      <c r="C808" s="8" t="s">
        <v>39</v>
      </c>
      <c r="D808" s="14">
        <v>5498</v>
      </c>
      <c r="E808" s="14">
        <v>33117</v>
      </c>
      <c r="F808" s="15">
        <v>58619</v>
      </c>
    </row>
    <row r="809" spans="1:6" x14ac:dyDescent="0.3">
      <c r="A809" s="7">
        <v>2019</v>
      </c>
      <c r="B809" s="8" t="s">
        <v>57</v>
      </c>
      <c r="C809" s="8" t="s">
        <v>40</v>
      </c>
      <c r="D809" s="14">
        <v>30774</v>
      </c>
      <c r="E809" s="14">
        <v>425933</v>
      </c>
      <c r="F809" s="15">
        <v>62990</v>
      </c>
    </row>
    <row r="810" spans="1:6" x14ac:dyDescent="0.3">
      <c r="A810" s="7">
        <v>2019</v>
      </c>
      <c r="B810" s="8" t="s">
        <v>57</v>
      </c>
      <c r="C810" s="8" t="s">
        <v>41</v>
      </c>
      <c r="D810" s="14">
        <v>139953</v>
      </c>
      <c r="E810" s="14">
        <v>1794316</v>
      </c>
      <c r="F810" s="15">
        <v>77197</v>
      </c>
    </row>
    <row r="811" spans="1:6" x14ac:dyDescent="0.3">
      <c r="A811" s="7">
        <v>2019</v>
      </c>
      <c r="B811" s="8" t="s">
        <v>57</v>
      </c>
      <c r="C811" s="8" t="s">
        <v>42</v>
      </c>
      <c r="D811" s="14">
        <v>24485</v>
      </c>
      <c r="E811" s="14">
        <v>221851</v>
      </c>
      <c r="F811" s="15">
        <v>64641</v>
      </c>
    </row>
    <row r="812" spans="1:6" x14ac:dyDescent="0.3">
      <c r="A812" s="7">
        <v>2019</v>
      </c>
      <c r="B812" s="8" t="s">
        <v>57</v>
      </c>
      <c r="C812" s="8" t="s">
        <v>43</v>
      </c>
      <c r="D812" s="14">
        <v>5970</v>
      </c>
      <c r="E812" s="14">
        <v>29394</v>
      </c>
      <c r="F812" s="15">
        <v>68986</v>
      </c>
    </row>
    <row r="813" spans="1:6" x14ac:dyDescent="0.3">
      <c r="A813" s="7">
        <v>2019</v>
      </c>
      <c r="B813" s="8" t="s">
        <v>57</v>
      </c>
      <c r="C813" s="8" t="s">
        <v>44</v>
      </c>
      <c r="D813" s="14">
        <v>59342</v>
      </c>
      <c r="E813" s="14">
        <v>762590</v>
      </c>
      <c r="F813" s="15">
        <v>90327</v>
      </c>
    </row>
    <row r="814" spans="1:6" x14ac:dyDescent="0.3">
      <c r="A814" s="7">
        <v>2019</v>
      </c>
      <c r="B814" s="8" t="s">
        <v>57</v>
      </c>
      <c r="C814" s="8" t="s">
        <v>45</v>
      </c>
      <c r="D814" s="14">
        <v>41249</v>
      </c>
      <c r="E814" s="14">
        <v>425615</v>
      </c>
      <c r="F814" s="15">
        <v>85460</v>
      </c>
    </row>
    <row r="815" spans="1:6" x14ac:dyDescent="0.3">
      <c r="A815" s="7">
        <v>2019</v>
      </c>
      <c r="B815" s="8" t="s">
        <v>57</v>
      </c>
      <c r="C815" s="8" t="s">
        <v>46</v>
      </c>
      <c r="D815" s="14">
        <v>8381</v>
      </c>
      <c r="E815" s="14">
        <v>69069</v>
      </c>
      <c r="F815" s="15">
        <v>52180</v>
      </c>
    </row>
    <row r="816" spans="1:6" x14ac:dyDescent="0.3">
      <c r="A816" s="7">
        <v>2019</v>
      </c>
      <c r="B816" s="8" t="s">
        <v>57</v>
      </c>
      <c r="C816" s="8" t="s">
        <v>47</v>
      </c>
      <c r="D816" s="14">
        <v>26927</v>
      </c>
      <c r="E816" s="14">
        <v>326120</v>
      </c>
      <c r="F816" s="15">
        <v>63192</v>
      </c>
    </row>
    <row r="817" spans="1:6" x14ac:dyDescent="0.3">
      <c r="A817" s="7">
        <v>2019</v>
      </c>
      <c r="B817" s="8" t="s">
        <v>57</v>
      </c>
      <c r="C817" s="8" t="s">
        <v>48</v>
      </c>
      <c r="D817" s="14">
        <v>4728</v>
      </c>
      <c r="E817" s="14">
        <v>19196</v>
      </c>
      <c r="F817" s="15">
        <v>56253</v>
      </c>
    </row>
    <row r="818" spans="1:6" x14ac:dyDescent="0.3">
      <c r="A818" s="7">
        <v>2019</v>
      </c>
      <c r="B818" s="8" t="s">
        <v>58</v>
      </c>
      <c r="C818" s="8" t="s">
        <v>1</v>
      </c>
      <c r="D818" s="14">
        <v>13692</v>
      </c>
      <c r="E818" s="14">
        <v>238078</v>
      </c>
      <c r="F818" s="15">
        <v>47785</v>
      </c>
    </row>
    <row r="819" spans="1:6" x14ac:dyDescent="0.3">
      <c r="A819" s="7">
        <v>2019</v>
      </c>
      <c r="B819" s="8" t="s">
        <v>58</v>
      </c>
      <c r="C819" s="8" t="s">
        <v>2</v>
      </c>
      <c r="D819" s="14">
        <v>19924</v>
      </c>
      <c r="E819" s="14">
        <v>457984</v>
      </c>
      <c r="F819" s="15">
        <v>52632</v>
      </c>
    </row>
    <row r="820" spans="1:6" x14ac:dyDescent="0.3">
      <c r="A820" s="7">
        <v>2019</v>
      </c>
      <c r="B820" s="8" t="s">
        <v>58</v>
      </c>
      <c r="C820" s="8" t="s">
        <v>3</v>
      </c>
      <c r="D820" s="14">
        <v>15780</v>
      </c>
      <c r="E820" s="14">
        <v>187607</v>
      </c>
      <c r="F820" s="15">
        <v>43983</v>
      </c>
    </row>
    <row r="821" spans="1:6" x14ac:dyDescent="0.3">
      <c r="A821" s="7">
        <v>2019</v>
      </c>
      <c r="B821" s="8" t="s">
        <v>58</v>
      </c>
      <c r="C821" s="8" t="s">
        <v>4</v>
      </c>
      <c r="D821" s="14">
        <v>639529</v>
      </c>
      <c r="E821" s="14">
        <v>2734574</v>
      </c>
      <c r="F821" s="15">
        <v>53909</v>
      </c>
    </row>
    <row r="822" spans="1:6" x14ac:dyDescent="0.3">
      <c r="A822" s="7">
        <v>2019</v>
      </c>
      <c r="B822" s="8" t="s">
        <v>58</v>
      </c>
      <c r="C822" s="8" t="s">
        <v>5</v>
      </c>
      <c r="D822" s="14">
        <v>21747</v>
      </c>
      <c r="E822" s="14">
        <v>341496</v>
      </c>
      <c r="F822" s="15">
        <v>51600</v>
      </c>
    </row>
    <row r="823" spans="1:6" x14ac:dyDescent="0.3">
      <c r="A823" s="7">
        <v>2019</v>
      </c>
      <c r="B823" s="8" t="s">
        <v>58</v>
      </c>
      <c r="C823" s="8" t="s">
        <v>6</v>
      </c>
      <c r="D823" s="14">
        <v>13478</v>
      </c>
      <c r="E823" s="14">
        <v>330418</v>
      </c>
      <c r="F823" s="15">
        <v>57419</v>
      </c>
    </row>
    <row r="824" spans="1:6" x14ac:dyDescent="0.3">
      <c r="A824" s="7">
        <v>2019</v>
      </c>
      <c r="B824" s="8" t="s">
        <v>58</v>
      </c>
      <c r="C824" s="8" t="s">
        <v>7</v>
      </c>
      <c r="D824" s="14">
        <v>5386</v>
      </c>
      <c r="E824" s="14">
        <v>76932</v>
      </c>
      <c r="F824" s="15">
        <v>55284</v>
      </c>
    </row>
    <row r="825" spans="1:6" x14ac:dyDescent="0.3">
      <c r="A825" s="7">
        <v>2019</v>
      </c>
      <c r="B825" s="8" t="s">
        <v>58</v>
      </c>
      <c r="C825" s="8" t="s">
        <v>8</v>
      </c>
      <c r="D825" s="14">
        <v>76615</v>
      </c>
      <c r="E825" s="14">
        <v>1324281</v>
      </c>
      <c r="F825" s="15">
        <v>52039</v>
      </c>
    </row>
    <row r="826" spans="1:6" x14ac:dyDescent="0.3">
      <c r="A826" s="7">
        <v>2019</v>
      </c>
      <c r="B826" s="8" t="s">
        <v>58</v>
      </c>
      <c r="C826" s="8" t="s">
        <v>9</v>
      </c>
      <c r="D826" s="14">
        <v>29998</v>
      </c>
      <c r="E826" s="14">
        <v>580134</v>
      </c>
      <c r="F826" s="15">
        <v>53810</v>
      </c>
    </row>
    <row r="827" spans="1:6" x14ac:dyDescent="0.3">
      <c r="A827" s="7">
        <v>2019</v>
      </c>
      <c r="B827" s="8" t="s">
        <v>58</v>
      </c>
      <c r="C827" s="8" t="s">
        <v>10</v>
      </c>
      <c r="D827" s="14">
        <v>8163</v>
      </c>
      <c r="E827" s="14">
        <v>105424</v>
      </c>
      <c r="F827" s="15">
        <v>43475</v>
      </c>
    </row>
    <row r="828" spans="1:6" x14ac:dyDescent="0.3">
      <c r="A828" s="7">
        <v>2019</v>
      </c>
      <c r="B828" s="8" t="s">
        <v>58</v>
      </c>
      <c r="C828" s="8" t="s">
        <v>11</v>
      </c>
      <c r="D828" s="14">
        <v>35102</v>
      </c>
      <c r="E828" s="14">
        <v>924699</v>
      </c>
      <c r="F828" s="15">
        <v>52038</v>
      </c>
    </row>
    <row r="829" spans="1:6" x14ac:dyDescent="0.3">
      <c r="A829" s="7">
        <v>2019</v>
      </c>
      <c r="B829" s="8" t="s">
        <v>58</v>
      </c>
      <c r="C829" s="8" t="s">
        <v>12</v>
      </c>
      <c r="D829" s="14">
        <v>16247</v>
      </c>
      <c r="E829" s="14">
        <v>468491</v>
      </c>
      <c r="F829" s="15">
        <v>49107</v>
      </c>
    </row>
    <row r="830" spans="1:6" x14ac:dyDescent="0.3">
      <c r="A830" s="7">
        <v>2019</v>
      </c>
      <c r="B830" s="8" t="s">
        <v>58</v>
      </c>
      <c r="C830" s="8" t="s">
        <v>13</v>
      </c>
      <c r="D830" s="14">
        <v>11966</v>
      </c>
      <c r="E830" s="14">
        <v>219013</v>
      </c>
      <c r="F830" s="15">
        <v>44392</v>
      </c>
    </row>
    <row r="831" spans="1:6" x14ac:dyDescent="0.3">
      <c r="A831" s="7">
        <v>2019</v>
      </c>
      <c r="B831" s="8" t="s">
        <v>58</v>
      </c>
      <c r="C831" s="8" t="s">
        <v>14</v>
      </c>
      <c r="D831" s="14">
        <v>10085</v>
      </c>
      <c r="E831" s="14">
        <v>197874</v>
      </c>
      <c r="F831" s="15">
        <v>43909</v>
      </c>
    </row>
    <row r="832" spans="1:6" x14ac:dyDescent="0.3">
      <c r="A832" s="7">
        <v>2019</v>
      </c>
      <c r="B832" s="8" t="s">
        <v>58</v>
      </c>
      <c r="C832" s="8" t="s">
        <v>15</v>
      </c>
      <c r="D832" s="14">
        <v>18442</v>
      </c>
      <c r="E832" s="14">
        <v>272579</v>
      </c>
      <c r="F832" s="15">
        <v>49141</v>
      </c>
    </row>
    <row r="833" spans="1:6" x14ac:dyDescent="0.3">
      <c r="A833" s="7">
        <v>2019</v>
      </c>
      <c r="B833" s="8" t="s">
        <v>58</v>
      </c>
      <c r="C833" s="8" t="s">
        <v>16</v>
      </c>
      <c r="D833" s="14">
        <v>16110</v>
      </c>
      <c r="E833" s="14">
        <v>305742</v>
      </c>
      <c r="F833" s="15">
        <v>44832</v>
      </c>
    </row>
    <row r="834" spans="1:6" x14ac:dyDescent="0.3">
      <c r="A834" s="7">
        <v>2019</v>
      </c>
      <c r="B834" s="8" t="s">
        <v>58</v>
      </c>
      <c r="C834" s="8" t="s">
        <v>17</v>
      </c>
      <c r="D834" s="14">
        <v>5474</v>
      </c>
      <c r="E834" s="14">
        <v>120085</v>
      </c>
      <c r="F834" s="15">
        <v>49342</v>
      </c>
    </row>
    <row r="835" spans="1:6" x14ac:dyDescent="0.3">
      <c r="A835" s="7">
        <v>2019</v>
      </c>
      <c r="B835" s="8" t="s">
        <v>58</v>
      </c>
      <c r="C835" s="8" t="s">
        <v>18</v>
      </c>
      <c r="D835" s="14">
        <v>21419</v>
      </c>
      <c r="E835" s="14">
        <v>451332</v>
      </c>
      <c r="F835" s="15">
        <v>55476</v>
      </c>
    </row>
    <row r="836" spans="1:6" x14ac:dyDescent="0.3">
      <c r="A836" s="7">
        <v>2019</v>
      </c>
      <c r="B836" s="8" t="s">
        <v>58</v>
      </c>
      <c r="C836" s="8" t="s">
        <v>19</v>
      </c>
      <c r="D836" s="14">
        <v>68761</v>
      </c>
      <c r="E836" s="14">
        <v>790552</v>
      </c>
      <c r="F836" s="15">
        <v>59886</v>
      </c>
    </row>
    <row r="837" spans="1:6" x14ac:dyDescent="0.3">
      <c r="A837" s="7">
        <v>2019</v>
      </c>
      <c r="B837" s="8" t="s">
        <v>58</v>
      </c>
      <c r="C837" s="8" t="s">
        <v>20</v>
      </c>
      <c r="D837" s="14">
        <v>25357</v>
      </c>
      <c r="E837" s="14">
        <v>661203</v>
      </c>
      <c r="F837" s="15">
        <v>50845</v>
      </c>
    </row>
    <row r="838" spans="1:6" x14ac:dyDescent="0.3">
      <c r="A838" s="7">
        <v>2019</v>
      </c>
      <c r="B838" s="8" t="s">
        <v>58</v>
      </c>
      <c r="C838" s="8" t="s">
        <v>21</v>
      </c>
      <c r="D838" s="14">
        <v>20728</v>
      </c>
      <c r="E838" s="14">
        <v>530749</v>
      </c>
      <c r="F838" s="15">
        <v>52656</v>
      </c>
    </row>
    <row r="839" spans="1:6" x14ac:dyDescent="0.3">
      <c r="A839" s="7">
        <v>2019</v>
      </c>
      <c r="B839" s="8" t="s">
        <v>58</v>
      </c>
      <c r="C839" s="8" t="s">
        <v>22</v>
      </c>
      <c r="D839" s="14">
        <v>7557</v>
      </c>
      <c r="E839" s="14">
        <v>146077</v>
      </c>
      <c r="F839" s="15">
        <v>42620</v>
      </c>
    </row>
    <row r="840" spans="1:6" x14ac:dyDescent="0.3">
      <c r="A840" s="7">
        <v>2019</v>
      </c>
      <c r="B840" s="8" t="s">
        <v>58</v>
      </c>
      <c r="C840" s="8" t="s">
        <v>23</v>
      </c>
      <c r="D840" s="14">
        <v>52078</v>
      </c>
      <c r="E840" s="14">
        <v>462462</v>
      </c>
      <c r="F840" s="15">
        <v>47562</v>
      </c>
    </row>
    <row r="841" spans="1:6" x14ac:dyDescent="0.3">
      <c r="A841" s="7">
        <v>2019</v>
      </c>
      <c r="B841" s="8" t="s">
        <v>58</v>
      </c>
      <c r="C841" s="8" t="s">
        <v>24</v>
      </c>
      <c r="D841" s="14">
        <v>4834</v>
      </c>
      <c r="E841" s="14">
        <v>74646</v>
      </c>
      <c r="F841" s="15">
        <v>49258</v>
      </c>
    </row>
    <row r="842" spans="1:6" x14ac:dyDescent="0.3">
      <c r="A842" s="7">
        <v>2019</v>
      </c>
      <c r="B842" s="8" t="s">
        <v>58</v>
      </c>
      <c r="C842" s="8" t="s">
        <v>25</v>
      </c>
      <c r="D842" s="14">
        <v>11559</v>
      </c>
      <c r="E842" s="14">
        <v>139275</v>
      </c>
      <c r="F842" s="15">
        <v>48735</v>
      </c>
    </row>
    <row r="843" spans="1:6" x14ac:dyDescent="0.3">
      <c r="A843" s="7">
        <v>2019</v>
      </c>
      <c r="B843" s="8" t="s">
        <v>58</v>
      </c>
      <c r="C843" s="8" t="s">
        <v>26</v>
      </c>
      <c r="D843" s="14">
        <v>8934</v>
      </c>
      <c r="E843" s="14">
        <v>143417</v>
      </c>
      <c r="F843" s="15">
        <v>54808</v>
      </c>
    </row>
    <row r="844" spans="1:6" x14ac:dyDescent="0.3">
      <c r="A844" s="7">
        <v>2019</v>
      </c>
      <c r="B844" s="8" t="s">
        <v>58</v>
      </c>
      <c r="C844" s="8" t="s">
        <v>27</v>
      </c>
      <c r="D844" s="14">
        <v>4773</v>
      </c>
      <c r="E844" s="14">
        <v>114430</v>
      </c>
      <c r="F844" s="15">
        <v>58363</v>
      </c>
    </row>
    <row r="845" spans="1:6" x14ac:dyDescent="0.3">
      <c r="A845" s="7">
        <v>2019</v>
      </c>
      <c r="B845" s="8" t="s">
        <v>58</v>
      </c>
      <c r="C845" s="8" t="s">
        <v>28</v>
      </c>
      <c r="D845" s="14">
        <v>40687</v>
      </c>
      <c r="E845" s="14">
        <v>670070</v>
      </c>
      <c r="F845" s="15">
        <v>55124</v>
      </c>
    </row>
    <row r="846" spans="1:6" x14ac:dyDescent="0.3">
      <c r="A846" s="7">
        <v>2019</v>
      </c>
      <c r="B846" s="8" t="s">
        <v>58</v>
      </c>
      <c r="C846" s="8" t="s">
        <v>29</v>
      </c>
      <c r="D846" s="14">
        <v>10974</v>
      </c>
      <c r="E846" s="14">
        <v>130181</v>
      </c>
      <c r="F846" s="15">
        <v>42852</v>
      </c>
    </row>
    <row r="847" spans="1:6" x14ac:dyDescent="0.3">
      <c r="A847" s="7">
        <v>2019</v>
      </c>
      <c r="B847" s="8" t="s">
        <v>58</v>
      </c>
      <c r="C847" s="8" t="s">
        <v>30</v>
      </c>
      <c r="D847" s="14">
        <v>67202</v>
      </c>
      <c r="E847" s="14">
        <v>1981493</v>
      </c>
      <c r="F847" s="15">
        <v>54638</v>
      </c>
    </row>
    <row r="848" spans="1:6" x14ac:dyDescent="0.3">
      <c r="A848" s="7">
        <v>2019</v>
      </c>
      <c r="B848" s="8" t="s">
        <v>58</v>
      </c>
      <c r="C848" s="8" t="s">
        <v>31</v>
      </c>
      <c r="D848" s="14">
        <v>28199</v>
      </c>
      <c r="E848" s="14">
        <v>606564</v>
      </c>
      <c r="F848" s="15">
        <v>50123</v>
      </c>
    </row>
    <row r="849" spans="1:6" x14ac:dyDescent="0.3">
      <c r="A849" s="7">
        <v>2019</v>
      </c>
      <c r="B849" s="8" t="s">
        <v>58</v>
      </c>
      <c r="C849" s="8" t="s">
        <v>32</v>
      </c>
      <c r="D849" s="14">
        <v>2581</v>
      </c>
      <c r="E849" s="14">
        <v>65771</v>
      </c>
      <c r="F849" s="15">
        <v>52585</v>
      </c>
    </row>
    <row r="850" spans="1:6" x14ac:dyDescent="0.3">
      <c r="A850" s="7">
        <v>2019</v>
      </c>
      <c r="B850" s="8" t="s">
        <v>58</v>
      </c>
      <c r="C850" s="8" t="s">
        <v>33</v>
      </c>
      <c r="D850" s="14">
        <v>35525</v>
      </c>
      <c r="E850" s="14">
        <v>908891</v>
      </c>
      <c r="F850" s="15">
        <v>47891</v>
      </c>
    </row>
    <row r="851" spans="1:6" x14ac:dyDescent="0.3">
      <c r="A851" s="7">
        <v>2019</v>
      </c>
      <c r="B851" s="8" t="s">
        <v>58</v>
      </c>
      <c r="C851" s="8" t="s">
        <v>34</v>
      </c>
      <c r="D851" s="14">
        <v>13345</v>
      </c>
      <c r="E851" s="14">
        <v>213244</v>
      </c>
      <c r="F851" s="15">
        <v>46841</v>
      </c>
    </row>
    <row r="852" spans="1:6" x14ac:dyDescent="0.3">
      <c r="A852" s="7">
        <v>2019</v>
      </c>
      <c r="B852" s="8" t="s">
        <v>58</v>
      </c>
      <c r="C852" s="8" t="s">
        <v>35</v>
      </c>
      <c r="D852" s="14">
        <v>16113</v>
      </c>
      <c r="E852" s="14">
        <v>295311</v>
      </c>
      <c r="F852" s="15">
        <v>51842</v>
      </c>
    </row>
    <row r="853" spans="1:6" x14ac:dyDescent="0.3">
      <c r="A853" s="7">
        <v>2019</v>
      </c>
      <c r="B853" s="8" t="s">
        <v>58</v>
      </c>
      <c r="C853" s="8" t="s">
        <v>36</v>
      </c>
      <c r="D853" s="14">
        <v>57945</v>
      </c>
      <c r="E853" s="14">
        <v>1230922</v>
      </c>
      <c r="F853" s="15">
        <v>53416</v>
      </c>
    </row>
    <row r="854" spans="1:6" x14ac:dyDescent="0.3">
      <c r="A854" s="7">
        <v>2019</v>
      </c>
      <c r="B854" s="8" t="s">
        <v>58</v>
      </c>
      <c r="C854" s="8" t="s">
        <v>37</v>
      </c>
      <c r="D854" s="14">
        <v>4664</v>
      </c>
      <c r="E854" s="14">
        <v>102395</v>
      </c>
      <c r="F854" s="15">
        <v>50458</v>
      </c>
    </row>
    <row r="855" spans="1:6" x14ac:dyDescent="0.3">
      <c r="A855" s="7">
        <v>2019</v>
      </c>
      <c r="B855" s="8" t="s">
        <v>58</v>
      </c>
      <c r="C855" s="8" t="s">
        <v>38</v>
      </c>
      <c r="D855" s="14">
        <v>12757</v>
      </c>
      <c r="E855" s="14">
        <v>237600</v>
      </c>
      <c r="F855" s="15">
        <v>47296</v>
      </c>
    </row>
    <row r="856" spans="1:6" x14ac:dyDescent="0.3">
      <c r="A856" s="7">
        <v>2019</v>
      </c>
      <c r="B856" s="8" t="s">
        <v>58</v>
      </c>
      <c r="C856" s="8" t="s">
        <v>39</v>
      </c>
      <c r="D856" s="14">
        <v>2904</v>
      </c>
      <c r="E856" s="14">
        <v>68913</v>
      </c>
      <c r="F856" s="15">
        <v>52412</v>
      </c>
    </row>
    <row r="857" spans="1:6" x14ac:dyDescent="0.3">
      <c r="A857" s="7">
        <v>2019</v>
      </c>
      <c r="B857" s="8" t="s">
        <v>58</v>
      </c>
      <c r="C857" s="8" t="s">
        <v>40</v>
      </c>
      <c r="D857" s="14">
        <v>16563</v>
      </c>
      <c r="E857" s="14">
        <v>427328</v>
      </c>
      <c r="F857" s="15">
        <v>53183</v>
      </c>
    </row>
    <row r="858" spans="1:6" x14ac:dyDescent="0.3">
      <c r="A858" s="7">
        <v>2019</v>
      </c>
      <c r="B858" s="8" t="s">
        <v>58</v>
      </c>
      <c r="C858" s="8" t="s">
        <v>41</v>
      </c>
      <c r="D858" s="14">
        <v>94237</v>
      </c>
      <c r="E858" s="14">
        <v>1684606</v>
      </c>
      <c r="F858" s="15">
        <v>49322</v>
      </c>
    </row>
    <row r="859" spans="1:6" x14ac:dyDescent="0.3">
      <c r="A859" s="7">
        <v>2019</v>
      </c>
      <c r="B859" s="8" t="s">
        <v>58</v>
      </c>
      <c r="C859" s="8" t="s">
        <v>42</v>
      </c>
      <c r="D859" s="14">
        <v>12857</v>
      </c>
      <c r="E859" s="14">
        <v>193373</v>
      </c>
      <c r="F859" s="15">
        <v>44983</v>
      </c>
    </row>
    <row r="860" spans="1:6" x14ac:dyDescent="0.3">
      <c r="A860" s="7">
        <v>2019</v>
      </c>
      <c r="B860" s="8" t="s">
        <v>58</v>
      </c>
      <c r="C860" s="8" t="s">
        <v>43</v>
      </c>
      <c r="D860" s="14">
        <v>2503</v>
      </c>
      <c r="E860" s="14">
        <v>62317</v>
      </c>
      <c r="F860" s="15">
        <v>48501</v>
      </c>
    </row>
    <row r="861" spans="1:6" x14ac:dyDescent="0.3">
      <c r="A861" s="7">
        <v>2019</v>
      </c>
      <c r="B861" s="8" t="s">
        <v>58</v>
      </c>
      <c r="C861" s="8" t="s">
        <v>44</v>
      </c>
      <c r="D861" s="14">
        <v>50144</v>
      </c>
      <c r="E861" s="14">
        <v>517645</v>
      </c>
      <c r="F861" s="15">
        <v>50876</v>
      </c>
    </row>
    <row r="862" spans="1:6" x14ac:dyDescent="0.3">
      <c r="A862" s="7">
        <v>2019</v>
      </c>
      <c r="B862" s="8" t="s">
        <v>58</v>
      </c>
      <c r="C862" s="8" t="s">
        <v>45</v>
      </c>
      <c r="D862" s="14">
        <v>64023</v>
      </c>
      <c r="E862" s="14">
        <v>478274</v>
      </c>
      <c r="F862" s="15">
        <v>53267</v>
      </c>
    </row>
    <row r="863" spans="1:6" x14ac:dyDescent="0.3">
      <c r="A863" s="7">
        <v>2019</v>
      </c>
      <c r="B863" s="8" t="s">
        <v>58</v>
      </c>
      <c r="C863" s="8" t="s">
        <v>46</v>
      </c>
      <c r="D863" s="14">
        <v>5755</v>
      </c>
      <c r="E863" s="14">
        <v>125528</v>
      </c>
      <c r="F863" s="15">
        <v>47876</v>
      </c>
    </row>
    <row r="864" spans="1:6" x14ac:dyDescent="0.3">
      <c r="A864" s="7">
        <v>2019</v>
      </c>
      <c r="B864" s="8" t="s">
        <v>58</v>
      </c>
      <c r="C864" s="8" t="s">
        <v>47</v>
      </c>
      <c r="D864" s="14">
        <v>29257</v>
      </c>
      <c r="E864" s="14">
        <v>440255</v>
      </c>
      <c r="F864" s="15">
        <v>50951</v>
      </c>
    </row>
    <row r="865" spans="1:6" x14ac:dyDescent="0.3">
      <c r="A865" s="7">
        <v>2019</v>
      </c>
      <c r="B865" s="8" t="s">
        <v>58</v>
      </c>
      <c r="C865" s="8" t="s">
        <v>48</v>
      </c>
      <c r="D865" s="14">
        <v>3384</v>
      </c>
      <c r="E865" s="14">
        <v>27323</v>
      </c>
      <c r="F865" s="15">
        <v>44083</v>
      </c>
    </row>
    <row r="866" spans="1:6" x14ac:dyDescent="0.3">
      <c r="A866" s="7">
        <v>2019</v>
      </c>
      <c r="B866" s="8" t="s">
        <v>59</v>
      </c>
      <c r="C866" s="8" t="s">
        <v>1</v>
      </c>
      <c r="D866" s="14">
        <v>11180</v>
      </c>
      <c r="E866" s="14">
        <v>208446</v>
      </c>
      <c r="F866" s="15">
        <v>17618</v>
      </c>
    </row>
    <row r="867" spans="1:6" x14ac:dyDescent="0.3">
      <c r="A867" s="7">
        <v>2019</v>
      </c>
      <c r="B867" s="8" t="s">
        <v>59</v>
      </c>
      <c r="C867" s="8" t="s">
        <v>2</v>
      </c>
      <c r="D867" s="14">
        <v>14256</v>
      </c>
      <c r="E867" s="14">
        <v>331295</v>
      </c>
      <c r="F867" s="15">
        <v>25557</v>
      </c>
    </row>
    <row r="868" spans="1:6" x14ac:dyDescent="0.3">
      <c r="A868" s="7">
        <v>2019</v>
      </c>
      <c r="B868" s="8" t="s">
        <v>59</v>
      </c>
      <c r="C868" s="8" t="s">
        <v>3</v>
      </c>
      <c r="D868" s="14">
        <v>7315</v>
      </c>
      <c r="E868" s="14">
        <v>120644</v>
      </c>
      <c r="F868" s="15">
        <v>17299</v>
      </c>
    </row>
    <row r="869" spans="1:6" x14ac:dyDescent="0.3">
      <c r="A869" s="7">
        <v>2019</v>
      </c>
      <c r="B869" s="8" t="s">
        <v>59</v>
      </c>
      <c r="C869" s="8" t="s">
        <v>4</v>
      </c>
      <c r="D869" s="14">
        <v>116191</v>
      </c>
      <c r="E869" s="14">
        <v>2034920</v>
      </c>
      <c r="F869" s="15">
        <v>32379</v>
      </c>
    </row>
    <row r="870" spans="1:6" x14ac:dyDescent="0.3">
      <c r="A870" s="7">
        <v>2019</v>
      </c>
      <c r="B870" s="8" t="s">
        <v>59</v>
      </c>
      <c r="C870" s="8" t="s">
        <v>5</v>
      </c>
      <c r="D870" s="14">
        <v>17317</v>
      </c>
      <c r="E870" s="14">
        <v>344935</v>
      </c>
      <c r="F870" s="15">
        <v>27131</v>
      </c>
    </row>
    <row r="871" spans="1:6" x14ac:dyDescent="0.3">
      <c r="A871" s="7">
        <v>2019</v>
      </c>
      <c r="B871" s="8" t="s">
        <v>59</v>
      </c>
      <c r="C871" s="8" t="s">
        <v>6</v>
      </c>
      <c r="D871" s="14">
        <v>10917</v>
      </c>
      <c r="E871" s="14">
        <v>157574</v>
      </c>
      <c r="F871" s="15">
        <v>24451</v>
      </c>
    </row>
    <row r="872" spans="1:6" x14ac:dyDescent="0.3">
      <c r="A872" s="7">
        <v>2019</v>
      </c>
      <c r="B872" s="8" t="s">
        <v>59</v>
      </c>
      <c r="C872" s="8" t="s">
        <v>7</v>
      </c>
      <c r="D872" s="14">
        <v>2710</v>
      </c>
      <c r="E872" s="14">
        <v>53038</v>
      </c>
      <c r="F872" s="15">
        <v>21264</v>
      </c>
    </row>
    <row r="873" spans="1:6" x14ac:dyDescent="0.3">
      <c r="A873" s="7">
        <v>2019</v>
      </c>
      <c r="B873" s="8" t="s">
        <v>59</v>
      </c>
      <c r="C873" s="8" t="s">
        <v>8</v>
      </c>
      <c r="D873" s="14">
        <v>58596</v>
      </c>
      <c r="E873" s="14">
        <v>1257201</v>
      </c>
      <c r="F873" s="15">
        <v>26675</v>
      </c>
    </row>
    <row r="874" spans="1:6" x14ac:dyDescent="0.3">
      <c r="A874" s="7">
        <v>2019</v>
      </c>
      <c r="B874" s="8" t="s">
        <v>59</v>
      </c>
      <c r="C874" s="8" t="s">
        <v>9</v>
      </c>
      <c r="D874" s="14">
        <v>25254</v>
      </c>
      <c r="E874" s="14">
        <v>498529</v>
      </c>
      <c r="F874" s="15">
        <v>21342</v>
      </c>
    </row>
    <row r="875" spans="1:6" x14ac:dyDescent="0.3">
      <c r="A875" s="7">
        <v>2019</v>
      </c>
      <c r="B875" s="8" t="s">
        <v>59</v>
      </c>
      <c r="C875" s="8" t="s">
        <v>10</v>
      </c>
      <c r="D875" s="14">
        <v>5038</v>
      </c>
      <c r="E875" s="14">
        <v>82521</v>
      </c>
      <c r="F875" s="15">
        <v>17770</v>
      </c>
    </row>
    <row r="876" spans="1:6" x14ac:dyDescent="0.3">
      <c r="A876" s="7">
        <v>2019</v>
      </c>
      <c r="B876" s="8" t="s">
        <v>59</v>
      </c>
      <c r="C876" s="8" t="s">
        <v>11</v>
      </c>
      <c r="D876" s="14">
        <v>33183</v>
      </c>
      <c r="E876" s="14">
        <v>622987</v>
      </c>
      <c r="F876" s="15">
        <v>24703</v>
      </c>
    </row>
    <row r="877" spans="1:6" x14ac:dyDescent="0.3">
      <c r="A877" s="7">
        <v>2019</v>
      </c>
      <c r="B877" s="8" t="s">
        <v>59</v>
      </c>
      <c r="C877" s="8" t="s">
        <v>12</v>
      </c>
      <c r="D877" s="14">
        <v>15776</v>
      </c>
      <c r="E877" s="14">
        <v>313889</v>
      </c>
      <c r="F877" s="15">
        <v>19660</v>
      </c>
    </row>
    <row r="878" spans="1:6" x14ac:dyDescent="0.3">
      <c r="A878" s="7">
        <v>2019</v>
      </c>
      <c r="B878" s="8" t="s">
        <v>59</v>
      </c>
      <c r="C878" s="8" t="s">
        <v>13</v>
      </c>
      <c r="D878" s="14">
        <v>8796</v>
      </c>
      <c r="E878" s="14">
        <v>144265</v>
      </c>
      <c r="F878" s="15">
        <v>17261</v>
      </c>
    </row>
    <row r="879" spans="1:6" x14ac:dyDescent="0.3">
      <c r="A879" s="7">
        <v>2019</v>
      </c>
      <c r="B879" s="8" t="s">
        <v>59</v>
      </c>
      <c r="C879" s="8" t="s">
        <v>14</v>
      </c>
      <c r="D879" s="14">
        <v>6871</v>
      </c>
      <c r="E879" s="14">
        <v>130101</v>
      </c>
      <c r="F879" s="15">
        <v>17333</v>
      </c>
    </row>
    <row r="880" spans="1:6" x14ac:dyDescent="0.3">
      <c r="A880" s="7">
        <v>2019</v>
      </c>
      <c r="B880" s="8" t="s">
        <v>59</v>
      </c>
      <c r="C880" s="8" t="s">
        <v>15</v>
      </c>
      <c r="D880" s="14">
        <v>10118</v>
      </c>
      <c r="E880" s="14">
        <v>201748</v>
      </c>
      <c r="F880" s="15">
        <v>18350</v>
      </c>
    </row>
    <row r="881" spans="1:6" x14ac:dyDescent="0.3">
      <c r="A881" s="7">
        <v>2019</v>
      </c>
      <c r="B881" s="8" t="s">
        <v>59</v>
      </c>
      <c r="C881" s="8" t="s">
        <v>16</v>
      </c>
      <c r="D881" s="14">
        <v>12912</v>
      </c>
      <c r="E881" s="14">
        <v>237469</v>
      </c>
      <c r="F881" s="15">
        <v>21789</v>
      </c>
    </row>
    <row r="882" spans="1:6" x14ac:dyDescent="0.3">
      <c r="A882" s="7">
        <v>2019</v>
      </c>
      <c r="B882" s="8" t="s">
        <v>59</v>
      </c>
      <c r="C882" s="8" t="s">
        <v>17</v>
      </c>
      <c r="D882" s="14">
        <v>5132</v>
      </c>
      <c r="E882" s="14">
        <v>69501</v>
      </c>
      <c r="F882" s="15">
        <v>23169</v>
      </c>
    </row>
    <row r="883" spans="1:6" x14ac:dyDescent="0.3">
      <c r="A883" s="7">
        <v>2019</v>
      </c>
      <c r="B883" s="8" t="s">
        <v>59</v>
      </c>
      <c r="C883" s="8" t="s">
        <v>18</v>
      </c>
      <c r="D883" s="14">
        <v>15043</v>
      </c>
      <c r="E883" s="14">
        <v>282746</v>
      </c>
      <c r="F883" s="15">
        <v>24758</v>
      </c>
    </row>
    <row r="884" spans="1:6" x14ac:dyDescent="0.3">
      <c r="A884" s="7">
        <v>2019</v>
      </c>
      <c r="B884" s="8" t="s">
        <v>59</v>
      </c>
      <c r="C884" s="8" t="s">
        <v>19</v>
      </c>
      <c r="D884" s="14">
        <v>20740</v>
      </c>
      <c r="E884" s="14">
        <v>379863</v>
      </c>
      <c r="F884" s="15">
        <v>29500</v>
      </c>
    </row>
    <row r="885" spans="1:6" x14ac:dyDescent="0.3">
      <c r="A885" s="7">
        <v>2019</v>
      </c>
      <c r="B885" s="8" t="s">
        <v>59</v>
      </c>
      <c r="C885" s="8" t="s">
        <v>20</v>
      </c>
      <c r="D885" s="14">
        <v>23113</v>
      </c>
      <c r="E885" s="14">
        <v>434299</v>
      </c>
      <c r="F885" s="15">
        <v>21121</v>
      </c>
    </row>
    <row r="886" spans="1:6" x14ac:dyDescent="0.3">
      <c r="A886" s="7">
        <v>2019</v>
      </c>
      <c r="B886" s="8" t="s">
        <v>59</v>
      </c>
      <c r="C886" s="8" t="s">
        <v>21</v>
      </c>
      <c r="D886" s="14">
        <v>15325</v>
      </c>
      <c r="E886" s="14">
        <v>275608</v>
      </c>
      <c r="F886" s="15">
        <v>23261</v>
      </c>
    </row>
    <row r="887" spans="1:6" x14ac:dyDescent="0.3">
      <c r="A887" s="7">
        <v>2019</v>
      </c>
      <c r="B887" s="8" t="s">
        <v>59</v>
      </c>
      <c r="C887" s="8" t="s">
        <v>22</v>
      </c>
      <c r="D887" s="14">
        <v>6514</v>
      </c>
      <c r="E887" s="14">
        <v>136282</v>
      </c>
      <c r="F887" s="15">
        <v>17817</v>
      </c>
    </row>
    <row r="888" spans="1:6" x14ac:dyDescent="0.3">
      <c r="A888" s="7">
        <v>2019</v>
      </c>
      <c r="B888" s="8" t="s">
        <v>59</v>
      </c>
      <c r="C888" s="8" t="s">
        <v>23</v>
      </c>
      <c r="D888" s="14">
        <v>15195</v>
      </c>
      <c r="E888" s="14">
        <v>308646</v>
      </c>
      <c r="F888" s="15">
        <v>21614</v>
      </c>
    </row>
    <row r="889" spans="1:6" x14ac:dyDescent="0.3">
      <c r="A889" s="7">
        <v>2019</v>
      </c>
      <c r="B889" s="8" t="s">
        <v>59</v>
      </c>
      <c r="C889" s="8" t="s">
        <v>24</v>
      </c>
      <c r="D889" s="14">
        <v>5052</v>
      </c>
      <c r="E889" s="14">
        <v>67008</v>
      </c>
      <c r="F889" s="15">
        <v>19955</v>
      </c>
    </row>
    <row r="890" spans="1:6" x14ac:dyDescent="0.3">
      <c r="A890" s="7">
        <v>2019</v>
      </c>
      <c r="B890" s="8" t="s">
        <v>59</v>
      </c>
      <c r="C890" s="8" t="s">
        <v>25</v>
      </c>
      <c r="D890" s="14">
        <v>5609</v>
      </c>
      <c r="E890" s="14">
        <v>93856</v>
      </c>
      <c r="F890" s="15">
        <v>17213</v>
      </c>
    </row>
    <row r="891" spans="1:6" x14ac:dyDescent="0.3">
      <c r="A891" s="7">
        <v>2019</v>
      </c>
      <c r="B891" s="8" t="s">
        <v>59</v>
      </c>
      <c r="C891" s="8" t="s">
        <v>26</v>
      </c>
      <c r="D891" s="14">
        <v>8716</v>
      </c>
      <c r="E891" s="14">
        <v>355178</v>
      </c>
      <c r="F891" s="15">
        <v>34432</v>
      </c>
    </row>
    <row r="892" spans="1:6" x14ac:dyDescent="0.3">
      <c r="A892" s="7">
        <v>2019</v>
      </c>
      <c r="B892" s="8" t="s">
        <v>59</v>
      </c>
      <c r="C892" s="8" t="s">
        <v>27</v>
      </c>
      <c r="D892" s="14">
        <v>4675</v>
      </c>
      <c r="E892" s="14">
        <v>73214</v>
      </c>
      <c r="F892" s="15">
        <v>22783</v>
      </c>
    </row>
    <row r="893" spans="1:6" x14ac:dyDescent="0.3">
      <c r="A893" s="7">
        <v>2019</v>
      </c>
      <c r="B893" s="8" t="s">
        <v>59</v>
      </c>
      <c r="C893" s="8" t="s">
        <v>28</v>
      </c>
      <c r="D893" s="14">
        <v>24526</v>
      </c>
      <c r="E893" s="14">
        <v>391519</v>
      </c>
      <c r="F893" s="15">
        <v>26347</v>
      </c>
    </row>
    <row r="894" spans="1:6" x14ac:dyDescent="0.3">
      <c r="A894" s="7">
        <v>2019</v>
      </c>
      <c r="B894" s="8" t="s">
        <v>59</v>
      </c>
      <c r="C894" s="8" t="s">
        <v>29</v>
      </c>
      <c r="D894" s="14">
        <v>5277</v>
      </c>
      <c r="E894" s="14">
        <v>99656</v>
      </c>
      <c r="F894" s="15">
        <v>19571</v>
      </c>
    </row>
    <row r="895" spans="1:6" x14ac:dyDescent="0.3">
      <c r="A895" s="7">
        <v>2019</v>
      </c>
      <c r="B895" s="8" t="s">
        <v>59</v>
      </c>
      <c r="C895" s="8" t="s">
        <v>30</v>
      </c>
      <c r="D895" s="14">
        <v>65868</v>
      </c>
      <c r="E895" s="14">
        <v>957897</v>
      </c>
      <c r="F895" s="15">
        <v>35828</v>
      </c>
    </row>
    <row r="896" spans="1:6" x14ac:dyDescent="0.3">
      <c r="A896" s="7">
        <v>2019</v>
      </c>
      <c r="B896" s="8" t="s">
        <v>59</v>
      </c>
      <c r="C896" s="8" t="s">
        <v>31</v>
      </c>
      <c r="D896" s="14">
        <v>26474</v>
      </c>
      <c r="E896" s="14">
        <v>515152</v>
      </c>
      <c r="F896" s="15">
        <v>20460</v>
      </c>
    </row>
    <row r="897" spans="1:6" x14ac:dyDescent="0.3">
      <c r="A897" s="7">
        <v>2019</v>
      </c>
      <c r="B897" s="8" t="s">
        <v>59</v>
      </c>
      <c r="C897" s="8" t="s">
        <v>32</v>
      </c>
      <c r="D897" s="14">
        <v>2610</v>
      </c>
      <c r="E897" s="14">
        <v>40423</v>
      </c>
      <c r="F897" s="15">
        <v>18573</v>
      </c>
    </row>
    <row r="898" spans="1:6" x14ac:dyDescent="0.3">
      <c r="A898" s="7">
        <v>2019</v>
      </c>
      <c r="B898" s="8" t="s">
        <v>59</v>
      </c>
      <c r="C898" s="8" t="s">
        <v>33</v>
      </c>
      <c r="D898" s="14">
        <v>29035</v>
      </c>
      <c r="E898" s="14">
        <v>570254</v>
      </c>
      <c r="F898" s="15">
        <v>20197</v>
      </c>
    </row>
    <row r="899" spans="1:6" x14ac:dyDescent="0.3">
      <c r="A899" s="7">
        <v>2019</v>
      </c>
      <c r="B899" s="8" t="s">
        <v>59</v>
      </c>
      <c r="C899" s="8" t="s">
        <v>34</v>
      </c>
      <c r="D899" s="14">
        <v>9209</v>
      </c>
      <c r="E899" s="14">
        <v>174213</v>
      </c>
      <c r="F899" s="15">
        <v>18600</v>
      </c>
    </row>
    <row r="900" spans="1:6" x14ac:dyDescent="0.3">
      <c r="A900" s="7">
        <v>2019</v>
      </c>
      <c r="B900" s="8" t="s">
        <v>59</v>
      </c>
      <c r="C900" s="8" t="s">
        <v>35</v>
      </c>
      <c r="D900" s="14">
        <v>14116</v>
      </c>
      <c r="E900" s="14">
        <v>213454</v>
      </c>
      <c r="F900" s="15">
        <v>23818</v>
      </c>
    </row>
    <row r="901" spans="1:6" x14ac:dyDescent="0.3">
      <c r="A901" s="7">
        <v>2019</v>
      </c>
      <c r="B901" s="8" t="s">
        <v>59</v>
      </c>
      <c r="C901" s="8" t="s">
        <v>36</v>
      </c>
      <c r="D901" s="14">
        <v>33729</v>
      </c>
      <c r="E901" s="14">
        <v>577911</v>
      </c>
      <c r="F901" s="15">
        <v>22011</v>
      </c>
    </row>
    <row r="902" spans="1:6" x14ac:dyDescent="0.3">
      <c r="A902" s="7">
        <v>2019</v>
      </c>
      <c r="B902" s="8" t="s">
        <v>59</v>
      </c>
      <c r="C902" s="8" t="s">
        <v>37</v>
      </c>
      <c r="D902" s="14">
        <v>3873</v>
      </c>
      <c r="E902" s="14">
        <v>60008</v>
      </c>
      <c r="F902" s="15">
        <v>23680</v>
      </c>
    </row>
    <row r="903" spans="1:6" x14ac:dyDescent="0.3">
      <c r="A903" s="7">
        <v>2019</v>
      </c>
      <c r="B903" s="8" t="s">
        <v>59</v>
      </c>
      <c r="C903" s="8" t="s">
        <v>38</v>
      </c>
      <c r="D903" s="14">
        <v>13400</v>
      </c>
      <c r="E903" s="14">
        <v>270473</v>
      </c>
      <c r="F903" s="15">
        <v>18816</v>
      </c>
    </row>
    <row r="904" spans="1:6" x14ac:dyDescent="0.3">
      <c r="A904" s="7">
        <v>2019</v>
      </c>
      <c r="B904" s="8" t="s">
        <v>59</v>
      </c>
      <c r="C904" s="8" t="s">
        <v>39</v>
      </c>
      <c r="D904" s="14">
        <v>3191</v>
      </c>
      <c r="E904" s="14">
        <v>47413</v>
      </c>
      <c r="F904" s="15">
        <v>17519</v>
      </c>
    </row>
    <row r="905" spans="1:6" x14ac:dyDescent="0.3">
      <c r="A905" s="7">
        <v>2019</v>
      </c>
      <c r="B905" s="8" t="s">
        <v>59</v>
      </c>
      <c r="C905" s="8" t="s">
        <v>40</v>
      </c>
      <c r="D905" s="14">
        <v>16924</v>
      </c>
      <c r="E905" s="14">
        <v>347181</v>
      </c>
      <c r="F905" s="15">
        <v>23878</v>
      </c>
    </row>
    <row r="906" spans="1:6" x14ac:dyDescent="0.3">
      <c r="A906" s="7">
        <v>2019</v>
      </c>
      <c r="B906" s="8" t="s">
        <v>59</v>
      </c>
      <c r="C906" s="8" t="s">
        <v>41</v>
      </c>
      <c r="D906" s="14">
        <v>65057</v>
      </c>
      <c r="E906" s="14">
        <v>1394036</v>
      </c>
      <c r="F906" s="15">
        <v>22762</v>
      </c>
    </row>
    <row r="907" spans="1:6" x14ac:dyDescent="0.3">
      <c r="A907" s="7">
        <v>2019</v>
      </c>
      <c r="B907" s="8" t="s">
        <v>59</v>
      </c>
      <c r="C907" s="8" t="s">
        <v>42</v>
      </c>
      <c r="D907" s="14">
        <v>7570</v>
      </c>
      <c r="E907" s="14">
        <v>153412</v>
      </c>
      <c r="F907" s="15">
        <v>20955</v>
      </c>
    </row>
    <row r="908" spans="1:6" x14ac:dyDescent="0.3">
      <c r="A908" s="7">
        <v>2019</v>
      </c>
      <c r="B908" s="8" t="s">
        <v>59</v>
      </c>
      <c r="C908" s="8" t="s">
        <v>43</v>
      </c>
      <c r="D908" s="14">
        <v>2268</v>
      </c>
      <c r="E908" s="14">
        <v>37208</v>
      </c>
      <c r="F908" s="15">
        <v>23863</v>
      </c>
    </row>
    <row r="909" spans="1:6" x14ac:dyDescent="0.3">
      <c r="A909" s="7">
        <v>2019</v>
      </c>
      <c r="B909" s="8" t="s">
        <v>59</v>
      </c>
      <c r="C909" s="8" t="s">
        <v>44</v>
      </c>
      <c r="D909" s="14">
        <v>20743</v>
      </c>
      <c r="E909" s="14">
        <v>408354</v>
      </c>
      <c r="F909" s="15">
        <v>21582</v>
      </c>
    </row>
    <row r="910" spans="1:6" x14ac:dyDescent="0.3">
      <c r="A910" s="7">
        <v>2019</v>
      </c>
      <c r="B910" s="8" t="s">
        <v>59</v>
      </c>
      <c r="C910" s="8" t="s">
        <v>45</v>
      </c>
      <c r="D910" s="14">
        <v>20637</v>
      </c>
      <c r="E910" s="14">
        <v>341265</v>
      </c>
      <c r="F910" s="15">
        <v>26566</v>
      </c>
    </row>
    <row r="911" spans="1:6" x14ac:dyDescent="0.3">
      <c r="A911" s="7">
        <v>2019</v>
      </c>
      <c r="B911" s="8" t="s">
        <v>59</v>
      </c>
      <c r="C911" s="8" t="s">
        <v>46</v>
      </c>
      <c r="D911" s="14">
        <v>4658</v>
      </c>
      <c r="E911" s="14">
        <v>75027</v>
      </c>
      <c r="F911" s="15">
        <v>18256</v>
      </c>
    </row>
    <row r="912" spans="1:6" x14ac:dyDescent="0.3">
      <c r="A912" s="7">
        <v>2019</v>
      </c>
      <c r="B912" s="8" t="s">
        <v>59</v>
      </c>
      <c r="C912" s="8" t="s">
        <v>47</v>
      </c>
      <c r="D912" s="14">
        <v>17015</v>
      </c>
      <c r="E912" s="14">
        <v>285279</v>
      </c>
      <c r="F912" s="15">
        <v>18758</v>
      </c>
    </row>
    <row r="913" spans="1:6" x14ac:dyDescent="0.3">
      <c r="A913" s="7">
        <v>2019</v>
      </c>
      <c r="B913" s="8" t="s">
        <v>59</v>
      </c>
      <c r="C913" s="8" t="s">
        <v>48</v>
      </c>
      <c r="D913" s="14">
        <v>2398</v>
      </c>
      <c r="E913" s="14">
        <v>37041</v>
      </c>
      <c r="F913" s="15">
        <v>21994</v>
      </c>
    </row>
    <row r="914" spans="1:6" x14ac:dyDescent="0.3">
      <c r="A914" s="7">
        <v>2019</v>
      </c>
      <c r="B914" s="8" t="s">
        <v>60</v>
      </c>
      <c r="C914" s="8" t="s">
        <v>1</v>
      </c>
      <c r="D914" s="14">
        <v>10189</v>
      </c>
      <c r="E914" s="14">
        <v>46816</v>
      </c>
      <c r="F914" s="15">
        <v>38607</v>
      </c>
    </row>
    <row r="915" spans="1:6" x14ac:dyDescent="0.3">
      <c r="A915" s="7">
        <v>2019</v>
      </c>
      <c r="B915" s="8" t="s">
        <v>60</v>
      </c>
      <c r="C915" s="8" t="s">
        <v>2</v>
      </c>
      <c r="D915" s="14">
        <v>10674</v>
      </c>
      <c r="E915" s="14">
        <v>75782</v>
      </c>
      <c r="F915" s="15">
        <v>39965</v>
      </c>
    </row>
    <row r="916" spans="1:6" x14ac:dyDescent="0.3">
      <c r="A916" s="7">
        <v>2019</v>
      </c>
      <c r="B916" s="8" t="s">
        <v>60</v>
      </c>
      <c r="C916" s="8" t="s">
        <v>3</v>
      </c>
      <c r="D916" s="14">
        <v>5359</v>
      </c>
      <c r="E916" s="14">
        <v>25279</v>
      </c>
      <c r="F916" s="15">
        <v>36115</v>
      </c>
    </row>
    <row r="917" spans="1:6" x14ac:dyDescent="0.3">
      <c r="A917" s="7">
        <v>2019</v>
      </c>
      <c r="B917" s="8" t="s">
        <v>60</v>
      </c>
      <c r="C917" s="8" t="s">
        <v>4</v>
      </c>
      <c r="D917" s="14">
        <v>97442</v>
      </c>
      <c r="E917" s="14">
        <v>547972</v>
      </c>
      <c r="F917" s="15">
        <v>42293</v>
      </c>
    </row>
    <row r="918" spans="1:6" x14ac:dyDescent="0.3">
      <c r="A918" s="7">
        <v>2019</v>
      </c>
      <c r="B918" s="8" t="s">
        <v>60</v>
      </c>
      <c r="C918" s="8" t="s">
        <v>5</v>
      </c>
      <c r="D918" s="14">
        <v>17008</v>
      </c>
      <c r="E918" s="14">
        <v>84571</v>
      </c>
      <c r="F918" s="15">
        <v>42381</v>
      </c>
    </row>
    <row r="919" spans="1:6" x14ac:dyDescent="0.3">
      <c r="A919" s="7">
        <v>2019</v>
      </c>
      <c r="B919" s="8" t="s">
        <v>60</v>
      </c>
      <c r="C919" s="8" t="s">
        <v>6</v>
      </c>
      <c r="D919" s="14">
        <v>18146</v>
      </c>
      <c r="E919" s="14">
        <v>66497</v>
      </c>
      <c r="F919" s="15">
        <v>34861</v>
      </c>
    </row>
    <row r="920" spans="1:6" x14ac:dyDescent="0.3">
      <c r="A920" s="7">
        <v>2019</v>
      </c>
      <c r="B920" s="8" t="s">
        <v>60</v>
      </c>
      <c r="C920" s="8" t="s">
        <v>7</v>
      </c>
      <c r="D920" s="14">
        <v>2052</v>
      </c>
      <c r="E920" s="14">
        <v>12125</v>
      </c>
      <c r="F920" s="15">
        <v>35636</v>
      </c>
    </row>
    <row r="921" spans="1:6" x14ac:dyDescent="0.3">
      <c r="A921" s="7">
        <v>2019</v>
      </c>
      <c r="B921" s="8" t="s">
        <v>60</v>
      </c>
      <c r="C921" s="8" t="s">
        <v>8</v>
      </c>
      <c r="D921" s="14">
        <v>56765</v>
      </c>
      <c r="E921" s="14">
        <v>281975</v>
      </c>
      <c r="F921" s="15">
        <v>37969</v>
      </c>
    </row>
    <row r="922" spans="1:6" x14ac:dyDescent="0.3">
      <c r="A922" s="7">
        <v>2019</v>
      </c>
      <c r="B922" s="8" t="s">
        <v>60</v>
      </c>
      <c r="C922" s="8" t="s">
        <v>9</v>
      </c>
      <c r="D922" s="14">
        <v>18227</v>
      </c>
      <c r="E922" s="14">
        <v>111902</v>
      </c>
      <c r="F922" s="15">
        <v>37971</v>
      </c>
    </row>
    <row r="923" spans="1:6" x14ac:dyDescent="0.3">
      <c r="A923" s="7">
        <v>2019</v>
      </c>
      <c r="B923" s="8" t="s">
        <v>60</v>
      </c>
      <c r="C923" s="8" t="s">
        <v>10</v>
      </c>
      <c r="D923" s="14">
        <v>3845</v>
      </c>
      <c r="E923" s="14">
        <v>19414</v>
      </c>
      <c r="F923" s="15">
        <v>32615</v>
      </c>
    </row>
    <row r="924" spans="1:6" x14ac:dyDescent="0.3">
      <c r="A924" s="7">
        <v>2019</v>
      </c>
      <c r="B924" s="8" t="s">
        <v>60</v>
      </c>
      <c r="C924" s="8" t="s">
        <v>11</v>
      </c>
      <c r="D924" s="14">
        <v>39884</v>
      </c>
      <c r="E924" s="14">
        <v>209967</v>
      </c>
      <c r="F924" s="15">
        <v>43714</v>
      </c>
    </row>
    <row r="925" spans="1:6" x14ac:dyDescent="0.3">
      <c r="A925" s="7">
        <v>2019</v>
      </c>
      <c r="B925" s="8" t="s">
        <v>60</v>
      </c>
      <c r="C925" s="8" t="s">
        <v>12</v>
      </c>
      <c r="D925" s="14">
        <v>12916</v>
      </c>
      <c r="E925" s="14">
        <v>89273</v>
      </c>
      <c r="F925" s="15">
        <v>33759</v>
      </c>
    </row>
    <row r="926" spans="1:6" x14ac:dyDescent="0.3">
      <c r="A926" s="7">
        <v>2019</v>
      </c>
      <c r="B926" s="8" t="s">
        <v>60</v>
      </c>
      <c r="C926" s="8" t="s">
        <v>13</v>
      </c>
      <c r="D926" s="14">
        <v>8547</v>
      </c>
      <c r="E926" s="14">
        <v>42519</v>
      </c>
      <c r="F926" s="15">
        <v>36534</v>
      </c>
    </row>
    <row r="927" spans="1:6" x14ac:dyDescent="0.3">
      <c r="A927" s="7">
        <v>2019</v>
      </c>
      <c r="B927" s="8" t="s">
        <v>60</v>
      </c>
      <c r="C927" s="8" t="s">
        <v>14</v>
      </c>
      <c r="D927" s="14">
        <v>5938</v>
      </c>
      <c r="E927" s="14">
        <v>34833</v>
      </c>
      <c r="F927" s="15">
        <v>35624</v>
      </c>
    </row>
    <row r="928" spans="1:6" x14ac:dyDescent="0.3">
      <c r="A928" s="7">
        <v>2019</v>
      </c>
      <c r="B928" s="8" t="s">
        <v>60</v>
      </c>
      <c r="C928" s="8" t="s">
        <v>15</v>
      </c>
      <c r="D928" s="14">
        <v>10404</v>
      </c>
      <c r="E928" s="14">
        <v>46571</v>
      </c>
      <c r="F928" s="15">
        <v>34846</v>
      </c>
    </row>
    <row r="929" spans="1:6" x14ac:dyDescent="0.3">
      <c r="A929" s="7">
        <v>2019</v>
      </c>
      <c r="B929" s="8" t="s">
        <v>60</v>
      </c>
      <c r="C929" s="8" t="s">
        <v>16</v>
      </c>
      <c r="D929" s="14">
        <v>9280</v>
      </c>
      <c r="E929" s="14">
        <v>46391</v>
      </c>
      <c r="F929" s="15">
        <v>38963</v>
      </c>
    </row>
    <row r="930" spans="1:6" x14ac:dyDescent="0.3">
      <c r="A930" s="7">
        <v>2019</v>
      </c>
      <c r="B930" s="8" t="s">
        <v>60</v>
      </c>
      <c r="C930" s="8" t="s">
        <v>17</v>
      </c>
      <c r="D930" s="14">
        <v>3777</v>
      </c>
      <c r="E930" s="14">
        <v>17863</v>
      </c>
      <c r="F930" s="15">
        <v>35322</v>
      </c>
    </row>
    <row r="931" spans="1:6" x14ac:dyDescent="0.3">
      <c r="A931" s="7">
        <v>2019</v>
      </c>
      <c r="B931" s="8" t="s">
        <v>60</v>
      </c>
      <c r="C931" s="8" t="s">
        <v>18</v>
      </c>
      <c r="D931" s="14">
        <v>19358</v>
      </c>
      <c r="E931" s="14">
        <v>91545</v>
      </c>
      <c r="F931" s="15">
        <v>44150</v>
      </c>
    </row>
    <row r="932" spans="1:6" x14ac:dyDescent="0.3">
      <c r="A932" s="7">
        <v>2019</v>
      </c>
      <c r="B932" s="8" t="s">
        <v>60</v>
      </c>
      <c r="C932" s="8" t="s">
        <v>19</v>
      </c>
      <c r="D932" s="14">
        <v>22046</v>
      </c>
      <c r="E932" s="14">
        <v>121404</v>
      </c>
      <c r="F932" s="15">
        <v>40421</v>
      </c>
    </row>
    <row r="933" spans="1:6" x14ac:dyDescent="0.3">
      <c r="A933" s="7">
        <v>2019</v>
      </c>
      <c r="B933" s="8" t="s">
        <v>60</v>
      </c>
      <c r="C933" s="8" t="s">
        <v>20</v>
      </c>
      <c r="D933" s="14">
        <v>32480</v>
      </c>
      <c r="E933" s="14">
        <v>140352</v>
      </c>
      <c r="F933" s="15">
        <v>34330</v>
      </c>
    </row>
    <row r="934" spans="1:6" x14ac:dyDescent="0.3">
      <c r="A934" s="7">
        <v>2019</v>
      </c>
      <c r="B934" s="8" t="s">
        <v>60</v>
      </c>
      <c r="C934" s="8" t="s">
        <v>21</v>
      </c>
      <c r="D934" s="14">
        <v>17266</v>
      </c>
      <c r="E934" s="14">
        <v>91238</v>
      </c>
      <c r="F934" s="15">
        <v>35478</v>
      </c>
    </row>
    <row r="935" spans="1:6" x14ac:dyDescent="0.3">
      <c r="A935" s="7">
        <v>2019</v>
      </c>
      <c r="B935" s="8" t="s">
        <v>60</v>
      </c>
      <c r="C935" s="8" t="s">
        <v>22</v>
      </c>
      <c r="D935" s="14">
        <v>4589</v>
      </c>
      <c r="E935" s="14">
        <v>21043</v>
      </c>
      <c r="F935" s="15">
        <v>36243</v>
      </c>
    </row>
    <row r="936" spans="1:6" x14ac:dyDescent="0.3">
      <c r="A936" s="7">
        <v>2019</v>
      </c>
      <c r="B936" s="8" t="s">
        <v>60</v>
      </c>
      <c r="C936" s="8" t="s">
        <v>23</v>
      </c>
      <c r="D936" s="14">
        <v>13240</v>
      </c>
      <c r="E936" s="14">
        <v>75829</v>
      </c>
      <c r="F936" s="15">
        <v>35224</v>
      </c>
    </row>
    <row r="937" spans="1:6" x14ac:dyDescent="0.3">
      <c r="A937" s="7">
        <v>2019</v>
      </c>
      <c r="B937" s="8" t="s">
        <v>60</v>
      </c>
      <c r="C937" s="8" t="s">
        <v>24</v>
      </c>
      <c r="D937" s="14">
        <v>4153</v>
      </c>
      <c r="E937" s="14">
        <v>18442</v>
      </c>
      <c r="F937" s="15">
        <v>31791</v>
      </c>
    </row>
    <row r="938" spans="1:6" x14ac:dyDescent="0.3">
      <c r="A938" s="7">
        <v>2019</v>
      </c>
      <c r="B938" s="8" t="s">
        <v>60</v>
      </c>
      <c r="C938" s="8" t="s">
        <v>25</v>
      </c>
      <c r="D938" s="14">
        <v>4572</v>
      </c>
      <c r="E938" s="14">
        <v>25509</v>
      </c>
      <c r="F938" s="15">
        <v>33587</v>
      </c>
    </row>
    <row r="939" spans="1:6" x14ac:dyDescent="0.3">
      <c r="A939" s="7">
        <v>2019</v>
      </c>
      <c r="B939" s="8" t="s">
        <v>60</v>
      </c>
      <c r="C939" s="8" t="s">
        <v>26</v>
      </c>
      <c r="D939" s="14">
        <v>5140</v>
      </c>
      <c r="E939" s="14">
        <v>35449</v>
      </c>
      <c r="F939" s="15">
        <v>38479</v>
      </c>
    </row>
    <row r="940" spans="1:6" x14ac:dyDescent="0.3">
      <c r="A940" s="7">
        <v>2019</v>
      </c>
      <c r="B940" s="8" t="s">
        <v>60</v>
      </c>
      <c r="C940" s="8" t="s">
        <v>27</v>
      </c>
      <c r="D940" s="14">
        <v>4011</v>
      </c>
      <c r="E940" s="14">
        <v>21600</v>
      </c>
      <c r="F940" s="15">
        <v>39236</v>
      </c>
    </row>
    <row r="941" spans="1:6" x14ac:dyDescent="0.3">
      <c r="A941" s="7">
        <v>2019</v>
      </c>
      <c r="B941" s="8" t="s">
        <v>60</v>
      </c>
      <c r="C941" s="8" t="s">
        <v>28</v>
      </c>
      <c r="D941" s="14">
        <v>24469</v>
      </c>
      <c r="E941" s="14">
        <v>138255</v>
      </c>
      <c r="F941" s="15">
        <v>37373</v>
      </c>
    </row>
    <row r="942" spans="1:6" x14ac:dyDescent="0.3">
      <c r="A942" s="7">
        <v>2019</v>
      </c>
      <c r="B942" s="8" t="s">
        <v>60</v>
      </c>
      <c r="C942" s="8" t="s">
        <v>29</v>
      </c>
      <c r="D942" s="14">
        <v>4216</v>
      </c>
      <c r="E942" s="14">
        <v>21214</v>
      </c>
      <c r="F942" s="15">
        <v>35417</v>
      </c>
    </row>
    <row r="943" spans="1:6" x14ac:dyDescent="0.3">
      <c r="A943" s="7">
        <v>2019</v>
      </c>
      <c r="B943" s="8" t="s">
        <v>60</v>
      </c>
      <c r="C943" s="8" t="s">
        <v>30</v>
      </c>
      <c r="D943" s="14">
        <v>72430</v>
      </c>
      <c r="E943" s="14">
        <v>371218</v>
      </c>
      <c r="F943" s="15">
        <v>43410</v>
      </c>
    </row>
    <row r="944" spans="1:6" x14ac:dyDescent="0.3">
      <c r="A944" s="7">
        <v>2019</v>
      </c>
      <c r="B944" s="8" t="s">
        <v>60</v>
      </c>
      <c r="C944" s="8" t="s">
        <v>31</v>
      </c>
      <c r="D944" s="14">
        <v>24457</v>
      </c>
      <c r="E944" s="14">
        <v>115119</v>
      </c>
      <c r="F944" s="15">
        <v>36624</v>
      </c>
    </row>
    <row r="945" spans="1:6" x14ac:dyDescent="0.3">
      <c r="A945" s="7">
        <v>2019</v>
      </c>
      <c r="B945" s="8" t="s">
        <v>60</v>
      </c>
      <c r="C945" s="8" t="s">
        <v>32</v>
      </c>
      <c r="D945" s="14">
        <v>2047</v>
      </c>
      <c r="E945" s="14">
        <v>11337</v>
      </c>
      <c r="F945" s="15">
        <v>38696</v>
      </c>
    </row>
    <row r="946" spans="1:6" x14ac:dyDescent="0.3">
      <c r="A946" s="7">
        <v>2019</v>
      </c>
      <c r="B946" s="8" t="s">
        <v>60</v>
      </c>
      <c r="C946" s="8" t="s">
        <v>33</v>
      </c>
      <c r="D946" s="14">
        <v>23639</v>
      </c>
      <c r="E946" s="14">
        <v>157001</v>
      </c>
      <c r="F946" s="15">
        <v>35006</v>
      </c>
    </row>
    <row r="947" spans="1:6" x14ac:dyDescent="0.3">
      <c r="A947" s="7">
        <v>2019</v>
      </c>
      <c r="B947" s="8" t="s">
        <v>60</v>
      </c>
      <c r="C947" s="8" t="s">
        <v>34</v>
      </c>
      <c r="D947" s="14">
        <v>6589</v>
      </c>
      <c r="E947" s="14">
        <v>36706</v>
      </c>
      <c r="F947" s="15">
        <v>36151</v>
      </c>
    </row>
    <row r="948" spans="1:6" x14ac:dyDescent="0.3">
      <c r="A948" s="7">
        <v>2019</v>
      </c>
      <c r="B948" s="8" t="s">
        <v>60</v>
      </c>
      <c r="C948" s="8" t="s">
        <v>35</v>
      </c>
      <c r="D948" s="14">
        <v>25468</v>
      </c>
      <c r="E948" s="14">
        <v>78423</v>
      </c>
      <c r="F948" s="15">
        <v>35467</v>
      </c>
    </row>
    <row r="949" spans="1:6" x14ac:dyDescent="0.3">
      <c r="A949" s="7">
        <v>2019</v>
      </c>
      <c r="B949" s="8" t="s">
        <v>60</v>
      </c>
      <c r="C949" s="8" t="s">
        <v>36</v>
      </c>
      <c r="D949" s="14">
        <v>33082</v>
      </c>
      <c r="E949" s="14">
        <v>202171</v>
      </c>
      <c r="F949" s="15">
        <v>35131</v>
      </c>
    </row>
    <row r="950" spans="1:6" x14ac:dyDescent="0.3">
      <c r="A950" s="7">
        <v>2019</v>
      </c>
      <c r="B950" s="8" t="s">
        <v>60</v>
      </c>
      <c r="C950" s="8" t="s">
        <v>37</v>
      </c>
      <c r="D950" s="14">
        <v>3537</v>
      </c>
      <c r="E950" s="14">
        <v>18157</v>
      </c>
      <c r="F950" s="15">
        <v>34466</v>
      </c>
    </row>
    <row r="951" spans="1:6" x14ac:dyDescent="0.3">
      <c r="A951" s="7">
        <v>2019</v>
      </c>
      <c r="B951" s="8" t="s">
        <v>60</v>
      </c>
      <c r="C951" s="8" t="s">
        <v>38</v>
      </c>
      <c r="D951" s="14">
        <v>12142</v>
      </c>
      <c r="E951" s="14">
        <v>54906</v>
      </c>
      <c r="F951" s="15">
        <v>34386</v>
      </c>
    </row>
    <row r="952" spans="1:6" x14ac:dyDescent="0.3">
      <c r="A952" s="7">
        <v>2019</v>
      </c>
      <c r="B952" s="8" t="s">
        <v>60</v>
      </c>
      <c r="C952" s="8" t="s">
        <v>39</v>
      </c>
      <c r="D952" s="14">
        <v>2223</v>
      </c>
      <c r="E952" s="14">
        <v>11326</v>
      </c>
      <c r="F952" s="15">
        <v>34233</v>
      </c>
    </row>
    <row r="953" spans="1:6" x14ac:dyDescent="0.3">
      <c r="A953" s="7">
        <v>2019</v>
      </c>
      <c r="B953" s="8" t="s">
        <v>60</v>
      </c>
      <c r="C953" s="8" t="s">
        <v>40</v>
      </c>
      <c r="D953" s="14">
        <v>15931</v>
      </c>
      <c r="E953" s="14">
        <v>80484</v>
      </c>
      <c r="F953" s="15">
        <v>36227</v>
      </c>
    </row>
    <row r="954" spans="1:6" x14ac:dyDescent="0.3">
      <c r="A954" s="7">
        <v>2019</v>
      </c>
      <c r="B954" s="8" t="s">
        <v>60</v>
      </c>
      <c r="C954" s="8" t="s">
        <v>41</v>
      </c>
      <c r="D954" s="14">
        <v>57504</v>
      </c>
      <c r="E954" s="14">
        <v>343287</v>
      </c>
      <c r="F954" s="15">
        <v>41110</v>
      </c>
    </row>
    <row r="955" spans="1:6" x14ac:dyDescent="0.3">
      <c r="A955" s="7">
        <v>2019</v>
      </c>
      <c r="B955" s="8" t="s">
        <v>60</v>
      </c>
      <c r="C955" s="8" t="s">
        <v>42</v>
      </c>
      <c r="D955" s="14">
        <v>6492</v>
      </c>
      <c r="E955" s="14">
        <v>37200</v>
      </c>
      <c r="F955" s="15">
        <v>37389</v>
      </c>
    </row>
    <row r="956" spans="1:6" x14ac:dyDescent="0.3">
      <c r="A956" s="7">
        <v>2019</v>
      </c>
      <c r="B956" s="8" t="s">
        <v>60</v>
      </c>
      <c r="C956" s="8" t="s">
        <v>43</v>
      </c>
      <c r="D956" s="14">
        <v>1990</v>
      </c>
      <c r="E956" s="14">
        <v>8772</v>
      </c>
      <c r="F956" s="15">
        <v>37394</v>
      </c>
    </row>
    <row r="957" spans="1:6" x14ac:dyDescent="0.3">
      <c r="A957" s="7">
        <v>2019</v>
      </c>
      <c r="B957" s="8" t="s">
        <v>60</v>
      </c>
      <c r="C957" s="8" t="s">
        <v>44</v>
      </c>
      <c r="D957" s="14">
        <v>29777</v>
      </c>
      <c r="E957" s="14">
        <v>140456</v>
      </c>
      <c r="F957" s="15">
        <v>45136</v>
      </c>
    </row>
    <row r="958" spans="1:6" x14ac:dyDescent="0.3">
      <c r="A958" s="7">
        <v>2019</v>
      </c>
      <c r="B958" s="8" t="s">
        <v>60</v>
      </c>
      <c r="C958" s="8" t="s">
        <v>45</v>
      </c>
      <c r="D958" s="14">
        <v>19915</v>
      </c>
      <c r="E958" s="14">
        <v>102632</v>
      </c>
      <c r="F958" s="15">
        <v>42585</v>
      </c>
    </row>
    <row r="959" spans="1:6" x14ac:dyDescent="0.3">
      <c r="A959" s="7">
        <v>2019</v>
      </c>
      <c r="B959" s="8" t="s">
        <v>60</v>
      </c>
      <c r="C959" s="8" t="s">
        <v>46</v>
      </c>
      <c r="D959" s="14">
        <v>5797</v>
      </c>
      <c r="E959" s="14">
        <v>20164</v>
      </c>
      <c r="F959" s="15">
        <v>32080</v>
      </c>
    </row>
    <row r="960" spans="1:6" x14ac:dyDescent="0.3">
      <c r="A960" s="7">
        <v>2019</v>
      </c>
      <c r="B960" s="8" t="s">
        <v>60</v>
      </c>
      <c r="C960" s="8" t="s">
        <v>47</v>
      </c>
      <c r="D960" s="14">
        <v>13757</v>
      </c>
      <c r="E960" s="14">
        <v>84267</v>
      </c>
      <c r="F960" s="15">
        <v>31908</v>
      </c>
    </row>
    <row r="961" spans="1:6" x14ac:dyDescent="0.3">
      <c r="A961" s="7">
        <v>2019</v>
      </c>
      <c r="B961" s="8" t="s">
        <v>60</v>
      </c>
      <c r="C961" s="8" t="s">
        <v>48</v>
      </c>
      <c r="D961" s="14">
        <v>1655</v>
      </c>
      <c r="E961" s="14">
        <v>7188</v>
      </c>
      <c r="F961" s="15">
        <v>39255</v>
      </c>
    </row>
    <row r="962" spans="1:6" x14ac:dyDescent="0.3">
      <c r="A962" s="7">
        <v>2018</v>
      </c>
      <c r="B962" s="8" t="s">
        <v>55</v>
      </c>
      <c r="C962" s="8" t="s">
        <v>1</v>
      </c>
      <c r="D962" s="14">
        <v>1843</v>
      </c>
      <c r="E962" s="14">
        <v>18397</v>
      </c>
      <c r="F962" s="15">
        <v>56388</v>
      </c>
    </row>
    <row r="963" spans="1:6" x14ac:dyDescent="0.3">
      <c r="A963" s="7">
        <v>2018</v>
      </c>
      <c r="B963" s="8" t="s">
        <v>55</v>
      </c>
      <c r="C963" s="8" t="s">
        <v>2</v>
      </c>
      <c r="D963" s="14">
        <v>1328</v>
      </c>
      <c r="E963" s="14">
        <v>38653</v>
      </c>
      <c r="F963" s="15">
        <v>50854</v>
      </c>
    </row>
    <row r="964" spans="1:6" x14ac:dyDescent="0.3">
      <c r="A964" s="7">
        <v>2018</v>
      </c>
      <c r="B964" s="8" t="s">
        <v>55</v>
      </c>
      <c r="C964" s="8" t="s">
        <v>3</v>
      </c>
      <c r="D964" s="14">
        <v>2525</v>
      </c>
      <c r="E964" s="14">
        <v>16334</v>
      </c>
      <c r="F964" s="15">
        <v>47616</v>
      </c>
    </row>
    <row r="965" spans="1:6" x14ac:dyDescent="0.3">
      <c r="A965" s="7">
        <v>2018</v>
      </c>
      <c r="B965" s="8" t="s">
        <v>55</v>
      </c>
      <c r="C965" s="8" t="s">
        <v>4</v>
      </c>
      <c r="D965" s="14">
        <v>17605</v>
      </c>
      <c r="E965" s="14">
        <v>443542</v>
      </c>
      <c r="F965" s="15">
        <v>38595</v>
      </c>
    </row>
    <row r="966" spans="1:6" x14ac:dyDescent="0.3">
      <c r="A966" s="7">
        <v>2018</v>
      </c>
      <c r="B966" s="8" t="s">
        <v>55</v>
      </c>
      <c r="C966" s="8" t="s">
        <v>5</v>
      </c>
      <c r="D966" s="14">
        <v>3256</v>
      </c>
      <c r="E966" s="14">
        <v>46357</v>
      </c>
      <c r="F966" s="15">
        <v>88489</v>
      </c>
    </row>
    <row r="967" spans="1:6" x14ac:dyDescent="0.3">
      <c r="A967" s="7">
        <v>2018</v>
      </c>
      <c r="B967" s="8" t="s">
        <v>55</v>
      </c>
      <c r="C967" s="8" t="s">
        <v>6</v>
      </c>
      <c r="D967" s="8">
        <v>441</v>
      </c>
      <c r="E967" s="14">
        <v>5272</v>
      </c>
      <c r="F967" s="15">
        <v>40054</v>
      </c>
    </row>
    <row r="968" spans="1:6" x14ac:dyDescent="0.3">
      <c r="A968" s="7">
        <v>2018</v>
      </c>
      <c r="B968" s="8" t="s">
        <v>55</v>
      </c>
      <c r="C968" s="8" t="s">
        <v>7</v>
      </c>
      <c r="D968" s="8">
        <v>177</v>
      </c>
      <c r="E968" s="14">
        <v>1535</v>
      </c>
      <c r="F968" s="15">
        <v>39987</v>
      </c>
    </row>
    <row r="969" spans="1:6" x14ac:dyDescent="0.3">
      <c r="A969" s="7">
        <v>2018</v>
      </c>
      <c r="B969" s="8" t="s">
        <v>55</v>
      </c>
      <c r="C969" s="8" t="s">
        <v>8</v>
      </c>
      <c r="D969" s="14">
        <v>5289</v>
      </c>
      <c r="E969" s="14">
        <v>72507</v>
      </c>
      <c r="F969" s="15">
        <v>34681</v>
      </c>
    </row>
    <row r="970" spans="1:6" x14ac:dyDescent="0.3">
      <c r="A970" s="7">
        <v>2018</v>
      </c>
      <c r="B970" s="8" t="s">
        <v>55</v>
      </c>
      <c r="C970" s="8" t="s">
        <v>9</v>
      </c>
      <c r="D970" s="14">
        <v>2630</v>
      </c>
      <c r="E970" s="14">
        <v>29395</v>
      </c>
      <c r="F970" s="15">
        <v>42010</v>
      </c>
    </row>
    <row r="971" spans="1:6" x14ac:dyDescent="0.3">
      <c r="A971" s="7">
        <v>2018</v>
      </c>
      <c r="B971" s="8" t="s">
        <v>55</v>
      </c>
      <c r="C971" s="8" t="s">
        <v>10</v>
      </c>
      <c r="D971" s="14">
        <v>2500</v>
      </c>
      <c r="E971" s="14">
        <v>26636</v>
      </c>
      <c r="F971" s="15">
        <v>39998</v>
      </c>
    </row>
    <row r="972" spans="1:6" x14ac:dyDescent="0.3">
      <c r="A972" s="7">
        <v>2018</v>
      </c>
      <c r="B972" s="8" t="s">
        <v>55</v>
      </c>
      <c r="C972" s="8" t="s">
        <v>11</v>
      </c>
      <c r="D972" s="14">
        <v>2785</v>
      </c>
      <c r="E972" s="14">
        <v>26452</v>
      </c>
      <c r="F972" s="15">
        <v>50101</v>
      </c>
    </row>
    <row r="973" spans="1:6" x14ac:dyDescent="0.3">
      <c r="A973" s="7">
        <v>2018</v>
      </c>
      <c r="B973" s="8" t="s">
        <v>55</v>
      </c>
      <c r="C973" s="8" t="s">
        <v>12</v>
      </c>
      <c r="D973" s="14">
        <v>2217</v>
      </c>
      <c r="E973" s="14">
        <v>21236</v>
      </c>
      <c r="F973" s="15">
        <v>48605</v>
      </c>
    </row>
    <row r="974" spans="1:6" x14ac:dyDescent="0.3">
      <c r="A974" s="7">
        <v>2018</v>
      </c>
      <c r="B974" s="8" t="s">
        <v>55</v>
      </c>
      <c r="C974" s="8" t="s">
        <v>13</v>
      </c>
      <c r="D974" s="14">
        <v>2830</v>
      </c>
      <c r="E974" s="14">
        <v>23077</v>
      </c>
      <c r="F974" s="15">
        <v>42989</v>
      </c>
    </row>
    <row r="975" spans="1:6" x14ac:dyDescent="0.3">
      <c r="A975" s="7">
        <v>2018</v>
      </c>
      <c r="B975" s="8" t="s">
        <v>55</v>
      </c>
      <c r="C975" s="8" t="s">
        <v>14</v>
      </c>
      <c r="D975" s="14">
        <v>2658</v>
      </c>
      <c r="E975" s="14">
        <v>19284</v>
      </c>
      <c r="F975" s="15">
        <v>47004</v>
      </c>
    </row>
    <row r="976" spans="1:6" x14ac:dyDescent="0.3">
      <c r="A976" s="7">
        <v>2018</v>
      </c>
      <c r="B976" s="8" t="s">
        <v>55</v>
      </c>
      <c r="C976" s="8" t="s">
        <v>15</v>
      </c>
      <c r="D976" s="14">
        <v>1559</v>
      </c>
      <c r="E976" s="14">
        <v>18569</v>
      </c>
      <c r="F976" s="15">
        <v>56223</v>
      </c>
    </row>
    <row r="977" spans="1:6" x14ac:dyDescent="0.3">
      <c r="A977" s="7">
        <v>2018</v>
      </c>
      <c r="B977" s="8" t="s">
        <v>55</v>
      </c>
      <c r="C977" s="8" t="s">
        <v>16</v>
      </c>
      <c r="D977" s="14">
        <v>3089</v>
      </c>
      <c r="E977" s="14">
        <v>43598</v>
      </c>
      <c r="F977" s="15">
        <v>84277</v>
      </c>
    </row>
    <row r="978" spans="1:6" x14ac:dyDescent="0.3">
      <c r="A978" s="7">
        <v>2018</v>
      </c>
      <c r="B978" s="8" t="s">
        <v>55</v>
      </c>
      <c r="C978" s="8" t="s">
        <v>17</v>
      </c>
      <c r="D978" s="14">
        <v>1372</v>
      </c>
      <c r="E978" s="14">
        <v>7143</v>
      </c>
      <c r="F978" s="15">
        <v>41187</v>
      </c>
    </row>
    <row r="979" spans="1:6" x14ac:dyDescent="0.3">
      <c r="A979" s="7">
        <v>2018</v>
      </c>
      <c r="B979" s="8" t="s">
        <v>55</v>
      </c>
      <c r="C979" s="8" t="s">
        <v>18</v>
      </c>
      <c r="D979" s="8">
        <v>723</v>
      </c>
      <c r="E979" s="14">
        <v>6447</v>
      </c>
      <c r="F979" s="15">
        <v>43100</v>
      </c>
    </row>
    <row r="980" spans="1:6" x14ac:dyDescent="0.3">
      <c r="A980" s="7">
        <v>2018</v>
      </c>
      <c r="B980" s="8" t="s">
        <v>55</v>
      </c>
      <c r="C980" s="8" t="s">
        <v>19</v>
      </c>
      <c r="D980" s="8">
        <v>985</v>
      </c>
      <c r="E980" s="14">
        <v>9626</v>
      </c>
      <c r="F980" s="15">
        <v>61244</v>
      </c>
    </row>
    <row r="981" spans="1:6" x14ac:dyDescent="0.3">
      <c r="A981" s="7">
        <v>2018</v>
      </c>
      <c r="B981" s="8" t="s">
        <v>55</v>
      </c>
      <c r="C981" s="8" t="s">
        <v>20</v>
      </c>
      <c r="D981" s="14">
        <v>3282</v>
      </c>
      <c r="E981" s="14">
        <v>35874</v>
      </c>
      <c r="F981" s="15">
        <v>40516</v>
      </c>
    </row>
    <row r="982" spans="1:6" x14ac:dyDescent="0.3">
      <c r="A982" s="7">
        <v>2018</v>
      </c>
      <c r="B982" s="8" t="s">
        <v>55</v>
      </c>
      <c r="C982" s="8" t="s">
        <v>21</v>
      </c>
      <c r="D982" s="14">
        <v>3071</v>
      </c>
      <c r="E982" s="14">
        <v>27642</v>
      </c>
      <c r="F982" s="15">
        <v>50521</v>
      </c>
    </row>
    <row r="983" spans="1:6" x14ac:dyDescent="0.3">
      <c r="A983" s="7">
        <v>2018</v>
      </c>
      <c r="B983" s="8" t="s">
        <v>55</v>
      </c>
      <c r="C983" s="8" t="s">
        <v>22</v>
      </c>
      <c r="D983" s="14">
        <v>2153</v>
      </c>
      <c r="E983" s="14">
        <v>16234</v>
      </c>
      <c r="F983" s="15">
        <v>47028</v>
      </c>
    </row>
    <row r="984" spans="1:6" x14ac:dyDescent="0.3">
      <c r="A984" s="7">
        <v>2018</v>
      </c>
      <c r="B984" s="8" t="s">
        <v>55</v>
      </c>
      <c r="C984" s="8" t="s">
        <v>23</v>
      </c>
      <c r="D984" s="14">
        <v>1935</v>
      </c>
      <c r="E984" s="14">
        <v>16642</v>
      </c>
      <c r="F984" s="15">
        <v>43331</v>
      </c>
    </row>
    <row r="985" spans="1:6" x14ac:dyDescent="0.3">
      <c r="A985" s="7">
        <v>2018</v>
      </c>
      <c r="B985" s="8" t="s">
        <v>55</v>
      </c>
      <c r="C985" s="8" t="s">
        <v>24</v>
      </c>
      <c r="D985" s="14">
        <v>1771</v>
      </c>
      <c r="E985" s="14">
        <v>12503</v>
      </c>
      <c r="F985" s="15">
        <v>67090</v>
      </c>
    </row>
    <row r="986" spans="1:6" x14ac:dyDescent="0.3">
      <c r="A986" s="7">
        <v>2018</v>
      </c>
      <c r="B986" s="8" t="s">
        <v>55</v>
      </c>
      <c r="C986" s="8" t="s">
        <v>25</v>
      </c>
      <c r="D986" s="14">
        <v>2378</v>
      </c>
      <c r="E986" s="14">
        <v>15823</v>
      </c>
      <c r="F986" s="15">
        <v>41084</v>
      </c>
    </row>
    <row r="987" spans="1:6" x14ac:dyDescent="0.3">
      <c r="A987" s="7">
        <v>2018</v>
      </c>
      <c r="B987" s="8" t="s">
        <v>55</v>
      </c>
      <c r="C987" s="8" t="s">
        <v>26</v>
      </c>
      <c r="D987" s="8">
        <v>641</v>
      </c>
      <c r="E987" s="14">
        <v>19336</v>
      </c>
      <c r="F987" s="15">
        <v>82872</v>
      </c>
    </row>
    <row r="988" spans="1:6" x14ac:dyDescent="0.3">
      <c r="A988" s="7">
        <v>2018</v>
      </c>
      <c r="B988" s="8" t="s">
        <v>55</v>
      </c>
      <c r="C988" s="8" t="s">
        <v>27</v>
      </c>
      <c r="D988" s="8">
        <v>344</v>
      </c>
      <c r="E988" s="14">
        <v>2619</v>
      </c>
      <c r="F988" s="15">
        <v>42081</v>
      </c>
    </row>
    <row r="989" spans="1:6" x14ac:dyDescent="0.3">
      <c r="A989" s="7">
        <v>2018</v>
      </c>
      <c r="B989" s="8" t="s">
        <v>55</v>
      </c>
      <c r="C989" s="8" t="s">
        <v>28</v>
      </c>
      <c r="D989" s="14">
        <v>1003</v>
      </c>
      <c r="E989" s="14">
        <v>12165</v>
      </c>
      <c r="F989" s="15">
        <v>39981</v>
      </c>
    </row>
    <row r="990" spans="1:6" x14ac:dyDescent="0.3">
      <c r="A990" s="7">
        <v>2018</v>
      </c>
      <c r="B990" s="8" t="s">
        <v>55</v>
      </c>
      <c r="C990" s="8" t="s">
        <v>29</v>
      </c>
      <c r="D990" s="14">
        <v>2007</v>
      </c>
      <c r="E990" s="14">
        <v>35856</v>
      </c>
      <c r="F990" s="15">
        <v>64393</v>
      </c>
    </row>
    <row r="991" spans="1:6" x14ac:dyDescent="0.3">
      <c r="A991" s="7">
        <v>2018</v>
      </c>
      <c r="B991" s="8" t="s">
        <v>55</v>
      </c>
      <c r="C991" s="8" t="s">
        <v>30</v>
      </c>
      <c r="D991" s="14">
        <v>3062</v>
      </c>
      <c r="E991" s="14">
        <v>31787</v>
      </c>
      <c r="F991" s="15">
        <v>41230</v>
      </c>
    </row>
    <row r="992" spans="1:6" x14ac:dyDescent="0.3">
      <c r="A992" s="7">
        <v>2018</v>
      </c>
      <c r="B992" s="8" t="s">
        <v>55</v>
      </c>
      <c r="C992" s="8" t="s">
        <v>31</v>
      </c>
      <c r="D992" s="14">
        <v>3330</v>
      </c>
      <c r="E992" s="14">
        <v>30208</v>
      </c>
      <c r="F992" s="15">
        <v>39062</v>
      </c>
    </row>
    <row r="993" spans="1:6" x14ac:dyDescent="0.3">
      <c r="A993" s="7">
        <v>2018</v>
      </c>
      <c r="B993" s="8" t="s">
        <v>55</v>
      </c>
      <c r="C993" s="8" t="s">
        <v>32</v>
      </c>
      <c r="D993" s="14">
        <v>1766</v>
      </c>
      <c r="E993" s="14">
        <v>25422</v>
      </c>
      <c r="F993" s="15">
        <v>95073</v>
      </c>
    </row>
    <row r="994" spans="1:6" x14ac:dyDescent="0.3">
      <c r="A994" s="7">
        <v>2018</v>
      </c>
      <c r="B994" s="8" t="s">
        <v>55</v>
      </c>
      <c r="C994" s="8" t="s">
        <v>33</v>
      </c>
      <c r="D994" s="14">
        <v>2470</v>
      </c>
      <c r="E994" s="14">
        <v>28520</v>
      </c>
      <c r="F994" s="15">
        <v>51145</v>
      </c>
    </row>
    <row r="995" spans="1:6" x14ac:dyDescent="0.3">
      <c r="A995" s="7">
        <v>2018</v>
      </c>
      <c r="B995" s="8" t="s">
        <v>55</v>
      </c>
      <c r="C995" s="8" t="s">
        <v>34</v>
      </c>
      <c r="D995" s="14">
        <v>4348</v>
      </c>
      <c r="E995" s="14">
        <v>64020</v>
      </c>
      <c r="F995" s="15">
        <v>91135</v>
      </c>
    </row>
    <row r="996" spans="1:6" x14ac:dyDescent="0.3">
      <c r="A996" s="7">
        <v>2018</v>
      </c>
      <c r="B996" s="8" t="s">
        <v>55</v>
      </c>
      <c r="C996" s="8" t="s">
        <v>35</v>
      </c>
      <c r="D996" s="14">
        <v>4560</v>
      </c>
      <c r="E996" s="14">
        <v>53530</v>
      </c>
      <c r="F996" s="15">
        <v>37495</v>
      </c>
    </row>
    <row r="997" spans="1:6" x14ac:dyDescent="0.3">
      <c r="A997" s="7">
        <v>2018</v>
      </c>
      <c r="B997" s="8" t="s">
        <v>55</v>
      </c>
      <c r="C997" s="8" t="s">
        <v>36</v>
      </c>
      <c r="D997" s="14">
        <v>3585</v>
      </c>
      <c r="E997" s="14">
        <v>52523</v>
      </c>
      <c r="F997" s="15">
        <v>62951</v>
      </c>
    </row>
    <row r="998" spans="1:6" x14ac:dyDescent="0.3">
      <c r="A998" s="7">
        <v>2018</v>
      </c>
      <c r="B998" s="8" t="s">
        <v>55</v>
      </c>
      <c r="C998" s="8" t="s">
        <v>37</v>
      </c>
      <c r="D998" s="8">
        <v>194</v>
      </c>
      <c r="E998" s="14">
        <v>1056</v>
      </c>
      <c r="F998" s="15">
        <v>39071</v>
      </c>
    </row>
    <row r="999" spans="1:6" x14ac:dyDescent="0.3">
      <c r="A999" s="7">
        <v>2018</v>
      </c>
      <c r="B999" s="8" t="s">
        <v>55</v>
      </c>
      <c r="C999" s="8" t="s">
        <v>38</v>
      </c>
      <c r="D999" s="14">
        <v>1286</v>
      </c>
      <c r="E999" s="14">
        <v>12662</v>
      </c>
      <c r="F999" s="15">
        <v>40536</v>
      </c>
    </row>
    <row r="1000" spans="1:6" x14ac:dyDescent="0.3">
      <c r="A1000" s="7">
        <v>2018</v>
      </c>
      <c r="B1000" s="8" t="s">
        <v>55</v>
      </c>
      <c r="C1000" s="8" t="s">
        <v>39</v>
      </c>
      <c r="D1000" s="14">
        <v>1047</v>
      </c>
      <c r="E1000" s="14">
        <v>6831</v>
      </c>
      <c r="F1000" s="15">
        <v>42904</v>
      </c>
    </row>
    <row r="1001" spans="1:6" x14ac:dyDescent="0.3">
      <c r="A1001" s="7">
        <v>2018</v>
      </c>
      <c r="B1001" s="8" t="s">
        <v>55</v>
      </c>
      <c r="C1001" s="8" t="s">
        <v>40</v>
      </c>
      <c r="D1001" s="14">
        <v>1099</v>
      </c>
      <c r="E1001" s="14">
        <v>11051</v>
      </c>
      <c r="F1001" s="15">
        <v>46634</v>
      </c>
    </row>
    <row r="1002" spans="1:6" x14ac:dyDescent="0.3">
      <c r="A1002" s="7">
        <v>2018</v>
      </c>
      <c r="B1002" s="8" t="s">
        <v>55</v>
      </c>
      <c r="C1002" s="8" t="s">
        <v>41</v>
      </c>
      <c r="D1002" s="14">
        <v>19761</v>
      </c>
      <c r="E1002" s="14">
        <v>304275</v>
      </c>
      <c r="F1002" s="15">
        <v>109449</v>
      </c>
    </row>
    <row r="1003" spans="1:6" x14ac:dyDescent="0.3">
      <c r="A1003" s="7">
        <v>2018</v>
      </c>
      <c r="B1003" s="8" t="s">
        <v>55</v>
      </c>
      <c r="C1003" s="8" t="s">
        <v>42</v>
      </c>
      <c r="D1003" s="14">
        <v>1002</v>
      </c>
      <c r="E1003" s="14">
        <v>15159</v>
      </c>
      <c r="F1003" s="15">
        <v>61171</v>
      </c>
    </row>
    <row r="1004" spans="1:6" x14ac:dyDescent="0.3">
      <c r="A1004" s="7">
        <v>2018</v>
      </c>
      <c r="B1004" s="8" t="s">
        <v>55</v>
      </c>
      <c r="C1004" s="8" t="s">
        <v>43</v>
      </c>
      <c r="D1004" s="8">
        <v>548</v>
      </c>
      <c r="E1004" s="14">
        <v>3930</v>
      </c>
      <c r="F1004" s="15">
        <v>38605</v>
      </c>
    </row>
    <row r="1005" spans="1:6" x14ac:dyDescent="0.3">
      <c r="A1005" s="7">
        <v>2018</v>
      </c>
      <c r="B1005" s="8" t="s">
        <v>55</v>
      </c>
      <c r="C1005" s="8" t="s">
        <v>44</v>
      </c>
      <c r="D1005" s="14">
        <v>2101</v>
      </c>
      <c r="E1005" s="14">
        <v>19281</v>
      </c>
      <c r="F1005" s="15">
        <v>47043</v>
      </c>
    </row>
    <row r="1006" spans="1:6" x14ac:dyDescent="0.3">
      <c r="A1006" s="7">
        <v>2018</v>
      </c>
      <c r="B1006" s="8" t="s">
        <v>55</v>
      </c>
      <c r="C1006" s="8" t="s">
        <v>45</v>
      </c>
      <c r="D1006" s="14">
        <v>7317</v>
      </c>
      <c r="E1006" s="14">
        <v>109210</v>
      </c>
      <c r="F1006" s="15">
        <v>33346</v>
      </c>
    </row>
    <row r="1007" spans="1:6" x14ac:dyDescent="0.3">
      <c r="A1007" s="7">
        <v>2018</v>
      </c>
      <c r="B1007" s="8" t="s">
        <v>55</v>
      </c>
      <c r="C1007" s="8" t="s">
        <v>46</v>
      </c>
      <c r="D1007" s="14">
        <v>1199</v>
      </c>
      <c r="E1007" s="14">
        <v>23481</v>
      </c>
      <c r="F1007" s="15">
        <v>80012</v>
      </c>
    </row>
    <row r="1008" spans="1:6" x14ac:dyDescent="0.3">
      <c r="A1008" s="7">
        <v>2018</v>
      </c>
      <c r="B1008" s="8" t="s">
        <v>55</v>
      </c>
      <c r="C1008" s="8" t="s">
        <v>47</v>
      </c>
      <c r="D1008" s="14">
        <v>2926</v>
      </c>
      <c r="E1008" s="14">
        <v>32257</v>
      </c>
      <c r="F1008" s="15">
        <v>39437</v>
      </c>
    </row>
    <row r="1009" spans="1:6" x14ac:dyDescent="0.3">
      <c r="A1009" s="7">
        <v>2018</v>
      </c>
      <c r="B1009" s="8" t="s">
        <v>55</v>
      </c>
      <c r="C1009" s="8" t="s">
        <v>48</v>
      </c>
      <c r="D1009" s="14">
        <v>1438</v>
      </c>
      <c r="E1009" s="14">
        <v>23488</v>
      </c>
      <c r="F1009" s="15">
        <v>83751</v>
      </c>
    </row>
    <row r="1010" spans="1:6" x14ac:dyDescent="0.3">
      <c r="A1010" s="7">
        <v>2018</v>
      </c>
      <c r="B1010" s="8" t="s">
        <v>51</v>
      </c>
      <c r="C1010" s="8" t="s">
        <v>1</v>
      </c>
      <c r="D1010" s="14">
        <v>9897</v>
      </c>
      <c r="E1010" s="14">
        <v>89207</v>
      </c>
      <c r="F1010" s="15">
        <v>53957</v>
      </c>
    </row>
    <row r="1011" spans="1:6" x14ac:dyDescent="0.3">
      <c r="A1011" s="7">
        <v>2018</v>
      </c>
      <c r="B1011" s="8" t="s">
        <v>51</v>
      </c>
      <c r="C1011" s="8" t="s">
        <v>2</v>
      </c>
      <c r="D1011" s="14">
        <v>12867</v>
      </c>
      <c r="E1011" s="14">
        <v>158251</v>
      </c>
      <c r="F1011" s="15">
        <v>55989</v>
      </c>
    </row>
    <row r="1012" spans="1:6" x14ac:dyDescent="0.3">
      <c r="A1012" s="7">
        <v>2018</v>
      </c>
      <c r="B1012" s="8" t="s">
        <v>51</v>
      </c>
      <c r="C1012" s="8" t="s">
        <v>3</v>
      </c>
      <c r="D1012" s="14">
        <v>6945</v>
      </c>
      <c r="E1012" s="14">
        <v>50848</v>
      </c>
      <c r="F1012" s="15">
        <v>47988</v>
      </c>
    </row>
    <row r="1013" spans="1:6" x14ac:dyDescent="0.3">
      <c r="A1013" s="7">
        <v>2018</v>
      </c>
      <c r="B1013" s="8" t="s">
        <v>51</v>
      </c>
      <c r="C1013" s="8" t="s">
        <v>4</v>
      </c>
      <c r="D1013" s="14">
        <v>80657</v>
      </c>
      <c r="E1013" s="14">
        <v>860278</v>
      </c>
      <c r="F1013" s="15">
        <v>70084</v>
      </c>
    </row>
    <row r="1014" spans="1:6" x14ac:dyDescent="0.3">
      <c r="A1014" s="7">
        <v>2018</v>
      </c>
      <c r="B1014" s="8" t="s">
        <v>51</v>
      </c>
      <c r="C1014" s="8" t="s">
        <v>5</v>
      </c>
      <c r="D1014" s="14">
        <v>19884</v>
      </c>
      <c r="E1014" s="14">
        <v>173096</v>
      </c>
      <c r="F1014" s="15">
        <v>62414</v>
      </c>
    </row>
    <row r="1015" spans="1:6" x14ac:dyDescent="0.3">
      <c r="A1015" s="7">
        <v>2018</v>
      </c>
      <c r="B1015" s="8" t="s">
        <v>51</v>
      </c>
      <c r="C1015" s="8" t="s">
        <v>6</v>
      </c>
      <c r="D1015" s="14">
        <v>9399</v>
      </c>
      <c r="E1015" s="14">
        <v>58769</v>
      </c>
      <c r="F1015" s="15">
        <v>69727</v>
      </c>
    </row>
    <row r="1016" spans="1:6" x14ac:dyDescent="0.3">
      <c r="A1016" s="7">
        <v>2018</v>
      </c>
      <c r="B1016" s="8" t="s">
        <v>51</v>
      </c>
      <c r="C1016" s="8" t="s">
        <v>7</v>
      </c>
      <c r="D1016" s="14">
        <v>2871</v>
      </c>
      <c r="E1016" s="14">
        <v>22192</v>
      </c>
      <c r="F1016" s="15">
        <v>59797</v>
      </c>
    </row>
    <row r="1017" spans="1:6" x14ac:dyDescent="0.3">
      <c r="A1017" s="7">
        <v>2018</v>
      </c>
      <c r="B1017" s="8" t="s">
        <v>51</v>
      </c>
      <c r="C1017" s="8" t="s">
        <v>8</v>
      </c>
      <c r="D1017" s="14">
        <v>70819</v>
      </c>
      <c r="E1017" s="14">
        <v>541083</v>
      </c>
      <c r="F1017" s="15">
        <v>51286</v>
      </c>
    </row>
    <row r="1018" spans="1:6" x14ac:dyDescent="0.3">
      <c r="A1018" s="7">
        <v>2018</v>
      </c>
      <c r="B1018" s="8" t="s">
        <v>51</v>
      </c>
      <c r="C1018" s="8" t="s">
        <v>9</v>
      </c>
      <c r="D1018" s="14">
        <v>20577</v>
      </c>
      <c r="E1018" s="14">
        <v>195221</v>
      </c>
      <c r="F1018" s="15">
        <v>61018</v>
      </c>
    </row>
    <row r="1019" spans="1:6" x14ac:dyDescent="0.3">
      <c r="A1019" s="7">
        <v>2018</v>
      </c>
      <c r="B1019" s="8" t="s">
        <v>51</v>
      </c>
      <c r="C1019" s="8" t="s">
        <v>10</v>
      </c>
      <c r="D1019" s="14">
        <v>8174</v>
      </c>
      <c r="E1019" s="14">
        <v>46827</v>
      </c>
      <c r="F1019" s="15">
        <v>44285</v>
      </c>
    </row>
    <row r="1020" spans="1:6" x14ac:dyDescent="0.3">
      <c r="A1020" s="7">
        <v>2018</v>
      </c>
      <c r="B1020" s="8" t="s">
        <v>51</v>
      </c>
      <c r="C1020" s="8" t="s">
        <v>11</v>
      </c>
      <c r="D1020" s="14">
        <v>32305</v>
      </c>
      <c r="E1020" s="14">
        <v>225991</v>
      </c>
      <c r="F1020" s="15">
        <v>71957</v>
      </c>
    </row>
    <row r="1021" spans="1:6" x14ac:dyDescent="0.3">
      <c r="A1021" s="7">
        <v>2018</v>
      </c>
      <c r="B1021" s="8" t="s">
        <v>51</v>
      </c>
      <c r="C1021" s="8" t="s">
        <v>12</v>
      </c>
      <c r="D1021" s="14">
        <v>15176</v>
      </c>
      <c r="E1021" s="14">
        <v>141028</v>
      </c>
      <c r="F1021" s="15">
        <v>58404</v>
      </c>
    </row>
    <row r="1022" spans="1:6" x14ac:dyDescent="0.3">
      <c r="A1022" s="7">
        <v>2018</v>
      </c>
      <c r="B1022" s="8" t="s">
        <v>51</v>
      </c>
      <c r="C1022" s="8" t="s">
        <v>13</v>
      </c>
      <c r="D1022" s="14">
        <v>9447</v>
      </c>
      <c r="E1022" s="14">
        <v>77230</v>
      </c>
      <c r="F1022" s="15">
        <v>57435</v>
      </c>
    </row>
    <row r="1023" spans="1:6" x14ac:dyDescent="0.3">
      <c r="A1023" s="7">
        <v>2018</v>
      </c>
      <c r="B1023" s="8" t="s">
        <v>51</v>
      </c>
      <c r="C1023" s="8" t="s">
        <v>14</v>
      </c>
      <c r="D1023" s="14">
        <v>7555</v>
      </c>
      <c r="E1023" s="14">
        <v>61206</v>
      </c>
      <c r="F1023" s="15">
        <v>54735</v>
      </c>
    </row>
    <row r="1024" spans="1:6" x14ac:dyDescent="0.3">
      <c r="A1024" s="7">
        <v>2018</v>
      </c>
      <c r="B1024" s="8" t="s">
        <v>51</v>
      </c>
      <c r="C1024" s="8" t="s">
        <v>15</v>
      </c>
      <c r="D1024" s="14">
        <v>9466</v>
      </c>
      <c r="E1024" s="14">
        <v>77934</v>
      </c>
      <c r="F1024" s="15">
        <v>53957</v>
      </c>
    </row>
    <row r="1025" spans="1:6" x14ac:dyDescent="0.3">
      <c r="A1025" s="7">
        <v>2018</v>
      </c>
      <c r="B1025" s="8" t="s">
        <v>51</v>
      </c>
      <c r="C1025" s="8" t="s">
        <v>16</v>
      </c>
      <c r="D1025" s="14">
        <v>10844</v>
      </c>
      <c r="E1025" s="14">
        <v>151993</v>
      </c>
      <c r="F1025" s="15">
        <v>63892</v>
      </c>
    </row>
    <row r="1026" spans="1:6" x14ac:dyDescent="0.3">
      <c r="A1026" s="7">
        <v>2018</v>
      </c>
      <c r="B1026" s="8" t="s">
        <v>51</v>
      </c>
      <c r="C1026" s="8" t="s">
        <v>17</v>
      </c>
      <c r="D1026" s="14">
        <v>5475</v>
      </c>
      <c r="E1026" s="14">
        <v>29285</v>
      </c>
      <c r="F1026" s="15">
        <v>49575</v>
      </c>
    </row>
    <row r="1027" spans="1:6" x14ac:dyDescent="0.3">
      <c r="A1027" s="7">
        <v>2018</v>
      </c>
      <c r="B1027" s="8" t="s">
        <v>51</v>
      </c>
      <c r="C1027" s="8" t="s">
        <v>18</v>
      </c>
      <c r="D1027" s="14">
        <v>16487</v>
      </c>
      <c r="E1027" s="14">
        <v>163210</v>
      </c>
      <c r="F1027" s="15">
        <v>65971</v>
      </c>
    </row>
    <row r="1028" spans="1:6" x14ac:dyDescent="0.3">
      <c r="A1028" s="7">
        <v>2018</v>
      </c>
      <c r="B1028" s="8" t="s">
        <v>51</v>
      </c>
      <c r="C1028" s="8" t="s">
        <v>19</v>
      </c>
      <c r="D1028" s="14">
        <v>21120</v>
      </c>
      <c r="E1028" s="14">
        <v>158656</v>
      </c>
      <c r="F1028" s="15">
        <v>78802</v>
      </c>
    </row>
    <row r="1029" spans="1:6" x14ac:dyDescent="0.3">
      <c r="A1029" s="7">
        <v>2018</v>
      </c>
      <c r="B1029" s="8" t="s">
        <v>51</v>
      </c>
      <c r="C1029" s="8" t="s">
        <v>20</v>
      </c>
      <c r="D1029" s="14">
        <v>19952</v>
      </c>
      <c r="E1029" s="14">
        <v>168632</v>
      </c>
      <c r="F1029" s="15">
        <v>62378</v>
      </c>
    </row>
    <row r="1030" spans="1:6" x14ac:dyDescent="0.3">
      <c r="A1030" s="7">
        <v>2018</v>
      </c>
      <c r="B1030" s="8" t="s">
        <v>51</v>
      </c>
      <c r="C1030" s="8" t="s">
        <v>21</v>
      </c>
      <c r="D1030" s="14">
        <v>16480</v>
      </c>
      <c r="E1030" s="14">
        <v>121665</v>
      </c>
      <c r="F1030" s="15">
        <v>67248</v>
      </c>
    </row>
    <row r="1031" spans="1:6" x14ac:dyDescent="0.3">
      <c r="A1031" s="7">
        <v>2018</v>
      </c>
      <c r="B1031" s="8" t="s">
        <v>51</v>
      </c>
      <c r="C1031" s="8" t="s">
        <v>22</v>
      </c>
      <c r="D1031" s="14">
        <v>5760</v>
      </c>
      <c r="E1031" s="14">
        <v>43911</v>
      </c>
      <c r="F1031" s="15">
        <v>50325</v>
      </c>
    </row>
    <row r="1032" spans="1:6" x14ac:dyDescent="0.3">
      <c r="A1032" s="7">
        <v>2018</v>
      </c>
      <c r="B1032" s="8" t="s">
        <v>51</v>
      </c>
      <c r="C1032" s="8" t="s">
        <v>23</v>
      </c>
      <c r="D1032" s="14">
        <v>14591</v>
      </c>
      <c r="E1032" s="14">
        <v>122662</v>
      </c>
      <c r="F1032" s="15">
        <v>59442</v>
      </c>
    </row>
    <row r="1033" spans="1:6" x14ac:dyDescent="0.3">
      <c r="A1033" s="7">
        <v>2018</v>
      </c>
      <c r="B1033" s="8" t="s">
        <v>51</v>
      </c>
      <c r="C1033" s="8" t="s">
        <v>24</v>
      </c>
      <c r="D1033" s="14">
        <v>6514</v>
      </c>
      <c r="E1033" s="14">
        <v>29077</v>
      </c>
      <c r="F1033" s="15">
        <v>52969</v>
      </c>
    </row>
    <row r="1034" spans="1:6" x14ac:dyDescent="0.3">
      <c r="A1034" s="7">
        <v>2018</v>
      </c>
      <c r="B1034" s="8" t="s">
        <v>51</v>
      </c>
      <c r="C1034" s="8" t="s">
        <v>25</v>
      </c>
      <c r="D1034" s="14">
        <v>7068</v>
      </c>
      <c r="E1034" s="14">
        <v>52320</v>
      </c>
      <c r="F1034" s="15">
        <v>51657</v>
      </c>
    </row>
    <row r="1035" spans="1:6" x14ac:dyDescent="0.3">
      <c r="A1035" s="7">
        <v>2018</v>
      </c>
      <c r="B1035" s="8" t="s">
        <v>51</v>
      </c>
      <c r="C1035" s="8" t="s">
        <v>26</v>
      </c>
      <c r="D1035" s="14">
        <v>5898</v>
      </c>
      <c r="E1035" s="14">
        <v>89125</v>
      </c>
      <c r="F1035" s="15">
        <v>61123</v>
      </c>
    </row>
    <row r="1036" spans="1:6" x14ac:dyDescent="0.3">
      <c r="A1036" s="7">
        <v>2018</v>
      </c>
      <c r="B1036" s="8" t="s">
        <v>51</v>
      </c>
      <c r="C1036" s="8" t="s">
        <v>27</v>
      </c>
      <c r="D1036" s="14">
        <v>4498</v>
      </c>
      <c r="E1036" s="14">
        <v>26890</v>
      </c>
      <c r="F1036" s="15">
        <v>62661</v>
      </c>
    </row>
    <row r="1037" spans="1:6" x14ac:dyDescent="0.3">
      <c r="A1037" s="7">
        <v>2018</v>
      </c>
      <c r="B1037" s="8" t="s">
        <v>51</v>
      </c>
      <c r="C1037" s="8" t="s">
        <v>28</v>
      </c>
      <c r="D1037" s="14">
        <v>22416</v>
      </c>
      <c r="E1037" s="14">
        <v>157147</v>
      </c>
      <c r="F1037" s="15">
        <v>72658</v>
      </c>
    </row>
    <row r="1038" spans="1:6" x14ac:dyDescent="0.3">
      <c r="A1038" s="7">
        <v>2018</v>
      </c>
      <c r="B1038" s="8" t="s">
        <v>51</v>
      </c>
      <c r="C1038" s="8" t="s">
        <v>29</v>
      </c>
      <c r="D1038" s="14">
        <v>5337</v>
      </c>
      <c r="E1038" s="14">
        <v>47224</v>
      </c>
      <c r="F1038" s="15">
        <v>49350</v>
      </c>
    </row>
    <row r="1039" spans="1:6" x14ac:dyDescent="0.3">
      <c r="A1039" s="7">
        <v>2018</v>
      </c>
      <c r="B1039" s="8" t="s">
        <v>51</v>
      </c>
      <c r="C1039" s="8" t="s">
        <v>30</v>
      </c>
      <c r="D1039" s="14">
        <v>50281</v>
      </c>
      <c r="E1039" s="14">
        <v>399629</v>
      </c>
      <c r="F1039" s="15">
        <v>73248</v>
      </c>
    </row>
    <row r="1040" spans="1:6" x14ac:dyDescent="0.3">
      <c r="A1040" s="7">
        <v>2018</v>
      </c>
      <c r="B1040" s="8" t="s">
        <v>51</v>
      </c>
      <c r="C1040" s="8" t="s">
        <v>31</v>
      </c>
      <c r="D1040" s="14">
        <v>26741</v>
      </c>
      <c r="E1040" s="14">
        <v>220692</v>
      </c>
      <c r="F1040" s="15">
        <v>54587</v>
      </c>
    </row>
    <row r="1041" spans="1:6" x14ac:dyDescent="0.3">
      <c r="A1041" s="7">
        <v>2018</v>
      </c>
      <c r="B1041" s="8" t="s">
        <v>51</v>
      </c>
      <c r="C1041" s="8" t="s">
        <v>32</v>
      </c>
      <c r="D1041" s="14">
        <v>3798</v>
      </c>
      <c r="E1041" s="14">
        <v>26002</v>
      </c>
      <c r="F1041" s="15">
        <v>64586</v>
      </c>
    </row>
    <row r="1042" spans="1:6" x14ac:dyDescent="0.3">
      <c r="A1042" s="7">
        <v>2018</v>
      </c>
      <c r="B1042" s="8" t="s">
        <v>51</v>
      </c>
      <c r="C1042" s="8" t="s">
        <v>33</v>
      </c>
      <c r="D1042" s="14">
        <v>23076</v>
      </c>
      <c r="E1042" s="14">
        <v>220709</v>
      </c>
      <c r="F1042" s="15">
        <v>61194</v>
      </c>
    </row>
    <row r="1043" spans="1:6" x14ac:dyDescent="0.3">
      <c r="A1043" s="7">
        <v>2018</v>
      </c>
      <c r="B1043" s="8" t="s">
        <v>51</v>
      </c>
      <c r="C1043" s="8" t="s">
        <v>34</v>
      </c>
      <c r="D1043" s="14">
        <v>9765</v>
      </c>
      <c r="E1043" s="14">
        <v>80295</v>
      </c>
      <c r="F1043" s="15">
        <v>52777</v>
      </c>
    </row>
    <row r="1044" spans="1:6" x14ac:dyDescent="0.3">
      <c r="A1044" s="7">
        <v>2018</v>
      </c>
      <c r="B1044" s="8" t="s">
        <v>51</v>
      </c>
      <c r="C1044" s="8" t="s">
        <v>35</v>
      </c>
      <c r="D1044" s="14">
        <v>14244</v>
      </c>
      <c r="E1044" s="14">
        <v>104561</v>
      </c>
      <c r="F1044" s="15">
        <v>60523</v>
      </c>
    </row>
    <row r="1045" spans="1:6" x14ac:dyDescent="0.3">
      <c r="A1045" s="7">
        <v>2018</v>
      </c>
      <c r="B1045" s="8" t="s">
        <v>51</v>
      </c>
      <c r="C1045" s="8" t="s">
        <v>36</v>
      </c>
      <c r="D1045" s="14">
        <v>28749</v>
      </c>
      <c r="E1045" s="14">
        <v>255910</v>
      </c>
      <c r="F1045" s="15">
        <v>66852</v>
      </c>
    </row>
    <row r="1046" spans="1:6" x14ac:dyDescent="0.3">
      <c r="A1046" s="7">
        <v>2018</v>
      </c>
      <c r="B1046" s="8" t="s">
        <v>51</v>
      </c>
      <c r="C1046" s="8" t="s">
        <v>37</v>
      </c>
      <c r="D1046" s="14">
        <v>3743</v>
      </c>
      <c r="E1046" s="14">
        <v>19229</v>
      </c>
      <c r="F1046" s="15">
        <v>61579</v>
      </c>
    </row>
    <row r="1047" spans="1:6" x14ac:dyDescent="0.3">
      <c r="A1047" s="7">
        <v>2018</v>
      </c>
      <c r="B1047" s="8" t="s">
        <v>51</v>
      </c>
      <c r="C1047" s="8" t="s">
        <v>38</v>
      </c>
      <c r="D1047" s="14">
        <v>12124</v>
      </c>
      <c r="E1047" s="14">
        <v>104324</v>
      </c>
      <c r="F1047" s="15">
        <v>52634</v>
      </c>
    </row>
    <row r="1048" spans="1:6" x14ac:dyDescent="0.3">
      <c r="A1048" s="7">
        <v>2018</v>
      </c>
      <c r="B1048" s="8" t="s">
        <v>51</v>
      </c>
      <c r="C1048" s="8" t="s">
        <v>39</v>
      </c>
      <c r="D1048" s="14">
        <v>3884</v>
      </c>
      <c r="E1048" s="14">
        <v>22971</v>
      </c>
      <c r="F1048" s="15">
        <v>48981</v>
      </c>
    </row>
    <row r="1049" spans="1:6" x14ac:dyDescent="0.3">
      <c r="A1049" s="7">
        <v>2018</v>
      </c>
      <c r="B1049" s="8" t="s">
        <v>51</v>
      </c>
      <c r="C1049" s="8" t="s">
        <v>40</v>
      </c>
      <c r="D1049" s="14">
        <v>12110</v>
      </c>
      <c r="E1049" s="14">
        <v>124488</v>
      </c>
      <c r="F1049" s="15">
        <v>57033</v>
      </c>
    </row>
    <row r="1050" spans="1:6" x14ac:dyDescent="0.3">
      <c r="A1050" s="7">
        <v>2018</v>
      </c>
      <c r="B1050" s="8" t="s">
        <v>51</v>
      </c>
      <c r="C1050" s="8" t="s">
        <v>41</v>
      </c>
      <c r="D1050" s="14">
        <v>51405</v>
      </c>
      <c r="E1050" s="14">
        <v>739156</v>
      </c>
      <c r="F1050" s="15">
        <v>65554</v>
      </c>
    </row>
    <row r="1051" spans="1:6" x14ac:dyDescent="0.3">
      <c r="A1051" s="7">
        <v>2018</v>
      </c>
      <c r="B1051" s="8" t="s">
        <v>51</v>
      </c>
      <c r="C1051" s="8" t="s">
        <v>42</v>
      </c>
      <c r="D1051" s="14">
        <v>11572</v>
      </c>
      <c r="E1051" s="14">
        <v>104339</v>
      </c>
      <c r="F1051" s="15">
        <v>51052</v>
      </c>
    </row>
    <row r="1052" spans="1:6" x14ac:dyDescent="0.3">
      <c r="A1052" s="7">
        <v>2018</v>
      </c>
      <c r="B1052" s="8" t="s">
        <v>51</v>
      </c>
      <c r="C1052" s="8" t="s">
        <v>43</v>
      </c>
      <c r="D1052" s="14">
        <v>2878</v>
      </c>
      <c r="E1052" s="14">
        <v>15262</v>
      </c>
      <c r="F1052" s="15">
        <v>51025</v>
      </c>
    </row>
    <row r="1053" spans="1:6" x14ac:dyDescent="0.3">
      <c r="A1053" s="7">
        <v>2018</v>
      </c>
      <c r="B1053" s="8" t="s">
        <v>51</v>
      </c>
      <c r="C1053" s="8" t="s">
        <v>44</v>
      </c>
      <c r="D1053" s="14">
        <v>21508</v>
      </c>
      <c r="E1053" s="14">
        <v>197292</v>
      </c>
      <c r="F1053" s="15">
        <v>58050</v>
      </c>
    </row>
    <row r="1054" spans="1:6" x14ac:dyDescent="0.3">
      <c r="A1054" s="7">
        <v>2018</v>
      </c>
      <c r="B1054" s="8" t="s">
        <v>51</v>
      </c>
      <c r="C1054" s="8" t="s">
        <v>45</v>
      </c>
      <c r="D1054" s="14">
        <v>26015</v>
      </c>
      <c r="E1054" s="14">
        <v>199867</v>
      </c>
      <c r="F1054" s="15">
        <v>64432</v>
      </c>
    </row>
    <row r="1055" spans="1:6" x14ac:dyDescent="0.3">
      <c r="A1055" s="7">
        <v>2018</v>
      </c>
      <c r="B1055" s="8" t="s">
        <v>51</v>
      </c>
      <c r="C1055" s="8" t="s">
        <v>46</v>
      </c>
      <c r="D1055" s="14">
        <v>4435</v>
      </c>
      <c r="E1055" s="14">
        <v>40126</v>
      </c>
      <c r="F1055" s="15">
        <v>72255</v>
      </c>
    </row>
    <row r="1056" spans="1:6" x14ac:dyDescent="0.3">
      <c r="A1056" s="7">
        <v>2018</v>
      </c>
      <c r="B1056" s="8" t="s">
        <v>51</v>
      </c>
      <c r="C1056" s="8" t="s">
        <v>47</v>
      </c>
      <c r="D1056" s="14">
        <v>14814</v>
      </c>
      <c r="E1056" s="14">
        <v>122396</v>
      </c>
      <c r="F1056" s="15">
        <v>62063</v>
      </c>
    </row>
    <row r="1057" spans="1:6" x14ac:dyDescent="0.3">
      <c r="A1057" s="7">
        <v>2018</v>
      </c>
      <c r="B1057" s="8" t="s">
        <v>51</v>
      </c>
      <c r="C1057" s="8" t="s">
        <v>48</v>
      </c>
      <c r="D1057" s="14">
        <v>3375</v>
      </c>
      <c r="E1057" s="14">
        <v>20253</v>
      </c>
      <c r="F1057" s="15">
        <v>53554</v>
      </c>
    </row>
    <row r="1058" spans="1:6" x14ac:dyDescent="0.3">
      <c r="A1058" s="7">
        <v>2018</v>
      </c>
      <c r="B1058" s="8" t="s">
        <v>52</v>
      </c>
      <c r="C1058" s="8" t="s">
        <v>1</v>
      </c>
      <c r="D1058" s="14">
        <v>5566</v>
      </c>
      <c r="E1058" s="14">
        <v>266798</v>
      </c>
      <c r="F1058" s="15">
        <v>57068</v>
      </c>
    </row>
    <row r="1059" spans="1:6" x14ac:dyDescent="0.3">
      <c r="A1059" s="7">
        <v>2018</v>
      </c>
      <c r="B1059" s="8" t="s">
        <v>52</v>
      </c>
      <c r="C1059" s="8" t="s">
        <v>2</v>
      </c>
      <c r="D1059" s="14">
        <v>4926</v>
      </c>
      <c r="E1059" s="14">
        <v>169675</v>
      </c>
      <c r="F1059" s="15">
        <v>76139</v>
      </c>
    </row>
    <row r="1060" spans="1:6" x14ac:dyDescent="0.3">
      <c r="A1060" s="7">
        <v>2018</v>
      </c>
      <c r="B1060" s="8" t="s">
        <v>52</v>
      </c>
      <c r="C1060" s="8" t="s">
        <v>3</v>
      </c>
      <c r="D1060" s="14">
        <v>2918</v>
      </c>
      <c r="E1060" s="14">
        <v>160597</v>
      </c>
      <c r="F1060" s="15">
        <v>47984</v>
      </c>
    </row>
    <row r="1061" spans="1:6" x14ac:dyDescent="0.3">
      <c r="A1061" s="7">
        <v>2018</v>
      </c>
      <c r="B1061" s="8" t="s">
        <v>52</v>
      </c>
      <c r="C1061" s="8" t="s">
        <v>4</v>
      </c>
      <c r="D1061" s="14">
        <v>44706</v>
      </c>
      <c r="E1061" s="14">
        <v>1320068</v>
      </c>
      <c r="F1061" s="15">
        <v>95627</v>
      </c>
    </row>
    <row r="1062" spans="1:6" x14ac:dyDescent="0.3">
      <c r="A1062" s="7">
        <v>2018</v>
      </c>
      <c r="B1062" s="8" t="s">
        <v>52</v>
      </c>
      <c r="C1062" s="8" t="s">
        <v>5</v>
      </c>
      <c r="D1062" s="14">
        <v>5804</v>
      </c>
      <c r="E1062" s="14">
        <v>147285</v>
      </c>
      <c r="F1062" s="15">
        <v>70677</v>
      </c>
    </row>
    <row r="1063" spans="1:6" x14ac:dyDescent="0.3">
      <c r="A1063" s="7">
        <v>2018</v>
      </c>
      <c r="B1063" s="8" t="s">
        <v>52</v>
      </c>
      <c r="C1063" s="8" t="s">
        <v>6</v>
      </c>
      <c r="D1063" s="14">
        <v>4408</v>
      </c>
      <c r="E1063" s="14">
        <v>160500</v>
      </c>
      <c r="F1063" s="15">
        <v>82569</v>
      </c>
    </row>
    <row r="1064" spans="1:6" x14ac:dyDescent="0.3">
      <c r="A1064" s="7">
        <v>2018</v>
      </c>
      <c r="B1064" s="8" t="s">
        <v>52</v>
      </c>
      <c r="C1064" s="8" t="s">
        <v>7</v>
      </c>
      <c r="D1064" s="8">
        <v>661</v>
      </c>
      <c r="E1064" s="14">
        <v>27077</v>
      </c>
      <c r="F1064" s="15">
        <v>64153</v>
      </c>
    </row>
    <row r="1065" spans="1:6" x14ac:dyDescent="0.3">
      <c r="A1065" s="7">
        <v>2018</v>
      </c>
      <c r="B1065" s="8" t="s">
        <v>52</v>
      </c>
      <c r="C1065" s="8" t="s">
        <v>8</v>
      </c>
      <c r="D1065" s="14">
        <v>20548</v>
      </c>
      <c r="E1065" s="14">
        <v>371590</v>
      </c>
      <c r="F1065" s="15">
        <v>61740</v>
      </c>
    </row>
    <row r="1066" spans="1:6" x14ac:dyDescent="0.3">
      <c r="A1066" s="7">
        <v>2018</v>
      </c>
      <c r="B1066" s="8" t="s">
        <v>52</v>
      </c>
      <c r="C1066" s="8" t="s">
        <v>9</v>
      </c>
      <c r="D1066" s="14">
        <v>9884</v>
      </c>
      <c r="E1066" s="14">
        <v>406818</v>
      </c>
      <c r="F1066" s="15">
        <v>59168</v>
      </c>
    </row>
    <row r="1067" spans="1:6" x14ac:dyDescent="0.3">
      <c r="A1067" s="7">
        <v>2018</v>
      </c>
      <c r="B1067" s="8" t="s">
        <v>52</v>
      </c>
      <c r="C1067" s="8" t="s">
        <v>10</v>
      </c>
      <c r="D1067" s="14">
        <v>2807</v>
      </c>
      <c r="E1067" s="14">
        <v>67792</v>
      </c>
      <c r="F1067" s="15">
        <v>63932</v>
      </c>
    </row>
    <row r="1068" spans="1:6" x14ac:dyDescent="0.3">
      <c r="A1068" s="7">
        <v>2018</v>
      </c>
      <c r="B1068" s="8" t="s">
        <v>52</v>
      </c>
      <c r="C1068" s="8" t="s">
        <v>11</v>
      </c>
      <c r="D1068" s="14">
        <v>17883</v>
      </c>
      <c r="E1068" s="14">
        <v>586130</v>
      </c>
      <c r="F1068" s="15">
        <v>71895</v>
      </c>
    </row>
    <row r="1069" spans="1:6" x14ac:dyDescent="0.3">
      <c r="A1069" s="7">
        <v>2018</v>
      </c>
      <c r="B1069" s="8" t="s">
        <v>52</v>
      </c>
      <c r="C1069" s="8" t="s">
        <v>12</v>
      </c>
      <c r="D1069" s="14">
        <v>8825</v>
      </c>
      <c r="E1069" s="14">
        <v>541836</v>
      </c>
      <c r="F1069" s="15">
        <v>62680</v>
      </c>
    </row>
    <row r="1070" spans="1:6" x14ac:dyDescent="0.3">
      <c r="A1070" s="7">
        <v>2018</v>
      </c>
      <c r="B1070" s="8" t="s">
        <v>52</v>
      </c>
      <c r="C1070" s="8" t="s">
        <v>13</v>
      </c>
      <c r="D1070" s="14">
        <v>4142</v>
      </c>
      <c r="E1070" s="14">
        <v>222586</v>
      </c>
      <c r="F1070" s="15">
        <v>60257</v>
      </c>
    </row>
    <row r="1071" spans="1:6" x14ac:dyDescent="0.3">
      <c r="A1071" s="7">
        <v>2018</v>
      </c>
      <c r="B1071" s="8" t="s">
        <v>52</v>
      </c>
      <c r="C1071" s="8" t="s">
        <v>14</v>
      </c>
      <c r="D1071" s="14">
        <v>3143</v>
      </c>
      <c r="E1071" s="14">
        <v>165056</v>
      </c>
      <c r="F1071" s="15">
        <v>59206</v>
      </c>
    </row>
    <row r="1072" spans="1:6" x14ac:dyDescent="0.3">
      <c r="A1072" s="7">
        <v>2018</v>
      </c>
      <c r="B1072" s="8" t="s">
        <v>52</v>
      </c>
      <c r="C1072" s="8" t="s">
        <v>15</v>
      </c>
      <c r="D1072" s="14">
        <v>4443</v>
      </c>
      <c r="E1072" s="14">
        <v>251454</v>
      </c>
      <c r="F1072" s="15">
        <v>59208</v>
      </c>
    </row>
    <row r="1073" spans="1:6" x14ac:dyDescent="0.3">
      <c r="A1073" s="7">
        <v>2018</v>
      </c>
      <c r="B1073" s="8" t="s">
        <v>52</v>
      </c>
      <c r="C1073" s="8" t="s">
        <v>16</v>
      </c>
      <c r="D1073" s="14">
        <v>4428</v>
      </c>
      <c r="E1073" s="14">
        <v>135510</v>
      </c>
      <c r="F1073" s="15">
        <v>75881</v>
      </c>
    </row>
    <row r="1074" spans="1:6" x14ac:dyDescent="0.3">
      <c r="A1074" s="7">
        <v>2018</v>
      </c>
      <c r="B1074" s="8" t="s">
        <v>52</v>
      </c>
      <c r="C1074" s="8" t="s">
        <v>17</v>
      </c>
      <c r="D1074" s="14">
        <v>1856</v>
      </c>
      <c r="E1074" s="14">
        <v>51836</v>
      </c>
      <c r="F1074" s="15">
        <v>55894</v>
      </c>
    </row>
    <row r="1075" spans="1:6" x14ac:dyDescent="0.3">
      <c r="A1075" s="7">
        <v>2018</v>
      </c>
      <c r="B1075" s="8" t="s">
        <v>52</v>
      </c>
      <c r="C1075" s="8" t="s">
        <v>18</v>
      </c>
      <c r="D1075" s="14">
        <v>4035</v>
      </c>
      <c r="E1075" s="14">
        <v>109683</v>
      </c>
      <c r="F1075" s="15">
        <v>78350</v>
      </c>
    </row>
    <row r="1076" spans="1:6" x14ac:dyDescent="0.3">
      <c r="A1076" s="7">
        <v>2018</v>
      </c>
      <c r="B1076" s="8" t="s">
        <v>52</v>
      </c>
      <c r="C1076" s="8" t="s">
        <v>19</v>
      </c>
      <c r="D1076" s="14">
        <v>6711</v>
      </c>
      <c r="E1076" s="14">
        <v>245091</v>
      </c>
      <c r="F1076" s="15">
        <v>88576</v>
      </c>
    </row>
    <row r="1077" spans="1:6" x14ac:dyDescent="0.3">
      <c r="A1077" s="7">
        <v>2018</v>
      </c>
      <c r="B1077" s="8" t="s">
        <v>52</v>
      </c>
      <c r="C1077" s="8" t="s">
        <v>20</v>
      </c>
      <c r="D1077" s="14">
        <v>16070</v>
      </c>
      <c r="E1077" s="14">
        <v>627751</v>
      </c>
      <c r="F1077" s="15">
        <v>67537</v>
      </c>
    </row>
    <row r="1078" spans="1:6" x14ac:dyDescent="0.3">
      <c r="A1078" s="7">
        <v>2018</v>
      </c>
      <c r="B1078" s="8" t="s">
        <v>52</v>
      </c>
      <c r="C1078" s="8" t="s">
        <v>21</v>
      </c>
      <c r="D1078" s="14">
        <v>8487</v>
      </c>
      <c r="E1078" s="14">
        <v>321908</v>
      </c>
      <c r="F1078" s="15">
        <v>67096</v>
      </c>
    </row>
    <row r="1079" spans="1:6" x14ac:dyDescent="0.3">
      <c r="A1079" s="7">
        <v>2018</v>
      </c>
      <c r="B1079" s="8" t="s">
        <v>52</v>
      </c>
      <c r="C1079" s="8" t="s">
        <v>22</v>
      </c>
      <c r="D1079" s="14">
        <v>2421</v>
      </c>
      <c r="E1079" s="14">
        <v>144816</v>
      </c>
      <c r="F1079" s="15">
        <v>49254</v>
      </c>
    </row>
    <row r="1080" spans="1:6" x14ac:dyDescent="0.3">
      <c r="A1080" s="7">
        <v>2018</v>
      </c>
      <c r="B1080" s="8" t="s">
        <v>52</v>
      </c>
      <c r="C1080" s="8" t="s">
        <v>23</v>
      </c>
      <c r="D1080" s="14">
        <v>6476</v>
      </c>
      <c r="E1080" s="14">
        <v>273163</v>
      </c>
      <c r="F1080" s="15">
        <v>58359</v>
      </c>
    </row>
    <row r="1081" spans="1:6" x14ac:dyDescent="0.3">
      <c r="A1081" s="7">
        <v>2018</v>
      </c>
      <c r="B1081" s="8" t="s">
        <v>52</v>
      </c>
      <c r="C1081" s="8" t="s">
        <v>24</v>
      </c>
      <c r="D1081" s="14">
        <v>1634</v>
      </c>
      <c r="E1081" s="14">
        <v>20560</v>
      </c>
      <c r="F1081" s="15">
        <v>50194</v>
      </c>
    </row>
    <row r="1082" spans="1:6" x14ac:dyDescent="0.3">
      <c r="A1082" s="7">
        <v>2018</v>
      </c>
      <c r="B1082" s="8" t="s">
        <v>52</v>
      </c>
      <c r="C1082" s="8" t="s">
        <v>25</v>
      </c>
      <c r="D1082" s="14">
        <v>1988</v>
      </c>
      <c r="E1082" s="14">
        <v>99807</v>
      </c>
      <c r="F1082" s="15">
        <v>51566</v>
      </c>
    </row>
    <row r="1083" spans="1:6" x14ac:dyDescent="0.3">
      <c r="A1083" s="7">
        <v>2018</v>
      </c>
      <c r="B1083" s="8" t="s">
        <v>52</v>
      </c>
      <c r="C1083" s="8" t="s">
        <v>26</v>
      </c>
      <c r="D1083" s="14">
        <v>2066</v>
      </c>
      <c r="E1083" s="14">
        <v>55405</v>
      </c>
      <c r="F1083" s="15">
        <v>58543</v>
      </c>
    </row>
    <row r="1084" spans="1:6" x14ac:dyDescent="0.3">
      <c r="A1084" s="7">
        <v>2018</v>
      </c>
      <c r="B1084" s="8" t="s">
        <v>52</v>
      </c>
      <c r="C1084" s="8" t="s">
        <v>27</v>
      </c>
      <c r="D1084" s="14">
        <v>2032</v>
      </c>
      <c r="E1084" s="14">
        <v>70582</v>
      </c>
      <c r="F1084" s="15">
        <v>71722</v>
      </c>
    </row>
    <row r="1085" spans="1:6" x14ac:dyDescent="0.3">
      <c r="A1085" s="7">
        <v>2018</v>
      </c>
      <c r="B1085" s="8" t="s">
        <v>52</v>
      </c>
      <c r="C1085" s="8" t="s">
        <v>28</v>
      </c>
      <c r="D1085" s="14">
        <v>8976</v>
      </c>
      <c r="E1085" s="14">
        <v>245593</v>
      </c>
      <c r="F1085" s="15">
        <v>80088</v>
      </c>
    </row>
    <row r="1086" spans="1:6" x14ac:dyDescent="0.3">
      <c r="A1086" s="7">
        <v>2018</v>
      </c>
      <c r="B1086" s="8" t="s">
        <v>52</v>
      </c>
      <c r="C1086" s="8" t="s">
        <v>29</v>
      </c>
      <c r="D1086" s="14">
        <v>1768</v>
      </c>
      <c r="E1086" s="14">
        <v>27145</v>
      </c>
      <c r="F1086" s="15">
        <v>53139</v>
      </c>
    </row>
    <row r="1087" spans="1:6" x14ac:dyDescent="0.3">
      <c r="A1087" s="7">
        <v>2018</v>
      </c>
      <c r="B1087" s="8" t="s">
        <v>52</v>
      </c>
      <c r="C1087" s="8" t="s">
        <v>30</v>
      </c>
      <c r="D1087" s="14">
        <v>16910</v>
      </c>
      <c r="E1087" s="14">
        <v>441590</v>
      </c>
      <c r="F1087" s="15">
        <v>67614</v>
      </c>
    </row>
    <row r="1088" spans="1:6" x14ac:dyDescent="0.3">
      <c r="A1088" s="7">
        <v>2018</v>
      </c>
      <c r="B1088" s="8" t="s">
        <v>52</v>
      </c>
      <c r="C1088" s="8" t="s">
        <v>31</v>
      </c>
      <c r="D1088" s="14">
        <v>10219</v>
      </c>
      <c r="E1088" s="14">
        <v>474932</v>
      </c>
      <c r="F1088" s="15">
        <v>59827</v>
      </c>
    </row>
    <row r="1089" spans="1:6" x14ac:dyDescent="0.3">
      <c r="A1089" s="7">
        <v>2018</v>
      </c>
      <c r="B1089" s="8" t="s">
        <v>52</v>
      </c>
      <c r="C1089" s="8" t="s">
        <v>32</v>
      </c>
      <c r="D1089" s="8">
        <v>807</v>
      </c>
      <c r="E1089" s="14">
        <v>25906</v>
      </c>
      <c r="F1089" s="15">
        <v>53882</v>
      </c>
    </row>
    <row r="1090" spans="1:6" x14ac:dyDescent="0.3">
      <c r="A1090" s="7">
        <v>2018</v>
      </c>
      <c r="B1090" s="8" t="s">
        <v>52</v>
      </c>
      <c r="C1090" s="8" t="s">
        <v>33</v>
      </c>
      <c r="D1090" s="14">
        <v>15409</v>
      </c>
      <c r="E1090" s="14">
        <v>698950</v>
      </c>
      <c r="F1090" s="15">
        <v>61487</v>
      </c>
    </row>
    <row r="1091" spans="1:6" x14ac:dyDescent="0.3">
      <c r="A1091" s="7">
        <v>2018</v>
      </c>
      <c r="B1091" s="8" t="s">
        <v>52</v>
      </c>
      <c r="C1091" s="8" t="s">
        <v>34</v>
      </c>
      <c r="D1091" s="14">
        <v>4164</v>
      </c>
      <c r="E1091" s="14">
        <v>137739</v>
      </c>
      <c r="F1091" s="15">
        <v>58770</v>
      </c>
    </row>
    <row r="1092" spans="1:6" x14ac:dyDescent="0.3">
      <c r="A1092" s="7">
        <v>2018</v>
      </c>
      <c r="B1092" s="8" t="s">
        <v>52</v>
      </c>
      <c r="C1092" s="8" t="s">
        <v>35</v>
      </c>
      <c r="D1092" s="14">
        <v>6240</v>
      </c>
      <c r="E1092" s="14">
        <v>194693</v>
      </c>
      <c r="F1092" s="15">
        <v>70641</v>
      </c>
    </row>
    <row r="1093" spans="1:6" x14ac:dyDescent="0.3">
      <c r="A1093" s="7">
        <v>2018</v>
      </c>
      <c r="B1093" s="8" t="s">
        <v>52</v>
      </c>
      <c r="C1093" s="8" t="s">
        <v>36</v>
      </c>
      <c r="D1093" s="14">
        <v>14407</v>
      </c>
      <c r="E1093" s="14">
        <v>569811</v>
      </c>
      <c r="F1093" s="15">
        <v>62561</v>
      </c>
    </row>
    <row r="1094" spans="1:6" x14ac:dyDescent="0.3">
      <c r="A1094" s="7">
        <v>2018</v>
      </c>
      <c r="B1094" s="8" t="s">
        <v>52</v>
      </c>
      <c r="C1094" s="8" t="s">
        <v>37</v>
      </c>
      <c r="D1094" s="14">
        <v>1572</v>
      </c>
      <c r="E1094" s="14">
        <v>40340</v>
      </c>
      <c r="F1094" s="15">
        <v>58468</v>
      </c>
    </row>
    <row r="1095" spans="1:6" x14ac:dyDescent="0.3">
      <c r="A1095" s="7">
        <v>2018</v>
      </c>
      <c r="B1095" s="8" t="s">
        <v>52</v>
      </c>
      <c r="C1095" s="8" t="s">
        <v>38</v>
      </c>
      <c r="D1095" s="14">
        <v>6087</v>
      </c>
      <c r="E1095" s="14">
        <v>249719</v>
      </c>
      <c r="F1095" s="15">
        <v>59522</v>
      </c>
    </row>
    <row r="1096" spans="1:6" x14ac:dyDescent="0.3">
      <c r="A1096" s="7">
        <v>2018</v>
      </c>
      <c r="B1096" s="8" t="s">
        <v>52</v>
      </c>
      <c r="C1096" s="8" t="s">
        <v>39</v>
      </c>
      <c r="D1096" s="14">
        <v>1084</v>
      </c>
      <c r="E1096" s="14">
        <v>44442</v>
      </c>
      <c r="F1096" s="15">
        <v>49320</v>
      </c>
    </row>
    <row r="1097" spans="1:6" x14ac:dyDescent="0.3">
      <c r="A1097" s="7">
        <v>2018</v>
      </c>
      <c r="B1097" s="8" t="s">
        <v>52</v>
      </c>
      <c r="C1097" s="8" t="s">
        <v>40</v>
      </c>
      <c r="D1097" s="14">
        <v>7051</v>
      </c>
      <c r="E1097" s="14">
        <v>351073</v>
      </c>
      <c r="F1097" s="15">
        <v>59495</v>
      </c>
    </row>
    <row r="1098" spans="1:6" x14ac:dyDescent="0.3">
      <c r="A1098" s="7">
        <v>2018</v>
      </c>
      <c r="B1098" s="8" t="s">
        <v>52</v>
      </c>
      <c r="C1098" s="8" t="s">
        <v>41</v>
      </c>
      <c r="D1098" s="14">
        <v>24758</v>
      </c>
      <c r="E1098" s="14">
        <v>879509</v>
      </c>
      <c r="F1098" s="15">
        <v>77648</v>
      </c>
    </row>
    <row r="1099" spans="1:6" x14ac:dyDescent="0.3">
      <c r="A1099" s="7">
        <v>2018</v>
      </c>
      <c r="B1099" s="8" t="s">
        <v>52</v>
      </c>
      <c r="C1099" s="8" t="s">
        <v>42</v>
      </c>
      <c r="D1099" s="14">
        <v>4386</v>
      </c>
      <c r="E1099" s="14">
        <v>132149</v>
      </c>
      <c r="F1099" s="15">
        <v>58006</v>
      </c>
    </row>
    <row r="1100" spans="1:6" x14ac:dyDescent="0.3">
      <c r="A1100" s="7">
        <v>2018</v>
      </c>
      <c r="B1100" s="8" t="s">
        <v>52</v>
      </c>
      <c r="C1100" s="8" t="s">
        <v>43</v>
      </c>
      <c r="D1100" s="14">
        <v>1108</v>
      </c>
      <c r="E1100" s="14">
        <v>29827</v>
      </c>
      <c r="F1100" s="15">
        <v>59390</v>
      </c>
    </row>
    <row r="1101" spans="1:6" x14ac:dyDescent="0.3">
      <c r="A1101" s="7">
        <v>2018</v>
      </c>
      <c r="B1101" s="8" t="s">
        <v>52</v>
      </c>
      <c r="C1101" s="8" t="s">
        <v>44</v>
      </c>
      <c r="D1101" s="14">
        <v>6750</v>
      </c>
      <c r="E1101" s="14">
        <v>238645</v>
      </c>
      <c r="F1101" s="15">
        <v>59974</v>
      </c>
    </row>
    <row r="1102" spans="1:6" x14ac:dyDescent="0.3">
      <c r="A1102" s="7">
        <v>2018</v>
      </c>
      <c r="B1102" s="8" t="s">
        <v>52</v>
      </c>
      <c r="C1102" s="8" t="s">
        <v>45</v>
      </c>
      <c r="D1102" s="14">
        <v>7798</v>
      </c>
      <c r="E1102" s="14">
        <v>284112</v>
      </c>
      <c r="F1102" s="15">
        <v>79321</v>
      </c>
    </row>
    <row r="1103" spans="1:6" x14ac:dyDescent="0.3">
      <c r="A1103" s="7">
        <v>2018</v>
      </c>
      <c r="B1103" s="8" t="s">
        <v>52</v>
      </c>
      <c r="C1103" s="8" t="s">
        <v>46</v>
      </c>
      <c r="D1103" s="14">
        <v>1268</v>
      </c>
      <c r="E1103" s="14">
        <v>46952</v>
      </c>
      <c r="F1103" s="15">
        <v>60459</v>
      </c>
    </row>
    <row r="1104" spans="1:6" x14ac:dyDescent="0.3">
      <c r="A1104" s="7">
        <v>2018</v>
      </c>
      <c r="B1104" s="8" t="s">
        <v>52</v>
      </c>
      <c r="C1104" s="8" t="s">
        <v>47</v>
      </c>
      <c r="D1104" s="14">
        <v>9432</v>
      </c>
      <c r="E1104" s="14">
        <v>475510</v>
      </c>
      <c r="F1104" s="15">
        <v>58047</v>
      </c>
    </row>
    <row r="1105" spans="1:6" x14ac:dyDescent="0.3">
      <c r="A1105" s="7">
        <v>2018</v>
      </c>
      <c r="B1105" s="8" t="s">
        <v>52</v>
      </c>
      <c r="C1105" s="8" t="s">
        <v>48</v>
      </c>
      <c r="D1105" s="8">
        <v>600</v>
      </c>
      <c r="E1105" s="14">
        <v>9721</v>
      </c>
      <c r="F1105" s="15">
        <v>67060</v>
      </c>
    </row>
    <row r="1106" spans="1:6" x14ac:dyDescent="0.3">
      <c r="A1106" s="7">
        <v>2018</v>
      </c>
      <c r="B1106" s="8" t="s">
        <v>54</v>
      </c>
      <c r="C1106" s="8" t="s">
        <v>1</v>
      </c>
      <c r="D1106" s="14">
        <v>32481</v>
      </c>
      <c r="E1106" s="14">
        <v>377561</v>
      </c>
      <c r="F1106" s="15">
        <v>41970</v>
      </c>
    </row>
    <row r="1107" spans="1:6" x14ac:dyDescent="0.3">
      <c r="A1107" s="7">
        <v>2018</v>
      </c>
      <c r="B1107" s="8" t="s">
        <v>54</v>
      </c>
      <c r="C1107" s="8" t="s">
        <v>2</v>
      </c>
      <c r="D1107" s="14">
        <v>31775</v>
      </c>
      <c r="E1107" s="14">
        <v>532318</v>
      </c>
      <c r="F1107" s="15">
        <v>46734</v>
      </c>
    </row>
    <row r="1108" spans="1:6" x14ac:dyDescent="0.3">
      <c r="A1108" s="7">
        <v>2018</v>
      </c>
      <c r="B1108" s="8" t="s">
        <v>54</v>
      </c>
      <c r="C1108" s="8" t="s">
        <v>3</v>
      </c>
      <c r="D1108" s="14">
        <v>21642</v>
      </c>
      <c r="E1108" s="14">
        <v>248584</v>
      </c>
      <c r="F1108" s="15">
        <v>41450</v>
      </c>
    </row>
    <row r="1109" spans="1:6" x14ac:dyDescent="0.3">
      <c r="A1109" s="7">
        <v>2018</v>
      </c>
      <c r="B1109" s="8" t="s">
        <v>54</v>
      </c>
      <c r="C1109" s="8" t="s">
        <v>4</v>
      </c>
      <c r="D1109" s="14">
        <v>196511</v>
      </c>
      <c r="E1109" s="14">
        <v>3033009</v>
      </c>
      <c r="F1109" s="15">
        <v>52020</v>
      </c>
    </row>
    <row r="1110" spans="1:6" x14ac:dyDescent="0.3">
      <c r="A1110" s="7">
        <v>2018</v>
      </c>
      <c r="B1110" s="8" t="s">
        <v>54</v>
      </c>
      <c r="C1110" s="8" t="s">
        <v>5</v>
      </c>
      <c r="D1110" s="14">
        <v>35891</v>
      </c>
      <c r="E1110" s="14">
        <v>466602</v>
      </c>
      <c r="F1110" s="15">
        <v>50043</v>
      </c>
    </row>
    <row r="1111" spans="1:6" x14ac:dyDescent="0.3">
      <c r="A1111" s="7">
        <v>2018</v>
      </c>
      <c r="B1111" s="8" t="s">
        <v>54</v>
      </c>
      <c r="C1111" s="8" t="s">
        <v>6</v>
      </c>
      <c r="D1111" s="14">
        <v>24902</v>
      </c>
      <c r="E1111" s="14">
        <v>296173</v>
      </c>
      <c r="F1111" s="15">
        <v>51041</v>
      </c>
    </row>
    <row r="1112" spans="1:6" x14ac:dyDescent="0.3">
      <c r="A1112" s="7">
        <v>2018</v>
      </c>
      <c r="B1112" s="8" t="s">
        <v>54</v>
      </c>
      <c r="C1112" s="8" t="s">
        <v>7</v>
      </c>
      <c r="D1112" s="14">
        <v>6850</v>
      </c>
      <c r="E1112" s="14">
        <v>79300</v>
      </c>
      <c r="F1112" s="15">
        <v>40843</v>
      </c>
    </row>
    <row r="1113" spans="1:6" x14ac:dyDescent="0.3">
      <c r="A1113" s="7">
        <v>2018</v>
      </c>
      <c r="B1113" s="8" t="s">
        <v>54</v>
      </c>
      <c r="C1113" s="8" t="s">
        <v>8</v>
      </c>
      <c r="D1113" s="14">
        <v>139486</v>
      </c>
      <c r="E1113" s="14">
        <v>1772605</v>
      </c>
      <c r="F1113" s="15">
        <v>44766</v>
      </c>
    </row>
    <row r="1114" spans="1:6" x14ac:dyDescent="0.3">
      <c r="A1114" s="7">
        <v>2018</v>
      </c>
      <c r="B1114" s="8" t="s">
        <v>54</v>
      </c>
      <c r="C1114" s="8" t="s">
        <v>9</v>
      </c>
      <c r="D1114" s="14">
        <v>60996</v>
      </c>
      <c r="E1114" s="14">
        <v>934259</v>
      </c>
      <c r="F1114" s="15">
        <v>49352</v>
      </c>
    </row>
    <row r="1115" spans="1:6" x14ac:dyDescent="0.3">
      <c r="A1115" s="7">
        <v>2018</v>
      </c>
      <c r="B1115" s="8" t="s">
        <v>54</v>
      </c>
      <c r="C1115" s="8" t="s">
        <v>10</v>
      </c>
      <c r="D1115" s="14">
        <v>11969</v>
      </c>
      <c r="E1115" s="14">
        <v>139473</v>
      </c>
      <c r="F1115" s="15">
        <v>39972</v>
      </c>
    </row>
    <row r="1116" spans="1:6" x14ac:dyDescent="0.3">
      <c r="A1116" s="7">
        <v>2018</v>
      </c>
      <c r="B1116" s="8" t="s">
        <v>54</v>
      </c>
      <c r="C1116" s="8" t="s">
        <v>11</v>
      </c>
      <c r="D1116" s="14">
        <v>78063</v>
      </c>
      <c r="E1116" s="14">
        <v>1192654</v>
      </c>
      <c r="F1116" s="15">
        <v>51570</v>
      </c>
    </row>
    <row r="1117" spans="1:6" x14ac:dyDescent="0.3">
      <c r="A1117" s="7">
        <v>2018</v>
      </c>
      <c r="B1117" s="8" t="s">
        <v>54</v>
      </c>
      <c r="C1117" s="8" t="s">
        <v>12</v>
      </c>
      <c r="D1117" s="14">
        <v>40681</v>
      </c>
      <c r="E1117" s="14">
        <v>591234</v>
      </c>
      <c r="F1117" s="15">
        <v>42092</v>
      </c>
    </row>
    <row r="1118" spans="1:6" x14ac:dyDescent="0.3">
      <c r="A1118" s="7">
        <v>2018</v>
      </c>
      <c r="B1118" s="8" t="s">
        <v>54</v>
      </c>
      <c r="C1118" s="8" t="s">
        <v>13</v>
      </c>
      <c r="D1118" s="14">
        <v>23521</v>
      </c>
      <c r="E1118" s="14">
        <v>309603</v>
      </c>
      <c r="F1118" s="15">
        <v>40539</v>
      </c>
    </row>
    <row r="1119" spans="1:6" x14ac:dyDescent="0.3">
      <c r="A1119" s="7">
        <v>2018</v>
      </c>
      <c r="B1119" s="8" t="s">
        <v>54</v>
      </c>
      <c r="C1119" s="8" t="s">
        <v>14</v>
      </c>
      <c r="D1119" s="14">
        <v>20370</v>
      </c>
      <c r="E1119" s="14">
        <v>263858</v>
      </c>
      <c r="F1119" s="15">
        <v>42235</v>
      </c>
    </row>
    <row r="1120" spans="1:6" x14ac:dyDescent="0.3">
      <c r="A1120" s="7">
        <v>2018</v>
      </c>
      <c r="B1120" s="8" t="s">
        <v>54</v>
      </c>
      <c r="C1120" s="8" t="s">
        <v>15</v>
      </c>
      <c r="D1120" s="14">
        <v>28056</v>
      </c>
      <c r="E1120" s="14">
        <v>399946</v>
      </c>
      <c r="F1120" s="15">
        <v>42623</v>
      </c>
    </row>
    <row r="1121" spans="1:6" x14ac:dyDescent="0.3">
      <c r="A1121" s="7">
        <v>2018</v>
      </c>
      <c r="B1121" s="8" t="s">
        <v>54</v>
      </c>
      <c r="C1121" s="8" t="s">
        <v>16</v>
      </c>
      <c r="D1121" s="14">
        <v>30545</v>
      </c>
      <c r="E1121" s="14">
        <v>377555</v>
      </c>
      <c r="F1121" s="15">
        <v>42196</v>
      </c>
    </row>
    <row r="1122" spans="1:6" x14ac:dyDescent="0.3">
      <c r="A1122" s="7">
        <v>2018</v>
      </c>
      <c r="B1122" s="8" t="s">
        <v>54</v>
      </c>
      <c r="C1122" s="8" t="s">
        <v>17</v>
      </c>
      <c r="D1122" s="14">
        <v>10761</v>
      </c>
      <c r="E1122" s="14">
        <v>118191</v>
      </c>
      <c r="F1122" s="15">
        <v>37589</v>
      </c>
    </row>
    <row r="1123" spans="1:6" x14ac:dyDescent="0.3">
      <c r="A1123" s="7">
        <v>2018</v>
      </c>
      <c r="B1123" s="8" t="s">
        <v>54</v>
      </c>
      <c r="C1123" s="8" t="s">
        <v>18</v>
      </c>
      <c r="D1123" s="14">
        <v>32767</v>
      </c>
      <c r="E1123" s="14">
        <v>462590</v>
      </c>
      <c r="F1123" s="15">
        <v>46648</v>
      </c>
    </row>
    <row r="1124" spans="1:6" x14ac:dyDescent="0.3">
      <c r="A1124" s="7">
        <v>2018</v>
      </c>
      <c r="B1124" s="8" t="s">
        <v>54</v>
      </c>
      <c r="C1124" s="8" t="s">
        <v>19</v>
      </c>
      <c r="D1124" s="14">
        <v>42171</v>
      </c>
      <c r="E1124" s="14">
        <v>577061</v>
      </c>
      <c r="F1124" s="15">
        <v>52937</v>
      </c>
    </row>
    <row r="1125" spans="1:6" x14ac:dyDescent="0.3">
      <c r="A1125" s="7">
        <v>2018</v>
      </c>
      <c r="B1125" s="8" t="s">
        <v>54</v>
      </c>
      <c r="C1125" s="8" t="s">
        <v>20</v>
      </c>
      <c r="D1125" s="14">
        <v>52459</v>
      </c>
      <c r="E1125" s="14">
        <v>786892</v>
      </c>
      <c r="F1125" s="15">
        <v>47200</v>
      </c>
    </row>
    <row r="1126" spans="1:6" x14ac:dyDescent="0.3">
      <c r="A1126" s="7">
        <v>2018</v>
      </c>
      <c r="B1126" s="8" t="s">
        <v>54</v>
      </c>
      <c r="C1126" s="8" t="s">
        <v>21</v>
      </c>
      <c r="D1126" s="14">
        <v>37272</v>
      </c>
      <c r="E1126" s="14">
        <v>531669</v>
      </c>
      <c r="F1126" s="15">
        <v>49570</v>
      </c>
    </row>
    <row r="1127" spans="1:6" x14ac:dyDescent="0.3">
      <c r="A1127" s="7">
        <v>2018</v>
      </c>
      <c r="B1127" s="8" t="s">
        <v>54</v>
      </c>
      <c r="C1127" s="8" t="s">
        <v>22</v>
      </c>
      <c r="D1127" s="14">
        <v>19763</v>
      </c>
      <c r="E1127" s="14">
        <v>229107</v>
      </c>
      <c r="F1127" s="15">
        <v>36497</v>
      </c>
    </row>
    <row r="1128" spans="1:6" x14ac:dyDescent="0.3">
      <c r="A1128" s="7">
        <v>2018</v>
      </c>
      <c r="B1128" s="8" t="s">
        <v>54</v>
      </c>
      <c r="C1128" s="8" t="s">
        <v>23</v>
      </c>
      <c r="D1128" s="14">
        <v>38808</v>
      </c>
      <c r="E1128" s="14">
        <v>537150</v>
      </c>
      <c r="F1128" s="15">
        <v>42469</v>
      </c>
    </row>
    <row r="1129" spans="1:6" x14ac:dyDescent="0.3">
      <c r="A1129" s="7">
        <v>2018</v>
      </c>
      <c r="B1129" s="8" t="s">
        <v>54</v>
      </c>
      <c r="C1129" s="8" t="s">
        <v>24</v>
      </c>
      <c r="D1129" s="14">
        <v>9250</v>
      </c>
      <c r="E1129" s="14">
        <v>91355</v>
      </c>
      <c r="F1129" s="15">
        <v>39170</v>
      </c>
    </row>
    <row r="1130" spans="1:6" x14ac:dyDescent="0.3">
      <c r="A1130" s="7">
        <v>2018</v>
      </c>
      <c r="B1130" s="8" t="s">
        <v>54</v>
      </c>
      <c r="C1130" s="8" t="s">
        <v>25</v>
      </c>
      <c r="D1130" s="14">
        <v>14923</v>
      </c>
      <c r="E1130" s="14">
        <v>189793</v>
      </c>
      <c r="F1130" s="15">
        <v>39891</v>
      </c>
    </row>
    <row r="1131" spans="1:6" x14ac:dyDescent="0.3">
      <c r="A1131" s="7">
        <v>2018</v>
      </c>
      <c r="B1131" s="8" t="s">
        <v>54</v>
      </c>
      <c r="C1131" s="8" t="s">
        <v>26</v>
      </c>
      <c r="D1131" s="14">
        <v>15829</v>
      </c>
      <c r="E1131" s="14">
        <v>254417</v>
      </c>
      <c r="F1131" s="15">
        <v>44190</v>
      </c>
    </row>
    <row r="1132" spans="1:6" x14ac:dyDescent="0.3">
      <c r="A1132" s="7">
        <v>2018</v>
      </c>
      <c r="B1132" s="8" t="s">
        <v>54</v>
      </c>
      <c r="C1132" s="8" t="s">
        <v>27</v>
      </c>
      <c r="D1132" s="14">
        <v>12509</v>
      </c>
      <c r="E1132" s="14">
        <v>139183</v>
      </c>
      <c r="F1132" s="15">
        <v>47777</v>
      </c>
    </row>
    <row r="1133" spans="1:6" x14ac:dyDescent="0.3">
      <c r="A1133" s="7">
        <v>2018</v>
      </c>
      <c r="B1133" s="8" t="s">
        <v>54</v>
      </c>
      <c r="C1133" s="8" t="s">
        <v>28</v>
      </c>
      <c r="D1133" s="14">
        <v>54238</v>
      </c>
      <c r="E1133" s="14">
        <v>876344</v>
      </c>
      <c r="F1133" s="15">
        <v>53723</v>
      </c>
    </row>
    <row r="1134" spans="1:6" x14ac:dyDescent="0.3">
      <c r="A1134" s="7">
        <v>2018</v>
      </c>
      <c r="B1134" s="8" t="s">
        <v>54</v>
      </c>
      <c r="C1134" s="8" t="s">
        <v>29</v>
      </c>
      <c r="D1134" s="14">
        <v>10758</v>
      </c>
      <c r="E1134" s="14">
        <v>135970</v>
      </c>
      <c r="F1134" s="15">
        <v>38078</v>
      </c>
    </row>
    <row r="1135" spans="1:6" x14ac:dyDescent="0.3">
      <c r="A1135" s="7">
        <v>2018</v>
      </c>
      <c r="B1135" s="8" t="s">
        <v>54</v>
      </c>
      <c r="C1135" s="8" t="s">
        <v>30</v>
      </c>
      <c r="D1135" s="14">
        <v>123741</v>
      </c>
      <c r="E1135" s="14">
        <v>1554768</v>
      </c>
      <c r="F1135" s="15">
        <v>51832</v>
      </c>
    </row>
    <row r="1136" spans="1:6" x14ac:dyDescent="0.3">
      <c r="A1136" s="7">
        <v>2018</v>
      </c>
      <c r="B1136" s="8" t="s">
        <v>54</v>
      </c>
      <c r="C1136" s="8" t="s">
        <v>31</v>
      </c>
      <c r="D1136" s="14">
        <v>61525</v>
      </c>
      <c r="E1136" s="14">
        <v>830550</v>
      </c>
      <c r="F1136" s="15">
        <v>43092</v>
      </c>
    </row>
    <row r="1137" spans="1:6" x14ac:dyDescent="0.3">
      <c r="A1137" s="7">
        <v>2018</v>
      </c>
      <c r="B1137" s="8" t="s">
        <v>54</v>
      </c>
      <c r="C1137" s="8" t="s">
        <v>32</v>
      </c>
      <c r="D1137" s="14">
        <v>7753</v>
      </c>
      <c r="E1137" s="14">
        <v>91635</v>
      </c>
      <c r="F1137" s="15">
        <v>49819</v>
      </c>
    </row>
    <row r="1138" spans="1:6" x14ac:dyDescent="0.3">
      <c r="A1138" s="7">
        <v>2018</v>
      </c>
      <c r="B1138" s="8" t="s">
        <v>54</v>
      </c>
      <c r="C1138" s="8" t="s">
        <v>33</v>
      </c>
      <c r="D1138" s="14">
        <v>68615</v>
      </c>
      <c r="E1138" s="14">
        <v>1017249</v>
      </c>
      <c r="F1138" s="15">
        <v>44247</v>
      </c>
    </row>
    <row r="1139" spans="1:6" x14ac:dyDescent="0.3">
      <c r="A1139" s="7">
        <v>2018</v>
      </c>
      <c r="B1139" s="8" t="s">
        <v>54</v>
      </c>
      <c r="C1139" s="8" t="s">
        <v>34</v>
      </c>
      <c r="D1139" s="14">
        <v>23748</v>
      </c>
      <c r="E1139" s="14">
        <v>297631</v>
      </c>
      <c r="F1139" s="15">
        <v>41554</v>
      </c>
    </row>
    <row r="1140" spans="1:6" x14ac:dyDescent="0.3">
      <c r="A1140" s="7">
        <v>2018</v>
      </c>
      <c r="B1140" s="8" t="s">
        <v>54</v>
      </c>
      <c r="C1140" s="8" t="s">
        <v>35</v>
      </c>
      <c r="D1140" s="14">
        <v>26503</v>
      </c>
      <c r="E1140" s="14">
        <v>349656</v>
      </c>
      <c r="F1140" s="15">
        <v>44347</v>
      </c>
    </row>
    <row r="1141" spans="1:6" x14ac:dyDescent="0.3">
      <c r="A1141" s="7">
        <v>2018</v>
      </c>
      <c r="B1141" s="8" t="s">
        <v>54</v>
      </c>
      <c r="C1141" s="8" t="s">
        <v>36</v>
      </c>
      <c r="D1141" s="14">
        <v>74845</v>
      </c>
      <c r="E1141" s="14">
        <v>1117054</v>
      </c>
      <c r="F1141" s="15">
        <v>45000</v>
      </c>
    </row>
    <row r="1142" spans="1:6" x14ac:dyDescent="0.3">
      <c r="A1142" s="7">
        <v>2018</v>
      </c>
      <c r="B1142" s="8" t="s">
        <v>54</v>
      </c>
      <c r="C1142" s="8" t="s">
        <v>37</v>
      </c>
      <c r="D1142" s="14">
        <v>7658</v>
      </c>
      <c r="E1142" s="14">
        <v>76762</v>
      </c>
      <c r="F1142" s="15">
        <v>43902</v>
      </c>
    </row>
    <row r="1143" spans="1:6" x14ac:dyDescent="0.3">
      <c r="A1143" s="7">
        <v>2018</v>
      </c>
      <c r="B1143" s="8" t="s">
        <v>54</v>
      </c>
      <c r="C1143" s="8" t="s">
        <v>38</v>
      </c>
      <c r="D1143" s="14">
        <v>30013</v>
      </c>
      <c r="E1143" s="14">
        <v>402308</v>
      </c>
      <c r="F1143" s="15">
        <v>39429</v>
      </c>
    </row>
    <row r="1144" spans="1:6" x14ac:dyDescent="0.3">
      <c r="A1144" s="7">
        <v>2018</v>
      </c>
      <c r="B1144" s="8" t="s">
        <v>54</v>
      </c>
      <c r="C1144" s="8" t="s">
        <v>39</v>
      </c>
      <c r="D1144" s="14">
        <v>8059</v>
      </c>
      <c r="E1144" s="14">
        <v>85734</v>
      </c>
      <c r="F1144" s="15">
        <v>39650</v>
      </c>
    </row>
    <row r="1145" spans="1:6" x14ac:dyDescent="0.3">
      <c r="A1145" s="7">
        <v>2018</v>
      </c>
      <c r="B1145" s="8" t="s">
        <v>54</v>
      </c>
      <c r="C1145" s="8" t="s">
        <v>40</v>
      </c>
      <c r="D1145" s="14">
        <v>40040</v>
      </c>
      <c r="E1145" s="14">
        <v>623566</v>
      </c>
      <c r="F1145" s="15">
        <v>46137</v>
      </c>
    </row>
    <row r="1146" spans="1:6" x14ac:dyDescent="0.3">
      <c r="A1146" s="7">
        <v>2018</v>
      </c>
      <c r="B1146" s="8" t="s">
        <v>54</v>
      </c>
      <c r="C1146" s="8" t="s">
        <v>41</v>
      </c>
      <c r="D1146" s="14">
        <v>147447</v>
      </c>
      <c r="E1146" s="14">
        <v>2465009</v>
      </c>
      <c r="F1146" s="15">
        <v>52337</v>
      </c>
    </row>
    <row r="1147" spans="1:6" x14ac:dyDescent="0.3">
      <c r="A1147" s="7">
        <v>2018</v>
      </c>
      <c r="B1147" s="8" t="s">
        <v>54</v>
      </c>
      <c r="C1147" s="8" t="s">
        <v>42</v>
      </c>
      <c r="D1147" s="14">
        <v>19531</v>
      </c>
      <c r="E1147" s="14">
        <v>284283</v>
      </c>
      <c r="F1147" s="15">
        <v>44163</v>
      </c>
    </row>
    <row r="1148" spans="1:6" x14ac:dyDescent="0.3">
      <c r="A1148" s="7">
        <v>2018</v>
      </c>
      <c r="B1148" s="8" t="s">
        <v>54</v>
      </c>
      <c r="C1148" s="8" t="s">
        <v>43</v>
      </c>
      <c r="D1148" s="14">
        <v>5084</v>
      </c>
      <c r="E1148" s="14">
        <v>54476</v>
      </c>
      <c r="F1148" s="15">
        <v>40351</v>
      </c>
    </row>
    <row r="1149" spans="1:6" x14ac:dyDescent="0.3">
      <c r="A1149" s="7">
        <v>2018</v>
      </c>
      <c r="B1149" s="8" t="s">
        <v>54</v>
      </c>
      <c r="C1149" s="8" t="s">
        <v>44</v>
      </c>
      <c r="D1149" s="14">
        <v>43180</v>
      </c>
      <c r="E1149" s="14">
        <v>650233</v>
      </c>
      <c r="F1149" s="15">
        <v>43886</v>
      </c>
    </row>
    <row r="1150" spans="1:6" x14ac:dyDescent="0.3">
      <c r="A1150" s="7">
        <v>2018</v>
      </c>
      <c r="B1150" s="8" t="s">
        <v>54</v>
      </c>
      <c r="C1150" s="8" t="s">
        <v>45</v>
      </c>
      <c r="D1150" s="14">
        <v>39324</v>
      </c>
      <c r="E1150" s="14">
        <v>621384</v>
      </c>
      <c r="F1150" s="15">
        <v>63994</v>
      </c>
    </row>
    <row r="1151" spans="1:6" x14ac:dyDescent="0.3">
      <c r="A1151" s="7">
        <v>2018</v>
      </c>
      <c r="B1151" s="8" t="s">
        <v>54</v>
      </c>
      <c r="C1151" s="8" t="s">
        <v>46</v>
      </c>
      <c r="D1151" s="14">
        <v>10925</v>
      </c>
      <c r="E1151" s="14">
        <v>128211</v>
      </c>
      <c r="F1151" s="15">
        <v>38698</v>
      </c>
    </row>
    <row r="1152" spans="1:6" x14ac:dyDescent="0.3">
      <c r="A1152" s="7">
        <v>2018</v>
      </c>
      <c r="B1152" s="8" t="s">
        <v>54</v>
      </c>
      <c r="C1152" s="8" t="s">
        <v>47</v>
      </c>
      <c r="D1152" s="14">
        <v>36496</v>
      </c>
      <c r="E1152" s="14">
        <v>541333</v>
      </c>
      <c r="F1152" s="15">
        <v>41512</v>
      </c>
    </row>
    <row r="1153" spans="1:6" x14ac:dyDescent="0.3">
      <c r="A1153" s="7">
        <v>2018</v>
      </c>
      <c r="B1153" s="8" t="s">
        <v>54</v>
      </c>
      <c r="C1153" s="8" t="s">
        <v>48</v>
      </c>
      <c r="D1153" s="14">
        <v>4830</v>
      </c>
      <c r="E1153" s="14">
        <v>49819</v>
      </c>
      <c r="F1153" s="15">
        <v>42737</v>
      </c>
    </row>
    <row r="1154" spans="1:6" x14ac:dyDescent="0.3">
      <c r="A1154" s="7">
        <v>2018</v>
      </c>
      <c r="B1154" s="8" t="s">
        <v>53</v>
      </c>
      <c r="C1154" s="8" t="s">
        <v>1</v>
      </c>
      <c r="D1154" s="14">
        <v>2168</v>
      </c>
      <c r="E1154" s="14">
        <v>21030</v>
      </c>
      <c r="F1154" s="15">
        <v>60025</v>
      </c>
    </row>
    <row r="1155" spans="1:6" x14ac:dyDescent="0.3">
      <c r="A1155" s="7">
        <v>2018</v>
      </c>
      <c r="B1155" s="8" t="s">
        <v>53</v>
      </c>
      <c r="C1155" s="8" t="s">
        <v>2</v>
      </c>
      <c r="D1155" s="14">
        <v>3113</v>
      </c>
      <c r="E1155" s="14">
        <v>47340</v>
      </c>
      <c r="F1155" s="15">
        <v>75499</v>
      </c>
    </row>
    <row r="1156" spans="1:6" x14ac:dyDescent="0.3">
      <c r="A1156" s="7">
        <v>2018</v>
      </c>
      <c r="B1156" s="8" t="s">
        <v>53</v>
      </c>
      <c r="C1156" s="8" t="s">
        <v>3</v>
      </c>
      <c r="D1156" s="14">
        <v>1210</v>
      </c>
      <c r="E1156" s="14">
        <v>10913</v>
      </c>
      <c r="F1156" s="15">
        <v>53828</v>
      </c>
    </row>
    <row r="1157" spans="1:6" x14ac:dyDescent="0.3">
      <c r="A1157" s="7">
        <v>2018</v>
      </c>
      <c r="B1157" s="8" t="s">
        <v>53</v>
      </c>
      <c r="C1157" s="8" t="s">
        <v>4</v>
      </c>
      <c r="D1157" s="14">
        <v>26592</v>
      </c>
      <c r="E1157" s="14">
        <v>525771</v>
      </c>
      <c r="F1157" s="15">
        <v>188173</v>
      </c>
    </row>
    <row r="1158" spans="1:6" x14ac:dyDescent="0.3">
      <c r="A1158" s="7">
        <v>2018</v>
      </c>
      <c r="B1158" s="8" t="s">
        <v>53</v>
      </c>
      <c r="C1158" s="8" t="s">
        <v>5</v>
      </c>
      <c r="D1158" s="14">
        <v>4173</v>
      </c>
      <c r="E1158" s="14">
        <v>75076</v>
      </c>
      <c r="F1158" s="15">
        <v>100735</v>
      </c>
    </row>
    <row r="1159" spans="1:6" x14ac:dyDescent="0.3">
      <c r="A1159" s="7">
        <v>2018</v>
      </c>
      <c r="B1159" s="8" t="s">
        <v>53</v>
      </c>
      <c r="C1159" s="8" t="s">
        <v>6</v>
      </c>
      <c r="D1159" s="14">
        <v>2306</v>
      </c>
      <c r="E1159" s="14">
        <v>31734</v>
      </c>
      <c r="F1159" s="15">
        <v>110642</v>
      </c>
    </row>
    <row r="1160" spans="1:6" x14ac:dyDescent="0.3">
      <c r="A1160" s="7">
        <v>2018</v>
      </c>
      <c r="B1160" s="8" t="s">
        <v>53</v>
      </c>
      <c r="C1160" s="8" t="s">
        <v>7</v>
      </c>
      <c r="D1160" s="8">
        <v>433</v>
      </c>
      <c r="E1160" s="14">
        <v>4065</v>
      </c>
      <c r="F1160" s="15">
        <v>65782</v>
      </c>
    </row>
    <row r="1161" spans="1:6" x14ac:dyDescent="0.3">
      <c r="A1161" s="7">
        <v>2018</v>
      </c>
      <c r="B1161" s="8" t="s">
        <v>53</v>
      </c>
      <c r="C1161" s="8" t="s">
        <v>8</v>
      </c>
      <c r="D1161" s="14">
        <v>11205</v>
      </c>
      <c r="E1161" s="14">
        <v>138995</v>
      </c>
      <c r="F1161" s="15">
        <v>81168</v>
      </c>
    </row>
    <row r="1162" spans="1:6" x14ac:dyDescent="0.3">
      <c r="A1162" s="7">
        <v>2018</v>
      </c>
      <c r="B1162" s="8" t="s">
        <v>53</v>
      </c>
      <c r="C1162" s="8" t="s">
        <v>9</v>
      </c>
      <c r="D1162" s="14">
        <v>5113</v>
      </c>
      <c r="E1162" s="14">
        <v>114231</v>
      </c>
      <c r="F1162" s="15">
        <v>96613</v>
      </c>
    </row>
    <row r="1163" spans="1:6" x14ac:dyDescent="0.3">
      <c r="A1163" s="7">
        <v>2018</v>
      </c>
      <c r="B1163" s="8" t="s">
        <v>53</v>
      </c>
      <c r="C1163" s="8" t="s">
        <v>10</v>
      </c>
      <c r="D1163" s="14">
        <v>1223</v>
      </c>
      <c r="E1163" s="14">
        <v>8798</v>
      </c>
      <c r="F1163" s="15">
        <v>52761</v>
      </c>
    </row>
    <row r="1164" spans="1:6" x14ac:dyDescent="0.3">
      <c r="A1164" s="7">
        <v>2018</v>
      </c>
      <c r="B1164" s="8" t="s">
        <v>53</v>
      </c>
      <c r="C1164" s="8" t="s">
        <v>11</v>
      </c>
      <c r="D1164" s="14">
        <v>6688</v>
      </c>
      <c r="E1164" s="14">
        <v>94330</v>
      </c>
      <c r="F1164" s="15">
        <v>91164</v>
      </c>
    </row>
    <row r="1165" spans="1:6" x14ac:dyDescent="0.3">
      <c r="A1165" s="7">
        <v>2018</v>
      </c>
      <c r="B1165" s="8" t="s">
        <v>53</v>
      </c>
      <c r="C1165" s="8" t="s">
        <v>12</v>
      </c>
      <c r="D1165" s="14">
        <v>2123</v>
      </c>
      <c r="E1165" s="14">
        <v>29375</v>
      </c>
      <c r="F1165" s="15">
        <v>60371</v>
      </c>
    </row>
    <row r="1166" spans="1:6" x14ac:dyDescent="0.3">
      <c r="A1166" s="7">
        <v>2018</v>
      </c>
      <c r="B1166" s="8" t="s">
        <v>53</v>
      </c>
      <c r="C1166" s="8" t="s">
        <v>13</v>
      </c>
      <c r="D1166" s="14">
        <v>1742</v>
      </c>
      <c r="E1166" s="14">
        <v>22018</v>
      </c>
      <c r="F1166" s="15">
        <v>58519</v>
      </c>
    </row>
    <row r="1167" spans="1:6" x14ac:dyDescent="0.3">
      <c r="A1167" s="7">
        <v>2018</v>
      </c>
      <c r="B1167" s="8" t="s">
        <v>53</v>
      </c>
      <c r="C1167" s="8" t="s">
        <v>14</v>
      </c>
      <c r="D1167" s="14">
        <v>1308</v>
      </c>
      <c r="E1167" s="14">
        <v>18664</v>
      </c>
      <c r="F1167" s="15">
        <v>63399</v>
      </c>
    </row>
    <row r="1168" spans="1:6" x14ac:dyDescent="0.3">
      <c r="A1168" s="7">
        <v>2018</v>
      </c>
      <c r="B1168" s="8" t="s">
        <v>53</v>
      </c>
      <c r="C1168" s="8" t="s">
        <v>15</v>
      </c>
      <c r="D1168" s="14">
        <v>1785</v>
      </c>
      <c r="E1168" s="14">
        <v>21989</v>
      </c>
      <c r="F1168" s="15">
        <v>54629</v>
      </c>
    </row>
    <row r="1169" spans="1:6" x14ac:dyDescent="0.3">
      <c r="A1169" s="7">
        <v>2018</v>
      </c>
      <c r="B1169" s="8" t="s">
        <v>53</v>
      </c>
      <c r="C1169" s="8" t="s">
        <v>16</v>
      </c>
      <c r="D1169" s="14">
        <v>1716</v>
      </c>
      <c r="E1169" s="14">
        <v>22869</v>
      </c>
      <c r="F1169" s="15">
        <v>58223</v>
      </c>
    </row>
    <row r="1170" spans="1:6" x14ac:dyDescent="0.3">
      <c r="A1170" s="7">
        <v>2018</v>
      </c>
      <c r="B1170" s="8" t="s">
        <v>53</v>
      </c>
      <c r="C1170" s="8" t="s">
        <v>17</v>
      </c>
      <c r="D1170" s="8">
        <v>849</v>
      </c>
      <c r="E1170" s="14">
        <v>7397</v>
      </c>
      <c r="F1170" s="15">
        <v>54502</v>
      </c>
    </row>
    <row r="1171" spans="1:6" x14ac:dyDescent="0.3">
      <c r="A1171" s="7">
        <v>2018</v>
      </c>
      <c r="B1171" s="8" t="s">
        <v>53</v>
      </c>
      <c r="C1171" s="8" t="s">
        <v>18</v>
      </c>
      <c r="D1171" s="14">
        <v>2737</v>
      </c>
      <c r="E1171" s="14">
        <v>36210</v>
      </c>
      <c r="F1171" s="15">
        <v>92844</v>
      </c>
    </row>
    <row r="1172" spans="1:6" x14ac:dyDescent="0.3">
      <c r="A1172" s="7">
        <v>2018</v>
      </c>
      <c r="B1172" s="8" t="s">
        <v>53</v>
      </c>
      <c r="C1172" s="8" t="s">
        <v>19</v>
      </c>
      <c r="D1172" s="14">
        <v>5379</v>
      </c>
      <c r="E1172" s="14">
        <v>91783</v>
      </c>
      <c r="F1172" s="15">
        <v>123118</v>
      </c>
    </row>
    <row r="1173" spans="1:6" x14ac:dyDescent="0.3">
      <c r="A1173" s="7">
        <v>2018</v>
      </c>
      <c r="B1173" s="8" t="s">
        <v>53</v>
      </c>
      <c r="C1173" s="8" t="s">
        <v>20</v>
      </c>
      <c r="D1173" s="14">
        <v>6287</v>
      </c>
      <c r="E1173" s="14">
        <v>56247</v>
      </c>
      <c r="F1173" s="15">
        <v>73556</v>
      </c>
    </row>
    <row r="1174" spans="1:6" x14ac:dyDescent="0.3">
      <c r="A1174" s="7">
        <v>2018</v>
      </c>
      <c r="B1174" s="8" t="s">
        <v>53</v>
      </c>
      <c r="C1174" s="8" t="s">
        <v>21</v>
      </c>
      <c r="D1174" s="14">
        <v>3977</v>
      </c>
      <c r="E1174" s="14">
        <v>49170</v>
      </c>
      <c r="F1174" s="15">
        <v>78903</v>
      </c>
    </row>
    <row r="1175" spans="1:6" x14ac:dyDescent="0.3">
      <c r="A1175" s="7">
        <v>2018</v>
      </c>
      <c r="B1175" s="8" t="s">
        <v>53</v>
      </c>
      <c r="C1175" s="8" t="s">
        <v>22</v>
      </c>
      <c r="D1175" s="8">
        <v>940</v>
      </c>
      <c r="E1175" s="14">
        <v>10980</v>
      </c>
      <c r="F1175" s="15">
        <v>49173</v>
      </c>
    </row>
    <row r="1176" spans="1:6" x14ac:dyDescent="0.3">
      <c r="A1176" s="7">
        <v>2018</v>
      </c>
      <c r="B1176" s="8" t="s">
        <v>53</v>
      </c>
      <c r="C1176" s="8" t="s">
        <v>23</v>
      </c>
      <c r="D1176" s="14">
        <v>3049</v>
      </c>
      <c r="E1176" s="14">
        <v>47666</v>
      </c>
      <c r="F1176" s="15">
        <v>81842</v>
      </c>
    </row>
    <row r="1177" spans="1:6" x14ac:dyDescent="0.3">
      <c r="A1177" s="7">
        <v>2018</v>
      </c>
      <c r="B1177" s="8" t="s">
        <v>53</v>
      </c>
      <c r="C1177" s="8" t="s">
        <v>24</v>
      </c>
      <c r="D1177" s="8">
        <v>801</v>
      </c>
      <c r="E1177" s="14">
        <v>6350</v>
      </c>
      <c r="F1177" s="15">
        <v>54475</v>
      </c>
    </row>
    <row r="1178" spans="1:6" x14ac:dyDescent="0.3">
      <c r="A1178" s="7">
        <v>2018</v>
      </c>
      <c r="B1178" s="8" t="s">
        <v>53</v>
      </c>
      <c r="C1178" s="8" t="s">
        <v>25</v>
      </c>
      <c r="D1178" s="8">
        <v>973</v>
      </c>
      <c r="E1178" s="14">
        <v>17653</v>
      </c>
      <c r="F1178" s="15">
        <v>64407</v>
      </c>
    </row>
    <row r="1179" spans="1:6" x14ac:dyDescent="0.3">
      <c r="A1179" s="7">
        <v>2018</v>
      </c>
      <c r="B1179" s="8" t="s">
        <v>53</v>
      </c>
      <c r="C1179" s="8" t="s">
        <v>26</v>
      </c>
      <c r="D1179" s="14">
        <v>1541</v>
      </c>
      <c r="E1179" s="14">
        <v>15646</v>
      </c>
      <c r="F1179" s="15">
        <v>70292</v>
      </c>
    </row>
    <row r="1180" spans="1:6" x14ac:dyDescent="0.3">
      <c r="A1180" s="7">
        <v>2018</v>
      </c>
      <c r="B1180" s="8" t="s">
        <v>53</v>
      </c>
      <c r="C1180" s="8" t="s">
        <v>27</v>
      </c>
      <c r="D1180" s="8">
        <v>892</v>
      </c>
      <c r="E1180" s="14">
        <v>12351</v>
      </c>
      <c r="F1180" s="15">
        <v>93599</v>
      </c>
    </row>
    <row r="1181" spans="1:6" x14ac:dyDescent="0.3">
      <c r="A1181" s="7">
        <v>2018</v>
      </c>
      <c r="B1181" s="8" t="s">
        <v>53</v>
      </c>
      <c r="C1181" s="8" t="s">
        <v>28</v>
      </c>
      <c r="D1181" s="14">
        <v>3722</v>
      </c>
      <c r="E1181" s="14">
        <v>69519</v>
      </c>
      <c r="F1181" s="15">
        <v>114630</v>
      </c>
    </row>
    <row r="1182" spans="1:6" x14ac:dyDescent="0.3">
      <c r="A1182" s="7">
        <v>2018</v>
      </c>
      <c r="B1182" s="8" t="s">
        <v>53</v>
      </c>
      <c r="C1182" s="8" t="s">
        <v>29</v>
      </c>
      <c r="D1182" s="8">
        <v>987</v>
      </c>
      <c r="E1182" s="14">
        <v>12015</v>
      </c>
      <c r="F1182" s="15">
        <v>53204</v>
      </c>
    </row>
    <row r="1183" spans="1:6" x14ac:dyDescent="0.3">
      <c r="A1183" s="7">
        <v>2018</v>
      </c>
      <c r="B1183" s="8" t="s">
        <v>53</v>
      </c>
      <c r="C1183" s="8" t="s">
        <v>30</v>
      </c>
      <c r="D1183" s="14">
        <v>12672</v>
      </c>
      <c r="E1183" s="14">
        <v>275598</v>
      </c>
      <c r="F1183" s="15">
        <v>129853</v>
      </c>
    </row>
    <row r="1184" spans="1:6" x14ac:dyDescent="0.3">
      <c r="A1184" s="7">
        <v>2018</v>
      </c>
      <c r="B1184" s="8" t="s">
        <v>53</v>
      </c>
      <c r="C1184" s="8" t="s">
        <v>31</v>
      </c>
      <c r="D1184" s="14">
        <v>5238</v>
      </c>
      <c r="E1184" s="14">
        <v>79945</v>
      </c>
      <c r="F1184" s="15">
        <v>83920</v>
      </c>
    </row>
    <row r="1185" spans="1:6" x14ac:dyDescent="0.3">
      <c r="A1185" s="7">
        <v>2018</v>
      </c>
      <c r="B1185" s="8" t="s">
        <v>53</v>
      </c>
      <c r="C1185" s="8" t="s">
        <v>32</v>
      </c>
      <c r="D1185" s="8">
        <v>395</v>
      </c>
      <c r="E1185" s="14">
        <v>6221</v>
      </c>
      <c r="F1185" s="15">
        <v>70208</v>
      </c>
    </row>
    <row r="1186" spans="1:6" x14ac:dyDescent="0.3">
      <c r="A1186" s="7">
        <v>2018</v>
      </c>
      <c r="B1186" s="8" t="s">
        <v>53</v>
      </c>
      <c r="C1186" s="8" t="s">
        <v>33</v>
      </c>
      <c r="D1186" s="14">
        <v>4616</v>
      </c>
      <c r="E1186" s="14">
        <v>70930</v>
      </c>
      <c r="F1186" s="15">
        <v>70006</v>
      </c>
    </row>
    <row r="1187" spans="1:6" x14ac:dyDescent="0.3">
      <c r="A1187" s="7">
        <v>2018</v>
      </c>
      <c r="B1187" s="8" t="s">
        <v>53</v>
      </c>
      <c r="C1187" s="8" t="s">
        <v>34</v>
      </c>
      <c r="D1187" s="14">
        <v>1469</v>
      </c>
      <c r="E1187" s="14">
        <v>19859</v>
      </c>
      <c r="F1187" s="15">
        <v>58997</v>
      </c>
    </row>
    <row r="1188" spans="1:6" x14ac:dyDescent="0.3">
      <c r="A1188" s="7">
        <v>2018</v>
      </c>
      <c r="B1188" s="8" t="s">
        <v>53</v>
      </c>
      <c r="C1188" s="8" t="s">
        <v>35</v>
      </c>
      <c r="D1188" s="14">
        <v>3768</v>
      </c>
      <c r="E1188" s="14">
        <v>34277</v>
      </c>
      <c r="F1188" s="15">
        <v>87733</v>
      </c>
    </row>
    <row r="1189" spans="1:6" x14ac:dyDescent="0.3">
      <c r="A1189" s="7">
        <v>2018</v>
      </c>
      <c r="B1189" s="8" t="s">
        <v>53</v>
      </c>
      <c r="C1189" s="8" t="s">
        <v>36</v>
      </c>
      <c r="D1189" s="14">
        <v>4896</v>
      </c>
      <c r="E1189" s="14">
        <v>85970</v>
      </c>
      <c r="F1189" s="15">
        <v>87091</v>
      </c>
    </row>
    <row r="1190" spans="1:6" x14ac:dyDescent="0.3">
      <c r="A1190" s="7">
        <v>2018</v>
      </c>
      <c r="B1190" s="8" t="s">
        <v>53</v>
      </c>
      <c r="C1190" s="8" t="s">
        <v>37</v>
      </c>
      <c r="D1190" s="8">
        <v>715</v>
      </c>
      <c r="E1190" s="14">
        <v>5930</v>
      </c>
      <c r="F1190" s="15">
        <v>74327</v>
      </c>
    </row>
    <row r="1191" spans="1:6" x14ac:dyDescent="0.3">
      <c r="A1191" s="7">
        <v>2018</v>
      </c>
      <c r="B1191" s="8" t="s">
        <v>53</v>
      </c>
      <c r="C1191" s="8" t="s">
        <v>38</v>
      </c>
      <c r="D1191" s="14">
        <v>2548</v>
      </c>
      <c r="E1191" s="14">
        <v>28067</v>
      </c>
      <c r="F1191" s="15">
        <v>61977</v>
      </c>
    </row>
    <row r="1192" spans="1:6" x14ac:dyDescent="0.3">
      <c r="A1192" s="7">
        <v>2018</v>
      </c>
      <c r="B1192" s="8" t="s">
        <v>53</v>
      </c>
      <c r="C1192" s="8" t="s">
        <v>39</v>
      </c>
      <c r="D1192" s="8">
        <v>561</v>
      </c>
      <c r="E1192" s="14">
        <v>5589</v>
      </c>
      <c r="F1192" s="15">
        <v>49334</v>
      </c>
    </row>
    <row r="1193" spans="1:6" x14ac:dyDescent="0.3">
      <c r="A1193" s="7">
        <v>2018</v>
      </c>
      <c r="B1193" s="8" t="s">
        <v>53</v>
      </c>
      <c r="C1193" s="8" t="s">
        <v>40</v>
      </c>
      <c r="D1193" s="14">
        <v>3519</v>
      </c>
      <c r="E1193" s="14">
        <v>44851</v>
      </c>
      <c r="F1193" s="15">
        <v>73821</v>
      </c>
    </row>
    <row r="1194" spans="1:6" x14ac:dyDescent="0.3">
      <c r="A1194" s="7">
        <v>2018</v>
      </c>
      <c r="B1194" s="8" t="s">
        <v>53</v>
      </c>
      <c r="C1194" s="8" t="s">
        <v>41</v>
      </c>
      <c r="D1194" s="14">
        <v>9828</v>
      </c>
      <c r="E1194" s="14">
        <v>203822</v>
      </c>
      <c r="F1194" s="15">
        <v>87085</v>
      </c>
    </row>
    <row r="1195" spans="1:6" x14ac:dyDescent="0.3">
      <c r="A1195" s="7">
        <v>2018</v>
      </c>
      <c r="B1195" s="8" t="s">
        <v>53</v>
      </c>
      <c r="C1195" s="8" t="s">
        <v>42</v>
      </c>
      <c r="D1195" s="14">
        <v>2489</v>
      </c>
      <c r="E1195" s="14">
        <v>36783</v>
      </c>
      <c r="F1195" s="15">
        <v>78404</v>
      </c>
    </row>
    <row r="1196" spans="1:6" x14ac:dyDescent="0.3">
      <c r="A1196" s="7">
        <v>2018</v>
      </c>
      <c r="B1196" s="8" t="s">
        <v>53</v>
      </c>
      <c r="C1196" s="8" t="s">
        <v>43</v>
      </c>
      <c r="D1196" s="8">
        <v>505</v>
      </c>
      <c r="E1196" s="14">
        <v>4280</v>
      </c>
      <c r="F1196" s="15">
        <v>59800</v>
      </c>
    </row>
    <row r="1197" spans="1:6" x14ac:dyDescent="0.3">
      <c r="A1197" s="7">
        <v>2018</v>
      </c>
      <c r="B1197" s="8" t="s">
        <v>53</v>
      </c>
      <c r="C1197" s="8" t="s">
        <v>44</v>
      </c>
      <c r="D1197" s="14">
        <v>4379</v>
      </c>
      <c r="E1197" s="14">
        <v>66998</v>
      </c>
      <c r="F1197" s="15">
        <v>100731</v>
      </c>
    </row>
    <row r="1198" spans="1:6" x14ac:dyDescent="0.3">
      <c r="A1198" s="7">
        <v>2018</v>
      </c>
      <c r="B1198" s="8" t="s">
        <v>53</v>
      </c>
      <c r="C1198" s="8" t="s">
        <v>45</v>
      </c>
      <c r="D1198" s="14">
        <v>4629</v>
      </c>
      <c r="E1198" s="14">
        <v>133126</v>
      </c>
      <c r="F1198" s="15">
        <v>194631</v>
      </c>
    </row>
    <row r="1199" spans="1:6" x14ac:dyDescent="0.3">
      <c r="A1199" s="7">
        <v>2018</v>
      </c>
      <c r="B1199" s="8" t="s">
        <v>53</v>
      </c>
      <c r="C1199" s="8" t="s">
        <v>46</v>
      </c>
      <c r="D1199" s="8">
        <v>789</v>
      </c>
      <c r="E1199" s="14">
        <v>8288</v>
      </c>
      <c r="F1199" s="15">
        <v>52508</v>
      </c>
    </row>
    <row r="1200" spans="1:6" x14ac:dyDescent="0.3">
      <c r="A1200" s="7">
        <v>2018</v>
      </c>
      <c r="B1200" s="8" t="s">
        <v>53</v>
      </c>
      <c r="C1200" s="8" t="s">
        <v>47</v>
      </c>
      <c r="D1200" s="14">
        <v>2298</v>
      </c>
      <c r="E1200" s="14">
        <v>47152</v>
      </c>
      <c r="F1200" s="15">
        <v>75414</v>
      </c>
    </row>
    <row r="1201" spans="1:6" x14ac:dyDescent="0.3">
      <c r="A1201" s="7">
        <v>2018</v>
      </c>
      <c r="B1201" s="8" t="s">
        <v>53</v>
      </c>
      <c r="C1201" s="8" t="s">
        <v>48</v>
      </c>
      <c r="D1201" s="8">
        <v>398</v>
      </c>
      <c r="E1201" s="14">
        <v>3554</v>
      </c>
      <c r="F1201" s="15">
        <v>47401</v>
      </c>
    </row>
    <row r="1202" spans="1:6" x14ac:dyDescent="0.3">
      <c r="A1202" s="7">
        <v>2018</v>
      </c>
      <c r="B1202" s="8" t="s">
        <v>56</v>
      </c>
      <c r="C1202" s="8" t="s">
        <v>1</v>
      </c>
      <c r="D1202" s="14">
        <v>13364</v>
      </c>
      <c r="E1202" s="14">
        <v>94561</v>
      </c>
      <c r="F1202" s="15">
        <v>69240</v>
      </c>
    </row>
    <row r="1203" spans="1:6" x14ac:dyDescent="0.3">
      <c r="A1203" s="7">
        <v>2018</v>
      </c>
      <c r="B1203" s="8" t="s">
        <v>56</v>
      </c>
      <c r="C1203" s="8" t="s">
        <v>2</v>
      </c>
      <c r="D1203" s="14">
        <v>17978</v>
      </c>
      <c r="E1203" s="14">
        <v>214637</v>
      </c>
      <c r="F1203" s="15">
        <v>70877</v>
      </c>
    </row>
    <row r="1204" spans="1:6" x14ac:dyDescent="0.3">
      <c r="A1204" s="7">
        <v>2018</v>
      </c>
      <c r="B1204" s="8" t="s">
        <v>56</v>
      </c>
      <c r="C1204" s="8" t="s">
        <v>3</v>
      </c>
      <c r="D1204" s="14">
        <v>8418</v>
      </c>
      <c r="E1204" s="14">
        <v>50647</v>
      </c>
      <c r="F1204" s="15">
        <v>58119</v>
      </c>
    </row>
    <row r="1205" spans="1:6" x14ac:dyDescent="0.3">
      <c r="A1205" s="7">
        <v>2018</v>
      </c>
      <c r="B1205" s="8" t="s">
        <v>56</v>
      </c>
      <c r="C1205" s="8" t="s">
        <v>4</v>
      </c>
      <c r="D1205" s="14">
        <v>106953</v>
      </c>
      <c r="E1205" s="14">
        <v>835896</v>
      </c>
      <c r="F1205" s="15">
        <v>107228</v>
      </c>
    </row>
    <row r="1206" spans="1:6" x14ac:dyDescent="0.3">
      <c r="A1206" s="7">
        <v>2018</v>
      </c>
      <c r="B1206" s="8" t="s">
        <v>56</v>
      </c>
      <c r="C1206" s="8" t="s">
        <v>5</v>
      </c>
      <c r="D1206" s="14">
        <v>23326</v>
      </c>
      <c r="E1206" s="14">
        <v>164801</v>
      </c>
      <c r="F1206" s="15">
        <v>84615</v>
      </c>
    </row>
    <row r="1207" spans="1:6" x14ac:dyDescent="0.3">
      <c r="A1207" s="7">
        <v>2018</v>
      </c>
      <c r="B1207" s="8" t="s">
        <v>56</v>
      </c>
      <c r="C1207" s="8" t="s">
        <v>6</v>
      </c>
      <c r="D1207" s="14">
        <v>10879</v>
      </c>
      <c r="E1207" s="14">
        <v>123655</v>
      </c>
      <c r="F1207" s="15">
        <v>155433</v>
      </c>
    </row>
    <row r="1208" spans="1:6" x14ac:dyDescent="0.3">
      <c r="A1208" s="7">
        <v>2018</v>
      </c>
      <c r="B1208" s="8" t="s">
        <v>56</v>
      </c>
      <c r="C1208" s="8" t="s">
        <v>7</v>
      </c>
      <c r="D1208" s="14">
        <v>2859</v>
      </c>
      <c r="E1208" s="14">
        <v>47609</v>
      </c>
      <c r="F1208" s="15">
        <v>95574</v>
      </c>
    </row>
    <row r="1209" spans="1:6" x14ac:dyDescent="0.3">
      <c r="A1209" s="7">
        <v>2018</v>
      </c>
      <c r="B1209" s="8" t="s">
        <v>56</v>
      </c>
      <c r="C1209" s="8" t="s">
        <v>8</v>
      </c>
      <c r="D1209" s="14">
        <v>73412</v>
      </c>
      <c r="E1209" s="14">
        <v>570645</v>
      </c>
      <c r="F1209" s="15">
        <v>75337</v>
      </c>
    </row>
    <row r="1210" spans="1:6" x14ac:dyDescent="0.3">
      <c r="A1210" s="7">
        <v>2018</v>
      </c>
      <c r="B1210" s="8" t="s">
        <v>56</v>
      </c>
      <c r="C1210" s="8" t="s">
        <v>9</v>
      </c>
      <c r="D1210" s="14">
        <v>26225</v>
      </c>
      <c r="E1210" s="14">
        <v>237900</v>
      </c>
      <c r="F1210" s="15">
        <v>84587</v>
      </c>
    </row>
    <row r="1211" spans="1:6" x14ac:dyDescent="0.3">
      <c r="A1211" s="7">
        <v>2018</v>
      </c>
      <c r="B1211" s="8" t="s">
        <v>56</v>
      </c>
      <c r="C1211" s="8" t="s">
        <v>10</v>
      </c>
      <c r="D1211" s="14">
        <v>5824</v>
      </c>
      <c r="E1211" s="14">
        <v>32493</v>
      </c>
      <c r="F1211" s="15">
        <v>56024</v>
      </c>
    </row>
    <row r="1212" spans="1:6" x14ac:dyDescent="0.3">
      <c r="A1212" s="7">
        <v>2018</v>
      </c>
      <c r="B1212" s="8" t="s">
        <v>56</v>
      </c>
      <c r="C1212" s="8" t="s">
        <v>11</v>
      </c>
      <c r="D1212" s="14">
        <v>32448</v>
      </c>
      <c r="E1212" s="14">
        <v>373685</v>
      </c>
      <c r="F1212" s="15">
        <v>109598</v>
      </c>
    </row>
    <row r="1213" spans="1:6" x14ac:dyDescent="0.3">
      <c r="A1213" s="7">
        <v>2018</v>
      </c>
      <c r="B1213" s="8" t="s">
        <v>56</v>
      </c>
      <c r="C1213" s="8" t="s">
        <v>12</v>
      </c>
      <c r="D1213" s="14">
        <v>16542</v>
      </c>
      <c r="E1213" s="14">
        <v>133603</v>
      </c>
      <c r="F1213" s="15">
        <v>65167</v>
      </c>
    </row>
    <row r="1214" spans="1:6" x14ac:dyDescent="0.3">
      <c r="A1214" s="7">
        <v>2018</v>
      </c>
      <c r="B1214" s="8" t="s">
        <v>56</v>
      </c>
      <c r="C1214" s="8" t="s">
        <v>13</v>
      </c>
      <c r="D1214" s="14">
        <v>10213</v>
      </c>
      <c r="E1214" s="14">
        <v>109030</v>
      </c>
      <c r="F1214" s="15">
        <v>73894</v>
      </c>
    </row>
    <row r="1215" spans="1:6" x14ac:dyDescent="0.3">
      <c r="A1215" s="7">
        <v>2018</v>
      </c>
      <c r="B1215" s="8" t="s">
        <v>56</v>
      </c>
      <c r="C1215" s="8" t="s">
        <v>14</v>
      </c>
      <c r="D1215" s="14">
        <v>8870</v>
      </c>
      <c r="E1215" s="14">
        <v>73500</v>
      </c>
      <c r="F1215" s="15">
        <v>67710</v>
      </c>
    </row>
    <row r="1216" spans="1:6" x14ac:dyDescent="0.3">
      <c r="A1216" s="7">
        <v>2018</v>
      </c>
      <c r="B1216" s="8" t="s">
        <v>56</v>
      </c>
      <c r="C1216" s="8" t="s">
        <v>15</v>
      </c>
      <c r="D1216" s="14">
        <v>11035</v>
      </c>
      <c r="E1216" s="14">
        <v>92881</v>
      </c>
      <c r="F1216" s="15">
        <v>67733</v>
      </c>
    </row>
    <row r="1217" spans="1:6" x14ac:dyDescent="0.3">
      <c r="A1217" s="7">
        <v>2018</v>
      </c>
      <c r="B1217" s="8" t="s">
        <v>56</v>
      </c>
      <c r="C1217" s="8" t="s">
        <v>16</v>
      </c>
      <c r="D1217" s="14">
        <v>13754</v>
      </c>
      <c r="E1217" s="14">
        <v>85071</v>
      </c>
      <c r="F1217" s="15">
        <v>62731</v>
      </c>
    </row>
    <row r="1218" spans="1:6" x14ac:dyDescent="0.3">
      <c r="A1218" s="7">
        <v>2018</v>
      </c>
      <c r="B1218" s="8" t="s">
        <v>56</v>
      </c>
      <c r="C1218" s="8" t="s">
        <v>17</v>
      </c>
      <c r="D1218" s="14">
        <v>3804</v>
      </c>
      <c r="E1218" s="14">
        <v>29811</v>
      </c>
      <c r="F1218" s="15">
        <v>68174</v>
      </c>
    </row>
    <row r="1219" spans="1:6" x14ac:dyDescent="0.3">
      <c r="A1219" s="7">
        <v>2018</v>
      </c>
      <c r="B1219" s="8" t="s">
        <v>56</v>
      </c>
      <c r="C1219" s="8" t="s">
        <v>18</v>
      </c>
      <c r="D1219" s="14">
        <v>15277</v>
      </c>
      <c r="E1219" s="14">
        <v>138261</v>
      </c>
      <c r="F1219" s="15">
        <v>94201</v>
      </c>
    </row>
    <row r="1220" spans="1:6" x14ac:dyDescent="0.3">
      <c r="A1220" s="7">
        <v>2018</v>
      </c>
      <c r="B1220" s="8" t="s">
        <v>56</v>
      </c>
      <c r="C1220" s="8" t="s">
        <v>19</v>
      </c>
      <c r="D1220" s="14">
        <v>17504</v>
      </c>
      <c r="E1220" s="14">
        <v>217151</v>
      </c>
      <c r="F1220" s="15">
        <v>144514</v>
      </c>
    </row>
    <row r="1221" spans="1:6" x14ac:dyDescent="0.3">
      <c r="A1221" s="7">
        <v>2018</v>
      </c>
      <c r="B1221" s="8" t="s">
        <v>56</v>
      </c>
      <c r="C1221" s="8" t="s">
        <v>20</v>
      </c>
      <c r="D1221" s="14">
        <v>19082</v>
      </c>
      <c r="E1221" s="14">
        <v>203261</v>
      </c>
      <c r="F1221" s="15">
        <v>71568</v>
      </c>
    </row>
    <row r="1222" spans="1:6" x14ac:dyDescent="0.3">
      <c r="A1222" s="7">
        <v>2018</v>
      </c>
      <c r="B1222" s="8" t="s">
        <v>56</v>
      </c>
      <c r="C1222" s="8" t="s">
        <v>21</v>
      </c>
      <c r="D1222" s="14">
        <v>15877</v>
      </c>
      <c r="E1222" s="14">
        <v>178309</v>
      </c>
      <c r="F1222" s="15">
        <v>95604</v>
      </c>
    </row>
    <row r="1223" spans="1:6" x14ac:dyDescent="0.3">
      <c r="A1223" s="7">
        <v>2018</v>
      </c>
      <c r="B1223" s="8" t="s">
        <v>56</v>
      </c>
      <c r="C1223" s="8" t="s">
        <v>22</v>
      </c>
      <c r="D1223" s="14">
        <v>7959</v>
      </c>
      <c r="E1223" s="14">
        <v>42911</v>
      </c>
      <c r="F1223" s="15">
        <v>53281</v>
      </c>
    </row>
    <row r="1224" spans="1:6" x14ac:dyDescent="0.3">
      <c r="A1224" s="7">
        <v>2018</v>
      </c>
      <c r="B1224" s="8" t="s">
        <v>56</v>
      </c>
      <c r="C1224" s="8" t="s">
        <v>23</v>
      </c>
      <c r="D1224" s="14">
        <v>17251</v>
      </c>
      <c r="E1224" s="14">
        <v>162755</v>
      </c>
      <c r="F1224" s="15">
        <v>72947</v>
      </c>
    </row>
    <row r="1225" spans="1:6" x14ac:dyDescent="0.3">
      <c r="A1225" s="7">
        <v>2018</v>
      </c>
      <c r="B1225" s="8" t="s">
        <v>56</v>
      </c>
      <c r="C1225" s="8" t="s">
        <v>24</v>
      </c>
      <c r="D1225" s="14">
        <v>4297</v>
      </c>
      <c r="E1225" s="14">
        <v>21204</v>
      </c>
      <c r="F1225" s="15">
        <v>59315</v>
      </c>
    </row>
    <row r="1226" spans="1:6" x14ac:dyDescent="0.3">
      <c r="A1226" s="7">
        <v>2018</v>
      </c>
      <c r="B1226" s="8" t="s">
        <v>56</v>
      </c>
      <c r="C1226" s="8" t="s">
        <v>25</v>
      </c>
      <c r="D1226" s="14">
        <v>6683</v>
      </c>
      <c r="E1226" s="14">
        <v>66245</v>
      </c>
      <c r="F1226" s="15">
        <v>66817</v>
      </c>
    </row>
    <row r="1227" spans="1:6" x14ac:dyDescent="0.3">
      <c r="A1227" s="7">
        <v>2018</v>
      </c>
      <c r="B1227" s="8" t="s">
        <v>56</v>
      </c>
      <c r="C1227" s="8" t="s">
        <v>26</v>
      </c>
      <c r="D1227" s="14">
        <v>9082</v>
      </c>
      <c r="E1227" s="14">
        <v>63303</v>
      </c>
      <c r="F1227" s="15">
        <v>66612</v>
      </c>
    </row>
    <row r="1228" spans="1:6" x14ac:dyDescent="0.3">
      <c r="A1228" s="7">
        <v>2018</v>
      </c>
      <c r="B1228" s="8" t="s">
        <v>56</v>
      </c>
      <c r="C1228" s="8" t="s">
        <v>27</v>
      </c>
      <c r="D1228" s="14">
        <v>3838</v>
      </c>
      <c r="E1228" s="14">
        <v>33486</v>
      </c>
      <c r="F1228" s="15">
        <v>94889</v>
      </c>
    </row>
    <row r="1229" spans="1:6" x14ac:dyDescent="0.3">
      <c r="A1229" s="7">
        <v>2018</v>
      </c>
      <c r="B1229" s="8" t="s">
        <v>56</v>
      </c>
      <c r="C1229" s="8" t="s">
        <v>28</v>
      </c>
      <c r="D1229" s="14">
        <v>19963</v>
      </c>
      <c r="E1229" s="14">
        <v>242994</v>
      </c>
      <c r="F1229" s="15">
        <v>115066</v>
      </c>
    </row>
    <row r="1230" spans="1:6" x14ac:dyDescent="0.3">
      <c r="A1230" s="7">
        <v>2018</v>
      </c>
      <c r="B1230" s="8" t="s">
        <v>56</v>
      </c>
      <c r="C1230" s="8" t="s">
        <v>29</v>
      </c>
      <c r="D1230" s="14">
        <v>5293</v>
      </c>
      <c r="E1230" s="14">
        <v>32955</v>
      </c>
      <c r="F1230" s="15">
        <v>56048</v>
      </c>
    </row>
    <row r="1231" spans="1:6" x14ac:dyDescent="0.3">
      <c r="A1231" s="7">
        <v>2018</v>
      </c>
      <c r="B1231" s="8" t="s">
        <v>56</v>
      </c>
      <c r="C1231" s="8" t="s">
        <v>30</v>
      </c>
      <c r="D1231" s="14">
        <v>64317</v>
      </c>
      <c r="E1231" s="14">
        <v>714540</v>
      </c>
      <c r="F1231" s="15">
        <v>186871</v>
      </c>
    </row>
    <row r="1232" spans="1:6" x14ac:dyDescent="0.3">
      <c r="A1232" s="7">
        <v>2018</v>
      </c>
      <c r="B1232" s="8" t="s">
        <v>56</v>
      </c>
      <c r="C1232" s="8" t="s">
        <v>31</v>
      </c>
      <c r="D1232" s="14">
        <v>27776</v>
      </c>
      <c r="E1232" s="14">
        <v>233277</v>
      </c>
      <c r="F1232" s="15">
        <v>87311</v>
      </c>
    </row>
    <row r="1233" spans="1:6" x14ac:dyDescent="0.3">
      <c r="A1233" s="7">
        <v>2018</v>
      </c>
      <c r="B1233" s="8" t="s">
        <v>56</v>
      </c>
      <c r="C1233" s="8" t="s">
        <v>32</v>
      </c>
      <c r="D1233" s="14">
        <v>2995</v>
      </c>
      <c r="E1233" s="14">
        <v>23145</v>
      </c>
      <c r="F1233" s="15">
        <v>63251</v>
      </c>
    </row>
    <row r="1234" spans="1:6" x14ac:dyDescent="0.3">
      <c r="A1234" s="7">
        <v>2018</v>
      </c>
      <c r="B1234" s="8" t="s">
        <v>56</v>
      </c>
      <c r="C1234" s="8" t="s">
        <v>33</v>
      </c>
      <c r="D1234" s="14">
        <v>28783</v>
      </c>
      <c r="E1234" s="14">
        <v>293549</v>
      </c>
      <c r="F1234" s="15">
        <v>72736</v>
      </c>
    </row>
    <row r="1235" spans="1:6" x14ac:dyDescent="0.3">
      <c r="A1235" s="7">
        <v>2018</v>
      </c>
      <c r="B1235" s="8" t="s">
        <v>56</v>
      </c>
      <c r="C1235" s="8" t="s">
        <v>34</v>
      </c>
      <c r="D1235" s="14">
        <v>11458</v>
      </c>
      <c r="E1235" s="14">
        <v>77052</v>
      </c>
      <c r="F1235" s="15">
        <v>58044</v>
      </c>
    </row>
    <row r="1236" spans="1:6" x14ac:dyDescent="0.3">
      <c r="A1236" s="7">
        <v>2018</v>
      </c>
      <c r="B1236" s="8" t="s">
        <v>56</v>
      </c>
      <c r="C1236" s="8" t="s">
        <v>35</v>
      </c>
      <c r="D1236" s="14">
        <v>13030</v>
      </c>
      <c r="E1236" s="14">
        <v>84865</v>
      </c>
      <c r="F1236" s="15">
        <v>69649</v>
      </c>
    </row>
    <row r="1237" spans="1:6" x14ac:dyDescent="0.3">
      <c r="A1237" s="7">
        <v>2018</v>
      </c>
      <c r="B1237" s="8" t="s">
        <v>56</v>
      </c>
      <c r="C1237" s="8" t="s">
        <v>36</v>
      </c>
      <c r="D1237" s="14">
        <v>28823</v>
      </c>
      <c r="E1237" s="14">
        <v>325130</v>
      </c>
      <c r="F1237" s="15">
        <v>88831</v>
      </c>
    </row>
    <row r="1238" spans="1:6" x14ac:dyDescent="0.3">
      <c r="A1238" s="7">
        <v>2018</v>
      </c>
      <c r="B1238" s="8" t="s">
        <v>56</v>
      </c>
      <c r="C1238" s="8" t="s">
        <v>37</v>
      </c>
      <c r="D1238" s="14">
        <v>2869</v>
      </c>
      <c r="E1238" s="14">
        <v>32305</v>
      </c>
      <c r="F1238" s="15">
        <v>88061</v>
      </c>
    </row>
    <row r="1239" spans="1:6" x14ac:dyDescent="0.3">
      <c r="A1239" s="7">
        <v>2018</v>
      </c>
      <c r="B1239" s="8" t="s">
        <v>56</v>
      </c>
      <c r="C1239" s="8" t="s">
        <v>38</v>
      </c>
      <c r="D1239" s="14">
        <v>13166</v>
      </c>
      <c r="E1239" s="14">
        <v>100794</v>
      </c>
      <c r="F1239" s="15">
        <v>61713</v>
      </c>
    </row>
    <row r="1240" spans="1:6" x14ac:dyDescent="0.3">
      <c r="A1240" s="7">
        <v>2018</v>
      </c>
      <c r="B1240" s="8" t="s">
        <v>56</v>
      </c>
      <c r="C1240" s="8" t="s">
        <v>39</v>
      </c>
      <c r="D1240" s="14">
        <v>3259</v>
      </c>
      <c r="E1240" s="14">
        <v>28739</v>
      </c>
      <c r="F1240" s="15">
        <v>60160</v>
      </c>
    </row>
    <row r="1241" spans="1:6" x14ac:dyDescent="0.3">
      <c r="A1241" s="7">
        <v>2018</v>
      </c>
      <c r="B1241" s="8" t="s">
        <v>56</v>
      </c>
      <c r="C1241" s="8" t="s">
        <v>40</v>
      </c>
      <c r="D1241" s="14">
        <v>15698</v>
      </c>
      <c r="E1241" s="14">
        <v>150833</v>
      </c>
      <c r="F1241" s="15">
        <v>76718</v>
      </c>
    </row>
    <row r="1242" spans="1:6" x14ac:dyDescent="0.3">
      <c r="A1242" s="7">
        <v>2018</v>
      </c>
      <c r="B1242" s="8" t="s">
        <v>56</v>
      </c>
      <c r="C1242" s="8" t="s">
        <v>41</v>
      </c>
      <c r="D1242" s="14">
        <v>73679</v>
      </c>
      <c r="E1242" s="14">
        <v>756318</v>
      </c>
      <c r="F1242" s="15">
        <v>83356</v>
      </c>
    </row>
    <row r="1243" spans="1:6" x14ac:dyDescent="0.3">
      <c r="A1243" s="7">
        <v>2018</v>
      </c>
      <c r="B1243" s="8" t="s">
        <v>56</v>
      </c>
      <c r="C1243" s="8" t="s">
        <v>42</v>
      </c>
      <c r="D1243" s="14">
        <v>11520</v>
      </c>
      <c r="E1243" s="14">
        <v>87530</v>
      </c>
      <c r="F1243" s="15">
        <v>67933</v>
      </c>
    </row>
    <row r="1244" spans="1:6" x14ac:dyDescent="0.3">
      <c r="A1244" s="7">
        <v>2018</v>
      </c>
      <c r="B1244" s="8" t="s">
        <v>56</v>
      </c>
      <c r="C1244" s="8" t="s">
        <v>43</v>
      </c>
      <c r="D1244" s="14">
        <v>1694</v>
      </c>
      <c r="E1244" s="14">
        <v>11814</v>
      </c>
      <c r="F1244" s="15">
        <v>72078</v>
      </c>
    </row>
    <row r="1245" spans="1:6" x14ac:dyDescent="0.3">
      <c r="A1245" s="7">
        <v>2018</v>
      </c>
      <c r="B1245" s="8" t="s">
        <v>56</v>
      </c>
      <c r="C1245" s="8" t="s">
        <v>44</v>
      </c>
      <c r="D1245" s="14">
        <v>21938</v>
      </c>
      <c r="E1245" s="14">
        <v>194731</v>
      </c>
      <c r="F1245" s="15">
        <v>85723</v>
      </c>
    </row>
    <row r="1246" spans="1:6" x14ac:dyDescent="0.3">
      <c r="A1246" s="7">
        <v>2018</v>
      </c>
      <c r="B1246" s="8" t="s">
        <v>56</v>
      </c>
      <c r="C1246" s="8" t="s">
        <v>45</v>
      </c>
      <c r="D1246" s="14">
        <v>17577</v>
      </c>
      <c r="E1246" s="14">
        <v>147871</v>
      </c>
      <c r="F1246" s="15">
        <v>80466</v>
      </c>
    </row>
    <row r="1247" spans="1:6" x14ac:dyDescent="0.3">
      <c r="A1247" s="7">
        <v>2018</v>
      </c>
      <c r="B1247" s="8" t="s">
        <v>56</v>
      </c>
      <c r="C1247" s="8" t="s">
        <v>46</v>
      </c>
      <c r="D1247" s="14">
        <v>4029</v>
      </c>
      <c r="E1247" s="14">
        <v>24510</v>
      </c>
      <c r="F1247" s="15">
        <v>53206</v>
      </c>
    </row>
    <row r="1248" spans="1:6" x14ac:dyDescent="0.3">
      <c r="A1248" s="7">
        <v>2018</v>
      </c>
      <c r="B1248" s="8" t="s">
        <v>56</v>
      </c>
      <c r="C1248" s="8" t="s">
        <v>47</v>
      </c>
      <c r="D1248" s="14">
        <v>13917</v>
      </c>
      <c r="E1248" s="14">
        <v>148837</v>
      </c>
      <c r="F1248" s="15">
        <v>71561</v>
      </c>
    </row>
    <row r="1249" spans="1:6" x14ac:dyDescent="0.3">
      <c r="A1249" s="7">
        <v>2018</v>
      </c>
      <c r="B1249" s="8" t="s">
        <v>56</v>
      </c>
      <c r="C1249" s="8" t="s">
        <v>48</v>
      </c>
      <c r="D1249" s="14">
        <v>2283</v>
      </c>
      <c r="E1249" s="14">
        <v>11124</v>
      </c>
      <c r="F1249" s="15">
        <v>57486</v>
      </c>
    </row>
    <row r="1250" spans="1:6" x14ac:dyDescent="0.3">
      <c r="A1250" s="7">
        <v>2018</v>
      </c>
      <c r="B1250" s="8" t="s">
        <v>57</v>
      </c>
      <c r="C1250" s="8" t="s">
        <v>1</v>
      </c>
      <c r="D1250" s="14">
        <v>21888</v>
      </c>
      <c r="E1250" s="14">
        <v>245234</v>
      </c>
      <c r="F1250" s="15">
        <v>55653</v>
      </c>
    </row>
    <row r="1251" spans="1:6" x14ac:dyDescent="0.3">
      <c r="A1251" s="7">
        <v>2018</v>
      </c>
      <c r="B1251" s="8" t="s">
        <v>57</v>
      </c>
      <c r="C1251" s="8" t="s">
        <v>2</v>
      </c>
      <c r="D1251" s="14">
        <v>35993</v>
      </c>
      <c r="E1251" s="14">
        <v>430516</v>
      </c>
      <c r="F1251" s="15">
        <v>56745</v>
      </c>
    </row>
    <row r="1252" spans="1:6" x14ac:dyDescent="0.3">
      <c r="A1252" s="7">
        <v>2018</v>
      </c>
      <c r="B1252" s="8" t="s">
        <v>57</v>
      </c>
      <c r="C1252" s="8" t="s">
        <v>3</v>
      </c>
      <c r="D1252" s="14">
        <v>14308</v>
      </c>
      <c r="E1252" s="14">
        <v>146700</v>
      </c>
      <c r="F1252" s="15">
        <v>60316</v>
      </c>
    </row>
    <row r="1253" spans="1:6" x14ac:dyDescent="0.3">
      <c r="A1253" s="7">
        <v>2018</v>
      </c>
      <c r="B1253" s="8" t="s">
        <v>57</v>
      </c>
      <c r="C1253" s="8" t="s">
        <v>4</v>
      </c>
      <c r="D1253" s="14">
        <v>208425</v>
      </c>
      <c r="E1253" s="14">
        <v>2667839</v>
      </c>
      <c r="F1253" s="15">
        <v>91070</v>
      </c>
    </row>
    <row r="1254" spans="1:6" x14ac:dyDescent="0.3">
      <c r="A1254" s="7">
        <v>2018</v>
      </c>
      <c r="B1254" s="8" t="s">
        <v>57</v>
      </c>
      <c r="C1254" s="8" t="s">
        <v>5</v>
      </c>
      <c r="D1254" s="14">
        <v>52525</v>
      </c>
      <c r="E1254" s="14">
        <v>423946</v>
      </c>
      <c r="F1254" s="15">
        <v>81401</v>
      </c>
    </row>
    <row r="1255" spans="1:6" x14ac:dyDescent="0.3">
      <c r="A1255" s="7">
        <v>2018</v>
      </c>
      <c r="B1255" s="8" t="s">
        <v>57</v>
      </c>
      <c r="C1255" s="8" t="s">
        <v>6</v>
      </c>
      <c r="D1255" s="14">
        <v>23279</v>
      </c>
      <c r="E1255" s="14">
        <v>221029</v>
      </c>
      <c r="F1255" s="15">
        <v>87958</v>
      </c>
    </row>
    <row r="1256" spans="1:6" x14ac:dyDescent="0.3">
      <c r="A1256" s="7">
        <v>2018</v>
      </c>
      <c r="B1256" s="8" t="s">
        <v>57</v>
      </c>
      <c r="C1256" s="8" t="s">
        <v>7</v>
      </c>
      <c r="D1256" s="14">
        <v>8956</v>
      </c>
      <c r="E1256" s="14">
        <v>63405</v>
      </c>
      <c r="F1256" s="15">
        <v>80066</v>
      </c>
    </row>
    <row r="1257" spans="1:6" x14ac:dyDescent="0.3">
      <c r="A1257" s="7">
        <v>2018</v>
      </c>
      <c r="B1257" s="8" t="s">
        <v>57</v>
      </c>
      <c r="C1257" s="8" t="s">
        <v>8</v>
      </c>
      <c r="D1257" s="14">
        <v>161890</v>
      </c>
      <c r="E1257" s="14">
        <v>1365136</v>
      </c>
      <c r="F1257" s="15">
        <v>60914</v>
      </c>
    </row>
    <row r="1258" spans="1:6" x14ac:dyDescent="0.3">
      <c r="A1258" s="7">
        <v>2018</v>
      </c>
      <c r="B1258" s="8" t="s">
        <v>57</v>
      </c>
      <c r="C1258" s="8" t="s">
        <v>9</v>
      </c>
      <c r="D1258" s="14">
        <v>54714</v>
      </c>
      <c r="E1258" s="14">
        <v>687321</v>
      </c>
      <c r="F1258" s="15">
        <v>66989</v>
      </c>
    </row>
    <row r="1259" spans="1:6" x14ac:dyDescent="0.3">
      <c r="A1259" s="7">
        <v>2018</v>
      </c>
      <c r="B1259" s="8" t="s">
        <v>57</v>
      </c>
      <c r="C1259" s="8" t="s">
        <v>10</v>
      </c>
      <c r="D1259" s="14">
        <v>11562</v>
      </c>
      <c r="E1259" s="14">
        <v>91631</v>
      </c>
      <c r="F1259" s="15">
        <v>51695</v>
      </c>
    </row>
    <row r="1260" spans="1:6" x14ac:dyDescent="0.3">
      <c r="A1260" s="7">
        <v>2018</v>
      </c>
      <c r="B1260" s="8" t="s">
        <v>57</v>
      </c>
      <c r="C1260" s="8" t="s">
        <v>11</v>
      </c>
      <c r="D1260" s="14">
        <v>74587</v>
      </c>
      <c r="E1260" s="14">
        <v>948766</v>
      </c>
      <c r="F1260" s="15">
        <v>76586</v>
      </c>
    </row>
    <row r="1261" spans="1:6" x14ac:dyDescent="0.3">
      <c r="A1261" s="7">
        <v>2018</v>
      </c>
      <c r="B1261" s="8" t="s">
        <v>57</v>
      </c>
      <c r="C1261" s="8" t="s">
        <v>12</v>
      </c>
      <c r="D1261" s="14">
        <v>29755</v>
      </c>
      <c r="E1261" s="14">
        <v>342835</v>
      </c>
      <c r="F1261" s="15">
        <v>52468</v>
      </c>
    </row>
    <row r="1262" spans="1:6" x14ac:dyDescent="0.3">
      <c r="A1262" s="7">
        <v>2018</v>
      </c>
      <c r="B1262" s="8" t="s">
        <v>57</v>
      </c>
      <c r="C1262" s="8" t="s">
        <v>13</v>
      </c>
      <c r="D1262" s="14">
        <v>15839</v>
      </c>
      <c r="E1262" s="14">
        <v>140535</v>
      </c>
      <c r="F1262" s="15">
        <v>54071</v>
      </c>
    </row>
    <row r="1263" spans="1:6" x14ac:dyDescent="0.3">
      <c r="A1263" s="7">
        <v>2018</v>
      </c>
      <c r="B1263" s="8" t="s">
        <v>57</v>
      </c>
      <c r="C1263" s="8" t="s">
        <v>14</v>
      </c>
      <c r="D1263" s="14">
        <v>16731</v>
      </c>
      <c r="E1263" s="14">
        <v>179413</v>
      </c>
      <c r="F1263" s="15">
        <v>61288</v>
      </c>
    </row>
    <row r="1264" spans="1:6" x14ac:dyDescent="0.3">
      <c r="A1264" s="7">
        <v>2018</v>
      </c>
      <c r="B1264" s="8" t="s">
        <v>57</v>
      </c>
      <c r="C1264" s="8" t="s">
        <v>15</v>
      </c>
      <c r="D1264" s="14">
        <v>20542</v>
      </c>
      <c r="E1264" s="14">
        <v>217081</v>
      </c>
      <c r="F1264" s="15">
        <v>50087</v>
      </c>
    </row>
    <row r="1265" spans="1:6" x14ac:dyDescent="0.3">
      <c r="A1265" s="7">
        <v>2018</v>
      </c>
      <c r="B1265" s="8" t="s">
        <v>57</v>
      </c>
      <c r="C1265" s="8" t="s">
        <v>16</v>
      </c>
      <c r="D1265" s="14">
        <v>24537</v>
      </c>
      <c r="E1265" s="14">
        <v>213171</v>
      </c>
      <c r="F1265" s="15">
        <v>56446</v>
      </c>
    </row>
    <row r="1266" spans="1:6" x14ac:dyDescent="0.3">
      <c r="A1266" s="7">
        <v>2018</v>
      </c>
      <c r="B1266" s="8" t="s">
        <v>57</v>
      </c>
      <c r="C1266" s="8" t="s">
        <v>17</v>
      </c>
      <c r="D1266" s="14">
        <v>9940</v>
      </c>
      <c r="E1266" s="14">
        <v>69285</v>
      </c>
      <c r="F1266" s="15">
        <v>57328</v>
      </c>
    </row>
    <row r="1267" spans="1:6" x14ac:dyDescent="0.3">
      <c r="A1267" s="7">
        <v>2018</v>
      </c>
      <c r="B1267" s="8" t="s">
        <v>57</v>
      </c>
      <c r="C1267" s="8" t="s">
        <v>18</v>
      </c>
      <c r="D1267" s="14">
        <v>42809</v>
      </c>
      <c r="E1267" s="14">
        <v>452753</v>
      </c>
      <c r="F1267" s="15">
        <v>79500</v>
      </c>
    </row>
    <row r="1268" spans="1:6" x14ac:dyDescent="0.3">
      <c r="A1268" s="7">
        <v>2018</v>
      </c>
      <c r="B1268" s="8" t="s">
        <v>57</v>
      </c>
      <c r="C1268" s="8" t="s">
        <v>19</v>
      </c>
      <c r="D1268" s="14">
        <v>47416</v>
      </c>
      <c r="E1268" s="14">
        <v>587518</v>
      </c>
      <c r="F1268" s="15">
        <v>107875</v>
      </c>
    </row>
    <row r="1269" spans="1:6" x14ac:dyDescent="0.3">
      <c r="A1269" s="7">
        <v>2018</v>
      </c>
      <c r="B1269" s="8" t="s">
        <v>57</v>
      </c>
      <c r="C1269" s="8" t="s">
        <v>20</v>
      </c>
      <c r="D1269" s="14">
        <v>42545</v>
      </c>
      <c r="E1269" s="14">
        <v>657930</v>
      </c>
      <c r="F1269" s="15">
        <v>69377</v>
      </c>
    </row>
    <row r="1270" spans="1:6" x14ac:dyDescent="0.3">
      <c r="A1270" s="7">
        <v>2018</v>
      </c>
      <c r="B1270" s="8" t="s">
        <v>57</v>
      </c>
      <c r="C1270" s="8" t="s">
        <v>21</v>
      </c>
      <c r="D1270" s="14">
        <v>32020</v>
      </c>
      <c r="E1270" s="14">
        <v>378493</v>
      </c>
      <c r="F1270" s="15">
        <v>82535</v>
      </c>
    </row>
    <row r="1271" spans="1:6" x14ac:dyDescent="0.3">
      <c r="A1271" s="7">
        <v>2018</v>
      </c>
      <c r="B1271" s="8" t="s">
        <v>57</v>
      </c>
      <c r="C1271" s="8" t="s">
        <v>22</v>
      </c>
      <c r="D1271" s="14">
        <v>12259</v>
      </c>
      <c r="E1271" s="14">
        <v>109842</v>
      </c>
      <c r="F1271" s="15">
        <v>42132</v>
      </c>
    </row>
    <row r="1272" spans="1:6" x14ac:dyDescent="0.3">
      <c r="A1272" s="7">
        <v>2018</v>
      </c>
      <c r="B1272" s="8" t="s">
        <v>57</v>
      </c>
      <c r="C1272" s="8" t="s">
        <v>23</v>
      </c>
      <c r="D1272" s="14">
        <v>32577</v>
      </c>
      <c r="E1272" s="14">
        <v>385727</v>
      </c>
      <c r="F1272" s="15">
        <v>66429</v>
      </c>
    </row>
    <row r="1273" spans="1:6" x14ac:dyDescent="0.3">
      <c r="A1273" s="7">
        <v>2018</v>
      </c>
      <c r="B1273" s="8" t="s">
        <v>57</v>
      </c>
      <c r="C1273" s="8" t="s">
        <v>24</v>
      </c>
      <c r="D1273" s="14">
        <v>9359</v>
      </c>
      <c r="E1273" s="14">
        <v>42410</v>
      </c>
      <c r="F1273" s="15">
        <v>52271</v>
      </c>
    </row>
    <row r="1274" spans="1:6" x14ac:dyDescent="0.3">
      <c r="A1274" s="7">
        <v>2018</v>
      </c>
      <c r="B1274" s="8" t="s">
        <v>57</v>
      </c>
      <c r="C1274" s="8" t="s">
        <v>25</v>
      </c>
      <c r="D1274" s="14">
        <v>11582</v>
      </c>
      <c r="E1274" s="14">
        <v>119167</v>
      </c>
      <c r="F1274" s="15">
        <v>58836</v>
      </c>
    </row>
    <row r="1275" spans="1:6" x14ac:dyDescent="0.3">
      <c r="A1275" s="7">
        <v>2018</v>
      </c>
      <c r="B1275" s="8" t="s">
        <v>57</v>
      </c>
      <c r="C1275" s="8" t="s">
        <v>26</v>
      </c>
      <c r="D1275" s="14">
        <v>19970</v>
      </c>
      <c r="E1275" s="14">
        <v>190736</v>
      </c>
      <c r="F1275" s="15">
        <v>61821</v>
      </c>
    </row>
    <row r="1276" spans="1:6" x14ac:dyDescent="0.3">
      <c r="A1276" s="7">
        <v>2018</v>
      </c>
      <c r="B1276" s="8" t="s">
        <v>57</v>
      </c>
      <c r="C1276" s="8" t="s">
        <v>27</v>
      </c>
      <c r="D1276" s="14">
        <v>12323</v>
      </c>
      <c r="E1276" s="14">
        <v>82831</v>
      </c>
      <c r="F1276" s="15">
        <v>77486</v>
      </c>
    </row>
    <row r="1277" spans="1:6" x14ac:dyDescent="0.3">
      <c r="A1277" s="7">
        <v>2018</v>
      </c>
      <c r="B1277" s="8" t="s">
        <v>57</v>
      </c>
      <c r="C1277" s="8" t="s">
        <v>28</v>
      </c>
      <c r="D1277" s="14">
        <v>51837</v>
      </c>
      <c r="E1277" s="14">
        <v>671419</v>
      </c>
      <c r="F1277" s="15">
        <v>90784</v>
      </c>
    </row>
    <row r="1278" spans="1:6" x14ac:dyDescent="0.3">
      <c r="A1278" s="7">
        <v>2018</v>
      </c>
      <c r="B1278" s="8" t="s">
        <v>57</v>
      </c>
      <c r="C1278" s="8" t="s">
        <v>29</v>
      </c>
      <c r="D1278" s="14">
        <v>10669</v>
      </c>
      <c r="E1278" s="14">
        <v>106930</v>
      </c>
      <c r="F1278" s="15">
        <v>61899</v>
      </c>
    </row>
    <row r="1279" spans="1:6" x14ac:dyDescent="0.3">
      <c r="A1279" s="7">
        <v>2018</v>
      </c>
      <c r="B1279" s="8" t="s">
        <v>57</v>
      </c>
      <c r="C1279" s="8" t="s">
        <v>30</v>
      </c>
      <c r="D1279" s="14">
        <v>112471</v>
      </c>
      <c r="E1279" s="14">
        <v>1339421</v>
      </c>
      <c r="F1279" s="15">
        <v>95057</v>
      </c>
    </row>
    <row r="1280" spans="1:6" x14ac:dyDescent="0.3">
      <c r="A1280" s="7">
        <v>2018</v>
      </c>
      <c r="B1280" s="8" t="s">
        <v>57</v>
      </c>
      <c r="C1280" s="8" t="s">
        <v>31</v>
      </c>
      <c r="D1280" s="14">
        <v>58892</v>
      </c>
      <c r="E1280" s="14">
        <v>635554</v>
      </c>
      <c r="F1280" s="15">
        <v>65609</v>
      </c>
    </row>
    <row r="1281" spans="1:6" x14ac:dyDescent="0.3">
      <c r="A1281" s="7">
        <v>2018</v>
      </c>
      <c r="B1281" s="8" t="s">
        <v>57</v>
      </c>
      <c r="C1281" s="8" t="s">
        <v>32</v>
      </c>
      <c r="D1281" s="14">
        <v>5130</v>
      </c>
      <c r="E1281" s="14">
        <v>34560</v>
      </c>
      <c r="F1281" s="15">
        <v>61774</v>
      </c>
    </row>
    <row r="1282" spans="1:6" x14ac:dyDescent="0.3">
      <c r="A1282" s="7">
        <v>2018</v>
      </c>
      <c r="B1282" s="8" t="s">
        <v>57</v>
      </c>
      <c r="C1282" s="8" t="s">
        <v>33</v>
      </c>
      <c r="D1282" s="14">
        <v>53280</v>
      </c>
      <c r="E1282" s="14">
        <v>729430</v>
      </c>
      <c r="F1282" s="15">
        <v>64006</v>
      </c>
    </row>
    <row r="1283" spans="1:6" x14ac:dyDescent="0.3">
      <c r="A1283" s="7">
        <v>2018</v>
      </c>
      <c r="B1283" s="8" t="s">
        <v>57</v>
      </c>
      <c r="C1283" s="8" t="s">
        <v>34</v>
      </c>
      <c r="D1283" s="14">
        <v>20594</v>
      </c>
      <c r="E1283" s="14">
        <v>191261</v>
      </c>
      <c r="F1283" s="15">
        <v>52227</v>
      </c>
    </row>
    <row r="1284" spans="1:6" x14ac:dyDescent="0.3">
      <c r="A1284" s="7">
        <v>2018</v>
      </c>
      <c r="B1284" s="8" t="s">
        <v>57</v>
      </c>
      <c r="C1284" s="8" t="s">
        <v>35</v>
      </c>
      <c r="D1284" s="14">
        <v>25462</v>
      </c>
      <c r="E1284" s="14">
        <v>248627</v>
      </c>
      <c r="F1284" s="15">
        <v>69806</v>
      </c>
    </row>
    <row r="1285" spans="1:6" x14ac:dyDescent="0.3">
      <c r="A1285" s="7">
        <v>2018</v>
      </c>
      <c r="B1285" s="8" t="s">
        <v>57</v>
      </c>
      <c r="C1285" s="8" t="s">
        <v>36</v>
      </c>
      <c r="D1285" s="14">
        <v>63415</v>
      </c>
      <c r="E1285" s="14">
        <v>806555</v>
      </c>
      <c r="F1285" s="15">
        <v>78092</v>
      </c>
    </row>
    <row r="1286" spans="1:6" x14ac:dyDescent="0.3">
      <c r="A1286" s="7">
        <v>2018</v>
      </c>
      <c r="B1286" s="8" t="s">
        <v>57</v>
      </c>
      <c r="C1286" s="8" t="s">
        <v>37</v>
      </c>
      <c r="D1286" s="14">
        <v>8651</v>
      </c>
      <c r="E1286" s="14">
        <v>68430</v>
      </c>
      <c r="F1286" s="15">
        <v>68957</v>
      </c>
    </row>
    <row r="1287" spans="1:6" x14ac:dyDescent="0.3">
      <c r="A1287" s="7">
        <v>2018</v>
      </c>
      <c r="B1287" s="8" t="s">
        <v>57</v>
      </c>
      <c r="C1287" s="8" t="s">
        <v>38</v>
      </c>
      <c r="D1287" s="14">
        <v>26993</v>
      </c>
      <c r="E1287" s="14">
        <v>293499</v>
      </c>
      <c r="F1287" s="15">
        <v>50391</v>
      </c>
    </row>
    <row r="1288" spans="1:6" x14ac:dyDescent="0.3">
      <c r="A1288" s="7">
        <v>2018</v>
      </c>
      <c r="B1288" s="8" t="s">
        <v>57</v>
      </c>
      <c r="C1288" s="8" t="s">
        <v>39</v>
      </c>
      <c r="D1288" s="14">
        <v>5205</v>
      </c>
      <c r="E1288" s="14">
        <v>32354</v>
      </c>
      <c r="F1288" s="15">
        <v>56384</v>
      </c>
    </row>
    <row r="1289" spans="1:6" x14ac:dyDescent="0.3">
      <c r="A1289" s="7">
        <v>2018</v>
      </c>
      <c r="B1289" s="8" t="s">
        <v>57</v>
      </c>
      <c r="C1289" s="8" t="s">
        <v>40</v>
      </c>
      <c r="D1289" s="14">
        <v>29519</v>
      </c>
      <c r="E1289" s="14">
        <v>417345</v>
      </c>
      <c r="F1289" s="15">
        <v>59851</v>
      </c>
    </row>
    <row r="1290" spans="1:6" x14ac:dyDescent="0.3">
      <c r="A1290" s="7">
        <v>2018</v>
      </c>
      <c r="B1290" s="8" t="s">
        <v>57</v>
      </c>
      <c r="C1290" s="8" t="s">
        <v>41</v>
      </c>
      <c r="D1290" s="14">
        <v>134025</v>
      </c>
      <c r="E1290" s="14">
        <v>1736415</v>
      </c>
      <c r="F1290" s="15">
        <v>74443</v>
      </c>
    </row>
    <row r="1291" spans="1:6" x14ac:dyDescent="0.3">
      <c r="A1291" s="7">
        <v>2018</v>
      </c>
      <c r="B1291" s="8" t="s">
        <v>57</v>
      </c>
      <c r="C1291" s="8" t="s">
        <v>42</v>
      </c>
      <c r="D1291" s="14">
        <v>23036</v>
      </c>
      <c r="E1291" s="14">
        <v>215564</v>
      </c>
      <c r="F1291" s="15">
        <v>59543</v>
      </c>
    </row>
    <row r="1292" spans="1:6" x14ac:dyDescent="0.3">
      <c r="A1292" s="7">
        <v>2018</v>
      </c>
      <c r="B1292" s="8" t="s">
        <v>57</v>
      </c>
      <c r="C1292" s="8" t="s">
        <v>43</v>
      </c>
      <c r="D1292" s="14">
        <v>5661</v>
      </c>
      <c r="E1292" s="14">
        <v>28976</v>
      </c>
      <c r="F1292" s="15">
        <v>64917</v>
      </c>
    </row>
    <row r="1293" spans="1:6" x14ac:dyDescent="0.3">
      <c r="A1293" s="7">
        <v>2018</v>
      </c>
      <c r="B1293" s="8" t="s">
        <v>57</v>
      </c>
      <c r="C1293" s="8" t="s">
        <v>44</v>
      </c>
      <c r="D1293" s="14">
        <v>58849</v>
      </c>
      <c r="E1293" s="14">
        <v>746452</v>
      </c>
      <c r="F1293" s="15">
        <v>87511</v>
      </c>
    </row>
    <row r="1294" spans="1:6" x14ac:dyDescent="0.3">
      <c r="A1294" s="7">
        <v>2018</v>
      </c>
      <c r="B1294" s="8" t="s">
        <v>57</v>
      </c>
      <c r="C1294" s="8" t="s">
        <v>45</v>
      </c>
      <c r="D1294" s="14">
        <v>40209</v>
      </c>
      <c r="E1294" s="14">
        <v>414712</v>
      </c>
      <c r="F1294" s="15">
        <v>82245</v>
      </c>
    </row>
    <row r="1295" spans="1:6" x14ac:dyDescent="0.3">
      <c r="A1295" s="7">
        <v>2018</v>
      </c>
      <c r="B1295" s="8" t="s">
        <v>57</v>
      </c>
      <c r="C1295" s="8" t="s">
        <v>46</v>
      </c>
      <c r="D1295" s="14">
        <v>8323</v>
      </c>
      <c r="E1295" s="14">
        <v>68965</v>
      </c>
      <c r="F1295" s="15">
        <v>51745</v>
      </c>
    </row>
    <row r="1296" spans="1:6" x14ac:dyDescent="0.3">
      <c r="A1296" s="7">
        <v>2018</v>
      </c>
      <c r="B1296" s="8" t="s">
        <v>57</v>
      </c>
      <c r="C1296" s="8" t="s">
        <v>47</v>
      </c>
      <c r="D1296" s="14">
        <v>25856</v>
      </c>
      <c r="E1296" s="14">
        <v>327719</v>
      </c>
      <c r="F1296" s="15">
        <v>60773</v>
      </c>
    </row>
    <row r="1297" spans="1:6" x14ac:dyDescent="0.3">
      <c r="A1297" s="7">
        <v>2018</v>
      </c>
      <c r="B1297" s="8" t="s">
        <v>57</v>
      </c>
      <c r="C1297" s="8" t="s">
        <v>48</v>
      </c>
      <c r="D1297" s="14">
        <v>4559</v>
      </c>
      <c r="E1297" s="14">
        <v>18733</v>
      </c>
      <c r="F1297" s="15">
        <v>52783</v>
      </c>
    </row>
    <row r="1298" spans="1:6" x14ac:dyDescent="0.3">
      <c r="A1298" s="7">
        <v>2018</v>
      </c>
      <c r="B1298" s="8" t="s">
        <v>58</v>
      </c>
      <c r="C1298" s="8" t="s">
        <v>1</v>
      </c>
      <c r="D1298" s="14">
        <v>12678</v>
      </c>
      <c r="E1298" s="14">
        <v>233306</v>
      </c>
      <c r="F1298" s="15">
        <v>46432</v>
      </c>
    </row>
    <row r="1299" spans="1:6" x14ac:dyDescent="0.3">
      <c r="A1299" s="7">
        <v>2018</v>
      </c>
      <c r="B1299" s="8" t="s">
        <v>58</v>
      </c>
      <c r="C1299" s="8" t="s">
        <v>2</v>
      </c>
      <c r="D1299" s="14">
        <v>18037</v>
      </c>
      <c r="E1299" s="14">
        <v>440616</v>
      </c>
      <c r="F1299" s="15">
        <v>51125</v>
      </c>
    </row>
    <row r="1300" spans="1:6" x14ac:dyDescent="0.3">
      <c r="A1300" s="7">
        <v>2018</v>
      </c>
      <c r="B1300" s="8" t="s">
        <v>58</v>
      </c>
      <c r="C1300" s="8" t="s">
        <v>3</v>
      </c>
      <c r="D1300" s="14">
        <v>15788</v>
      </c>
      <c r="E1300" s="14">
        <v>186119</v>
      </c>
      <c r="F1300" s="15">
        <v>42468</v>
      </c>
    </row>
    <row r="1301" spans="1:6" x14ac:dyDescent="0.3">
      <c r="A1301" s="7">
        <v>2018</v>
      </c>
      <c r="B1301" s="8" t="s">
        <v>58</v>
      </c>
      <c r="C1301" s="8" t="s">
        <v>4</v>
      </c>
      <c r="D1301" s="14">
        <v>618901</v>
      </c>
      <c r="E1301" s="14">
        <v>2649228</v>
      </c>
      <c r="F1301" s="15">
        <v>52187</v>
      </c>
    </row>
    <row r="1302" spans="1:6" x14ac:dyDescent="0.3">
      <c r="A1302" s="7">
        <v>2018</v>
      </c>
      <c r="B1302" s="8" t="s">
        <v>58</v>
      </c>
      <c r="C1302" s="8" t="s">
        <v>5</v>
      </c>
      <c r="D1302" s="14">
        <v>21666</v>
      </c>
      <c r="E1302" s="14">
        <v>335274</v>
      </c>
      <c r="F1302" s="15">
        <v>50156</v>
      </c>
    </row>
    <row r="1303" spans="1:6" x14ac:dyDescent="0.3">
      <c r="A1303" s="7">
        <v>2018</v>
      </c>
      <c r="B1303" s="8" t="s">
        <v>58</v>
      </c>
      <c r="C1303" s="8" t="s">
        <v>6</v>
      </c>
      <c r="D1303" s="14">
        <v>13090</v>
      </c>
      <c r="E1303" s="14">
        <v>326866</v>
      </c>
      <c r="F1303" s="15">
        <v>55369</v>
      </c>
    </row>
    <row r="1304" spans="1:6" x14ac:dyDescent="0.3">
      <c r="A1304" s="7">
        <v>2018</v>
      </c>
      <c r="B1304" s="8" t="s">
        <v>58</v>
      </c>
      <c r="C1304" s="8" t="s">
        <v>7</v>
      </c>
      <c r="D1304" s="14">
        <v>5063</v>
      </c>
      <c r="E1304" s="14">
        <v>75524</v>
      </c>
      <c r="F1304" s="15">
        <v>53795</v>
      </c>
    </row>
    <row r="1305" spans="1:6" x14ac:dyDescent="0.3">
      <c r="A1305" s="7">
        <v>2018</v>
      </c>
      <c r="B1305" s="8" t="s">
        <v>58</v>
      </c>
      <c r="C1305" s="8" t="s">
        <v>8</v>
      </c>
      <c r="D1305" s="14">
        <v>73761</v>
      </c>
      <c r="E1305" s="14">
        <v>1287814</v>
      </c>
      <c r="F1305" s="15">
        <v>50781</v>
      </c>
    </row>
    <row r="1306" spans="1:6" x14ac:dyDescent="0.3">
      <c r="A1306" s="7">
        <v>2018</v>
      </c>
      <c r="B1306" s="8" t="s">
        <v>58</v>
      </c>
      <c r="C1306" s="8" t="s">
        <v>9</v>
      </c>
      <c r="D1306" s="14">
        <v>28952</v>
      </c>
      <c r="E1306" s="14">
        <v>562436</v>
      </c>
      <c r="F1306" s="15">
        <v>52062</v>
      </c>
    </row>
    <row r="1307" spans="1:6" x14ac:dyDescent="0.3">
      <c r="A1307" s="7">
        <v>2018</v>
      </c>
      <c r="B1307" s="8" t="s">
        <v>58</v>
      </c>
      <c r="C1307" s="8" t="s">
        <v>10</v>
      </c>
      <c r="D1307" s="14">
        <v>7824</v>
      </c>
      <c r="E1307" s="14">
        <v>100212</v>
      </c>
      <c r="F1307" s="15">
        <v>42047</v>
      </c>
    </row>
    <row r="1308" spans="1:6" x14ac:dyDescent="0.3">
      <c r="A1308" s="7">
        <v>2018</v>
      </c>
      <c r="B1308" s="8" t="s">
        <v>58</v>
      </c>
      <c r="C1308" s="8" t="s">
        <v>11</v>
      </c>
      <c r="D1308" s="14">
        <v>34720</v>
      </c>
      <c r="E1308" s="14">
        <v>919288</v>
      </c>
      <c r="F1308" s="15">
        <v>50959</v>
      </c>
    </row>
    <row r="1309" spans="1:6" x14ac:dyDescent="0.3">
      <c r="A1309" s="7">
        <v>2018</v>
      </c>
      <c r="B1309" s="8" t="s">
        <v>58</v>
      </c>
      <c r="C1309" s="8" t="s">
        <v>12</v>
      </c>
      <c r="D1309" s="14">
        <v>15692</v>
      </c>
      <c r="E1309" s="14">
        <v>459398</v>
      </c>
      <c r="F1309" s="15">
        <v>47681</v>
      </c>
    </row>
    <row r="1310" spans="1:6" x14ac:dyDescent="0.3">
      <c r="A1310" s="7">
        <v>2018</v>
      </c>
      <c r="B1310" s="8" t="s">
        <v>58</v>
      </c>
      <c r="C1310" s="8" t="s">
        <v>13</v>
      </c>
      <c r="D1310" s="14">
        <v>11589</v>
      </c>
      <c r="E1310" s="14">
        <v>219674</v>
      </c>
      <c r="F1310" s="15">
        <v>43022</v>
      </c>
    </row>
    <row r="1311" spans="1:6" x14ac:dyDescent="0.3">
      <c r="A1311" s="7">
        <v>2018</v>
      </c>
      <c r="B1311" s="8" t="s">
        <v>58</v>
      </c>
      <c r="C1311" s="8" t="s">
        <v>14</v>
      </c>
      <c r="D1311" s="14">
        <v>10277</v>
      </c>
      <c r="E1311" s="14">
        <v>195132</v>
      </c>
      <c r="F1311" s="15">
        <v>42586</v>
      </c>
    </row>
    <row r="1312" spans="1:6" x14ac:dyDescent="0.3">
      <c r="A1312" s="7">
        <v>2018</v>
      </c>
      <c r="B1312" s="8" t="s">
        <v>58</v>
      </c>
      <c r="C1312" s="8" t="s">
        <v>15</v>
      </c>
      <c r="D1312" s="14">
        <v>18161</v>
      </c>
      <c r="E1312" s="14">
        <v>267486</v>
      </c>
      <c r="F1312" s="15">
        <v>48210</v>
      </c>
    </row>
    <row r="1313" spans="1:6" x14ac:dyDescent="0.3">
      <c r="A1313" s="7">
        <v>2018</v>
      </c>
      <c r="B1313" s="8" t="s">
        <v>58</v>
      </c>
      <c r="C1313" s="8" t="s">
        <v>16</v>
      </c>
      <c r="D1313" s="14">
        <v>15480</v>
      </c>
      <c r="E1313" s="14">
        <v>300015</v>
      </c>
      <c r="F1313" s="15">
        <v>43339</v>
      </c>
    </row>
    <row r="1314" spans="1:6" x14ac:dyDescent="0.3">
      <c r="A1314" s="7">
        <v>2018</v>
      </c>
      <c r="B1314" s="8" t="s">
        <v>58</v>
      </c>
      <c r="C1314" s="8" t="s">
        <v>17</v>
      </c>
      <c r="D1314" s="14">
        <v>5483</v>
      </c>
      <c r="E1314" s="14">
        <v>118009</v>
      </c>
      <c r="F1314" s="15">
        <v>47535</v>
      </c>
    </row>
    <row r="1315" spans="1:6" x14ac:dyDescent="0.3">
      <c r="A1315" s="7">
        <v>2018</v>
      </c>
      <c r="B1315" s="8" t="s">
        <v>58</v>
      </c>
      <c r="C1315" s="8" t="s">
        <v>18</v>
      </c>
      <c r="D1315" s="14">
        <v>20856</v>
      </c>
      <c r="E1315" s="14">
        <v>445328</v>
      </c>
      <c r="F1315" s="15">
        <v>54310</v>
      </c>
    </row>
    <row r="1316" spans="1:6" x14ac:dyDescent="0.3">
      <c r="A1316" s="7">
        <v>2018</v>
      </c>
      <c r="B1316" s="8" t="s">
        <v>58</v>
      </c>
      <c r="C1316" s="8" t="s">
        <v>19</v>
      </c>
      <c r="D1316" s="14">
        <v>66364</v>
      </c>
      <c r="E1316" s="14">
        <v>773683</v>
      </c>
      <c r="F1316" s="15">
        <v>58448</v>
      </c>
    </row>
    <row r="1317" spans="1:6" x14ac:dyDescent="0.3">
      <c r="A1317" s="7">
        <v>2018</v>
      </c>
      <c r="B1317" s="8" t="s">
        <v>58</v>
      </c>
      <c r="C1317" s="8" t="s">
        <v>20</v>
      </c>
      <c r="D1317" s="14">
        <v>24822</v>
      </c>
      <c r="E1317" s="14">
        <v>659230</v>
      </c>
      <c r="F1317" s="15">
        <v>49739</v>
      </c>
    </row>
    <row r="1318" spans="1:6" x14ac:dyDescent="0.3">
      <c r="A1318" s="7">
        <v>2018</v>
      </c>
      <c r="B1318" s="8" t="s">
        <v>58</v>
      </c>
      <c r="C1318" s="8" t="s">
        <v>21</v>
      </c>
      <c r="D1318" s="14">
        <v>19210</v>
      </c>
      <c r="E1318" s="14">
        <v>526556</v>
      </c>
      <c r="F1318" s="15">
        <v>51469</v>
      </c>
    </row>
    <row r="1319" spans="1:6" x14ac:dyDescent="0.3">
      <c r="A1319" s="7">
        <v>2018</v>
      </c>
      <c r="B1319" s="8" t="s">
        <v>58</v>
      </c>
      <c r="C1319" s="8" t="s">
        <v>22</v>
      </c>
      <c r="D1319" s="14">
        <v>7531</v>
      </c>
      <c r="E1319" s="14">
        <v>144105</v>
      </c>
      <c r="F1319" s="15">
        <v>41620</v>
      </c>
    </row>
    <row r="1320" spans="1:6" x14ac:dyDescent="0.3">
      <c r="A1320" s="7">
        <v>2018</v>
      </c>
      <c r="B1320" s="8" t="s">
        <v>58</v>
      </c>
      <c r="C1320" s="8" t="s">
        <v>23</v>
      </c>
      <c r="D1320" s="14">
        <v>48555</v>
      </c>
      <c r="E1320" s="14">
        <v>454728</v>
      </c>
      <c r="F1320" s="15">
        <v>46127</v>
      </c>
    </row>
    <row r="1321" spans="1:6" x14ac:dyDescent="0.3">
      <c r="A1321" s="7">
        <v>2018</v>
      </c>
      <c r="B1321" s="8" t="s">
        <v>58</v>
      </c>
      <c r="C1321" s="8" t="s">
        <v>24</v>
      </c>
      <c r="D1321" s="14">
        <v>4637</v>
      </c>
      <c r="E1321" s="14">
        <v>73530</v>
      </c>
      <c r="F1321" s="15">
        <v>47539</v>
      </c>
    </row>
    <row r="1322" spans="1:6" x14ac:dyDescent="0.3">
      <c r="A1322" s="7">
        <v>2018</v>
      </c>
      <c r="B1322" s="8" t="s">
        <v>58</v>
      </c>
      <c r="C1322" s="8" t="s">
        <v>25</v>
      </c>
      <c r="D1322" s="14">
        <v>12205</v>
      </c>
      <c r="E1322" s="14">
        <v>138155</v>
      </c>
      <c r="F1322" s="15">
        <v>46678</v>
      </c>
    </row>
    <row r="1323" spans="1:6" x14ac:dyDescent="0.3">
      <c r="A1323" s="7">
        <v>2018</v>
      </c>
      <c r="B1323" s="8" t="s">
        <v>58</v>
      </c>
      <c r="C1323" s="8" t="s">
        <v>26</v>
      </c>
      <c r="D1323" s="14">
        <v>8913</v>
      </c>
      <c r="E1323" s="14">
        <v>139036</v>
      </c>
      <c r="F1323" s="15">
        <v>54167</v>
      </c>
    </row>
    <row r="1324" spans="1:6" x14ac:dyDescent="0.3">
      <c r="A1324" s="7">
        <v>2018</v>
      </c>
      <c r="B1324" s="8" t="s">
        <v>58</v>
      </c>
      <c r="C1324" s="8" t="s">
        <v>27</v>
      </c>
      <c r="D1324" s="14">
        <v>4700</v>
      </c>
      <c r="E1324" s="14">
        <v>112567</v>
      </c>
      <c r="F1324" s="15">
        <v>56317</v>
      </c>
    </row>
    <row r="1325" spans="1:6" x14ac:dyDescent="0.3">
      <c r="A1325" s="7">
        <v>2018</v>
      </c>
      <c r="B1325" s="8" t="s">
        <v>58</v>
      </c>
      <c r="C1325" s="8" t="s">
        <v>28</v>
      </c>
      <c r="D1325" s="14">
        <v>37328</v>
      </c>
      <c r="E1325" s="14">
        <v>656716</v>
      </c>
      <c r="F1325" s="15">
        <v>53402</v>
      </c>
    </row>
    <row r="1326" spans="1:6" x14ac:dyDescent="0.3">
      <c r="A1326" s="7">
        <v>2018</v>
      </c>
      <c r="B1326" s="8" t="s">
        <v>58</v>
      </c>
      <c r="C1326" s="8" t="s">
        <v>29</v>
      </c>
      <c r="D1326" s="14">
        <v>10221</v>
      </c>
      <c r="E1326" s="14">
        <v>128590</v>
      </c>
      <c r="F1326" s="15">
        <v>41645</v>
      </c>
    </row>
    <row r="1327" spans="1:6" x14ac:dyDescent="0.3">
      <c r="A1327" s="7">
        <v>2018</v>
      </c>
      <c r="B1327" s="8" t="s">
        <v>58</v>
      </c>
      <c r="C1327" s="8" t="s">
        <v>30</v>
      </c>
      <c r="D1327" s="14">
        <v>67399</v>
      </c>
      <c r="E1327" s="14">
        <v>1914153</v>
      </c>
      <c r="F1327" s="15">
        <v>53467</v>
      </c>
    </row>
    <row r="1328" spans="1:6" x14ac:dyDescent="0.3">
      <c r="A1328" s="7">
        <v>2018</v>
      </c>
      <c r="B1328" s="8" t="s">
        <v>58</v>
      </c>
      <c r="C1328" s="8" t="s">
        <v>31</v>
      </c>
      <c r="D1328" s="14">
        <v>27210</v>
      </c>
      <c r="E1328" s="14">
        <v>592067</v>
      </c>
      <c r="F1328" s="15">
        <v>48381</v>
      </c>
    </row>
    <row r="1329" spans="1:6" x14ac:dyDescent="0.3">
      <c r="A1329" s="7">
        <v>2018</v>
      </c>
      <c r="B1329" s="8" t="s">
        <v>58</v>
      </c>
      <c r="C1329" s="8" t="s">
        <v>32</v>
      </c>
      <c r="D1329" s="14">
        <v>2558</v>
      </c>
      <c r="E1329" s="14">
        <v>62184</v>
      </c>
      <c r="F1329" s="15">
        <v>51404</v>
      </c>
    </row>
    <row r="1330" spans="1:6" x14ac:dyDescent="0.3">
      <c r="A1330" s="7">
        <v>2018</v>
      </c>
      <c r="B1330" s="8" t="s">
        <v>58</v>
      </c>
      <c r="C1330" s="8" t="s">
        <v>33</v>
      </c>
      <c r="D1330" s="14">
        <v>34508</v>
      </c>
      <c r="E1330" s="14">
        <v>904140</v>
      </c>
      <c r="F1330" s="15">
        <v>46408</v>
      </c>
    </row>
    <row r="1331" spans="1:6" x14ac:dyDescent="0.3">
      <c r="A1331" s="7">
        <v>2018</v>
      </c>
      <c r="B1331" s="8" t="s">
        <v>58</v>
      </c>
      <c r="C1331" s="8" t="s">
        <v>34</v>
      </c>
      <c r="D1331" s="14">
        <v>13563</v>
      </c>
      <c r="E1331" s="14">
        <v>209863</v>
      </c>
      <c r="F1331" s="15">
        <v>45570</v>
      </c>
    </row>
    <row r="1332" spans="1:6" x14ac:dyDescent="0.3">
      <c r="A1332" s="7">
        <v>2018</v>
      </c>
      <c r="B1332" s="8" t="s">
        <v>58</v>
      </c>
      <c r="C1332" s="8" t="s">
        <v>35</v>
      </c>
      <c r="D1332" s="14">
        <v>15708</v>
      </c>
      <c r="E1332" s="14">
        <v>288939</v>
      </c>
      <c r="F1332" s="15">
        <v>50107</v>
      </c>
    </row>
    <row r="1333" spans="1:6" x14ac:dyDescent="0.3">
      <c r="A1333" s="7">
        <v>2018</v>
      </c>
      <c r="B1333" s="8" t="s">
        <v>58</v>
      </c>
      <c r="C1333" s="8" t="s">
        <v>36</v>
      </c>
      <c r="D1333" s="14">
        <v>57768</v>
      </c>
      <c r="E1333" s="14">
        <v>1209344</v>
      </c>
      <c r="F1333" s="15">
        <v>51808</v>
      </c>
    </row>
    <row r="1334" spans="1:6" x14ac:dyDescent="0.3">
      <c r="A1334" s="7">
        <v>2018</v>
      </c>
      <c r="B1334" s="8" t="s">
        <v>58</v>
      </c>
      <c r="C1334" s="8" t="s">
        <v>37</v>
      </c>
      <c r="D1334" s="14">
        <v>4545</v>
      </c>
      <c r="E1334" s="14">
        <v>100506</v>
      </c>
      <c r="F1334" s="15">
        <v>48716</v>
      </c>
    </row>
    <row r="1335" spans="1:6" x14ac:dyDescent="0.3">
      <c r="A1335" s="7">
        <v>2018</v>
      </c>
      <c r="B1335" s="8" t="s">
        <v>58</v>
      </c>
      <c r="C1335" s="8" t="s">
        <v>38</v>
      </c>
      <c r="D1335" s="14">
        <v>11971</v>
      </c>
      <c r="E1335" s="14">
        <v>234487</v>
      </c>
      <c r="F1335" s="15">
        <v>45993</v>
      </c>
    </row>
    <row r="1336" spans="1:6" x14ac:dyDescent="0.3">
      <c r="A1336" s="7">
        <v>2018</v>
      </c>
      <c r="B1336" s="8" t="s">
        <v>58</v>
      </c>
      <c r="C1336" s="8" t="s">
        <v>39</v>
      </c>
      <c r="D1336" s="14">
        <v>2839</v>
      </c>
      <c r="E1336" s="14">
        <v>67868</v>
      </c>
      <c r="F1336" s="15">
        <v>50399</v>
      </c>
    </row>
    <row r="1337" spans="1:6" x14ac:dyDescent="0.3">
      <c r="A1337" s="7">
        <v>2018</v>
      </c>
      <c r="B1337" s="8" t="s">
        <v>58</v>
      </c>
      <c r="C1337" s="8" t="s">
        <v>40</v>
      </c>
      <c r="D1337" s="14">
        <v>16127</v>
      </c>
      <c r="E1337" s="14">
        <v>420817</v>
      </c>
      <c r="F1337" s="15">
        <v>52099</v>
      </c>
    </row>
    <row r="1338" spans="1:6" x14ac:dyDescent="0.3">
      <c r="A1338" s="7">
        <v>2018</v>
      </c>
      <c r="B1338" s="8" t="s">
        <v>58</v>
      </c>
      <c r="C1338" s="8" t="s">
        <v>41</v>
      </c>
      <c r="D1338" s="14">
        <v>90552</v>
      </c>
      <c r="E1338" s="14">
        <v>1641637</v>
      </c>
      <c r="F1338" s="15">
        <v>48036</v>
      </c>
    </row>
    <row r="1339" spans="1:6" x14ac:dyDescent="0.3">
      <c r="A1339" s="7">
        <v>2018</v>
      </c>
      <c r="B1339" s="8" t="s">
        <v>58</v>
      </c>
      <c r="C1339" s="8" t="s">
        <v>42</v>
      </c>
      <c r="D1339" s="14">
        <v>12264</v>
      </c>
      <c r="E1339" s="14">
        <v>186785</v>
      </c>
      <c r="F1339" s="15">
        <v>43696</v>
      </c>
    </row>
    <row r="1340" spans="1:6" x14ac:dyDescent="0.3">
      <c r="A1340" s="7">
        <v>2018</v>
      </c>
      <c r="B1340" s="8" t="s">
        <v>58</v>
      </c>
      <c r="C1340" s="8" t="s">
        <v>43</v>
      </c>
      <c r="D1340" s="14">
        <v>2463</v>
      </c>
      <c r="E1340" s="14">
        <v>62630</v>
      </c>
      <c r="F1340" s="15">
        <v>46699</v>
      </c>
    </row>
    <row r="1341" spans="1:6" x14ac:dyDescent="0.3">
      <c r="A1341" s="7">
        <v>2018</v>
      </c>
      <c r="B1341" s="8" t="s">
        <v>58</v>
      </c>
      <c r="C1341" s="8" t="s">
        <v>44</v>
      </c>
      <c r="D1341" s="14">
        <v>43566</v>
      </c>
      <c r="E1341" s="14">
        <v>505487</v>
      </c>
      <c r="F1341" s="15">
        <v>49627</v>
      </c>
    </row>
    <row r="1342" spans="1:6" x14ac:dyDescent="0.3">
      <c r="A1342" s="7">
        <v>2018</v>
      </c>
      <c r="B1342" s="8" t="s">
        <v>58</v>
      </c>
      <c r="C1342" s="8" t="s">
        <v>45</v>
      </c>
      <c r="D1342" s="14">
        <v>61026</v>
      </c>
      <c r="E1342" s="14">
        <v>465717</v>
      </c>
      <c r="F1342" s="15">
        <v>51354</v>
      </c>
    </row>
    <row r="1343" spans="1:6" x14ac:dyDescent="0.3">
      <c r="A1343" s="7">
        <v>2018</v>
      </c>
      <c r="B1343" s="8" t="s">
        <v>58</v>
      </c>
      <c r="C1343" s="8" t="s">
        <v>46</v>
      </c>
      <c r="D1343" s="14">
        <v>5765</v>
      </c>
      <c r="E1343" s="14">
        <v>124431</v>
      </c>
      <c r="F1343" s="15">
        <v>46182</v>
      </c>
    </row>
    <row r="1344" spans="1:6" x14ac:dyDescent="0.3">
      <c r="A1344" s="7">
        <v>2018</v>
      </c>
      <c r="B1344" s="8" t="s">
        <v>58</v>
      </c>
      <c r="C1344" s="8" t="s">
        <v>47</v>
      </c>
      <c r="D1344" s="14">
        <v>28013</v>
      </c>
      <c r="E1344" s="14">
        <v>434143</v>
      </c>
      <c r="F1344" s="15">
        <v>49195</v>
      </c>
    </row>
    <row r="1345" spans="1:6" x14ac:dyDescent="0.3">
      <c r="A1345" s="7">
        <v>2018</v>
      </c>
      <c r="B1345" s="8" t="s">
        <v>58</v>
      </c>
      <c r="C1345" s="8" t="s">
        <v>48</v>
      </c>
      <c r="D1345" s="14">
        <v>3338</v>
      </c>
      <c r="E1345" s="14">
        <v>26972</v>
      </c>
      <c r="F1345" s="15">
        <v>42906</v>
      </c>
    </row>
    <row r="1346" spans="1:6" x14ac:dyDescent="0.3">
      <c r="A1346" s="7">
        <v>2018</v>
      </c>
      <c r="B1346" s="8" t="s">
        <v>59</v>
      </c>
      <c r="C1346" s="8" t="s">
        <v>1</v>
      </c>
      <c r="D1346" s="14">
        <v>10993</v>
      </c>
      <c r="E1346" s="14">
        <v>205942</v>
      </c>
      <c r="F1346" s="15">
        <v>16798</v>
      </c>
    </row>
    <row r="1347" spans="1:6" x14ac:dyDescent="0.3">
      <c r="A1347" s="7">
        <v>2018</v>
      </c>
      <c r="B1347" s="8" t="s">
        <v>59</v>
      </c>
      <c r="C1347" s="8" t="s">
        <v>2</v>
      </c>
      <c r="D1347" s="14">
        <v>13627</v>
      </c>
      <c r="E1347" s="14">
        <v>325897</v>
      </c>
      <c r="F1347" s="15">
        <v>24580</v>
      </c>
    </row>
    <row r="1348" spans="1:6" x14ac:dyDescent="0.3">
      <c r="A1348" s="7">
        <v>2018</v>
      </c>
      <c r="B1348" s="8" t="s">
        <v>59</v>
      </c>
      <c r="C1348" s="8" t="s">
        <v>3</v>
      </c>
      <c r="D1348" s="14">
        <v>7168</v>
      </c>
      <c r="E1348" s="14">
        <v>118405</v>
      </c>
      <c r="F1348" s="15">
        <v>16536</v>
      </c>
    </row>
    <row r="1349" spans="1:6" x14ac:dyDescent="0.3">
      <c r="A1349" s="7">
        <v>2018</v>
      </c>
      <c r="B1349" s="8" t="s">
        <v>59</v>
      </c>
      <c r="C1349" s="8" t="s">
        <v>4</v>
      </c>
      <c r="D1349" s="14">
        <v>111455</v>
      </c>
      <c r="E1349" s="14">
        <v>1988750</v>
      </c>
      <c r="F1349" s="15">
        <v>30527</v>
      </c>
    </row>
    <row r="1350" spans="1:6" x14ac:dyDescent="0.3">
      <c r="A1350" s="7">
        <v>2018</v>
      </c>
      <c r="B1350" s="8" t="s">
        <v>59</v>
      </c>
      <c r="C1350" s="8" t="s">
        <v>5</v>
      </c>
      <c r="D1350" s="14">
        <v>16939</v>
      </c>
      <c r="E1350" s="14">
        <v>339407</v>
      </c>
      <c r="F1350" s="15">
        <v>25878</v>
      </c>
    </row>
    <row r="1351" spans="1:6" x14ac:dyDescent="0.3">
      <c r="A1351" s="7">
        <v>2018</v>
      </c>
      <c r="B1351" s="8" t="s">
        <v>59</v>
      </c>
      <c r="C1351" s="8" t="s">
        <v>6</v>
      </c>
      <c r="D1351" s="14">
        <v>10668</v>
      </c>
      <c r="E1351" s="14">
        <v>157709</v>
      </c>
      <c r="F1351" s="15">
        <v>23705</v>
      </c>
    </row>
    <row r="1352" spans="1:6" x14ac:dyDescent="0.3">
      <c r="A1352" s="7">
        <v>2018</v>
      </c>
      <c r="B1352" s="8" t="s">
        <v>59</v>
      </c>
      <c r="C1352" s="8" t="s">
        <v>7</v>
      </c>
      <c r="D1352" s="14">
        <v>2637</v>
      </c>
      <c r="E1352" s="14">
        <v>51696</v>
      </c>
      <c r="F1352" s="15">
        <v>20414</v>
      </c>
    </row>
    <row r="1353" spans="1:6" x14ac:dyDescent="0.3">
      <c r="A1353" s="7">
        <v>2018</v>
      </c>
      <c r="B1353" s="8" t="s">
        <v>59</v>
      </c>
      <c r="C1353" s="8" t="s">
        <v>8</v>
      </c>
      <c r="D1353" s="14">
        <v>56587</v>
      </c>
      <c r="E1353" s="14">
        <v>1226786</v>
      </c>
      <c r="F1353" s="15">
        <v>25881</v>
      </c>
    </row>
    <row r="1354" spans="1:6" x14ac:dyDescent="0.3">
      <c r="A1354" s="7">
        <v>2018</v>
      </c>
      <c r="B1354" s="8" t="s">
        <v>59</v>
      </c>
      <c r="C1354" s="8" t="s">
        <v>9</v>
      </c>
      <c r="D1354" s="14">
        <v>24275</v>
      </c>
      <c r="E1354" s="14">
        <v>487598</v>
      </c>
      <c r="F1354" s="15">
        <v>20604</v>
      </c>
    </row>
    <row r="1355" spans="1:6" x14ac:dyDescent="0.3">
      <c r="A1355" s="7">
        <v>2018</v>
      </c>
      <c r="B1355" s="8" t="s">
        <v>59</v>
      </c>
      <c r="C1355" s="8" t="s">
        <v>10</v>
      </c>
      <c r="D1355" s="14">
        <v>5008</v>
      </c>
      <c r="E1355" s="14">
        <v>78912</v>
      </c>
      <c r="F1355" s="15">
        <v>17141</v>
      </c>
    </row>
    <row r="1356" spans="1:6" x14ac:dyDescent="0.3">
      <c r="A1356" s="7">
        <v>2018</v>
      </c>
      <c r="B1356" s="8" t="s">
        <v>59</v>
      </c>
      <c r="C1356" s="8" t="s">
        <v>11</v>
      </c>
      <c r="D1356" s="14">
        <v>32619</v>
      </c>
      <c r="E1356" s="14">
        <v>617101</v>
      </c>
      <c r="F1356" s="15">
        <v>23765</v>
      </c>
    </row>
    <row r="1357" spans="1:6" x14ac:dyDescent="0.3">
      <c r="A1357" s="7">
        <v>2018</v>
      </c>
      <c r="B1357" s="8" t="s">
        <v>59</v>
      </c>
      <c r="C1357" s="8" t="s">
        <v>12</v>
      </c>
      <c r="D1357" s="14">
        <v>15564</v>
      </c>
      <c r="E1357" s="14">
        <v>310335</v>
      </c>
      <c r="F1357" s="15">
        <v>18981</v>
      </c>
    </row>
    <row r="1358" spans="1:6" x14ac:dyDescent="0.3">
      <c r="A1358" s="7">
        <v>2018</v>
      </c>
      <c r="B1358" s="8" t="s">
        <v>59</v>
      </c>
      <c r="C1358" s="8" t="s">
        <v>13</v>
      </c>
      <c r="D1358" s="14">
        <v>8670</v>
      </c>
      <c r="E1358" s="14">
        <v>143729</v>
      </c>
      <c r="F1358" s="15">
        <v>16799</v>
      </c>
    </row>
    <row r="1359" spans="1:6" x14ac:dyDescent="0.3">
      <c r="A1359" s="7">
        <v>2018</v>
      </c>
      <c r="B1359" s="8" t="s">
        <v>59</v>
      </c>
      <c r="C1359" s="8" t="s">
        <v>14</v>
      </c>
      <c r="D1359" s="14">
        <v>6895</v>
      </c>
      <c r="E1359" s="14">
        <v>129372</v>
      </c>
      <c r="F1359" s="15">
        <v>16764</v>
      </c>
    </row>
    <row r="1360" spans="1:6" x14ac:dyDescent="0.3">
      <c r="A1360" s="7">
        <v>2018</v>
      </c>
      <c r="B1360" s="8" t="s">
        <v>59</v>
      </c>
      <c r="C1360" s="8" t="s">
        <v>15</v>
      </c>
      <c r="D1360" s="14">
        <v>10080</v>
      </c>
      <c r="E1360" s="14">
        <v>197894</v>
      </c>
      <c r="F1360" s="15">
        <v>17719</v>
      </c>
    </row>
    <row r="1361" spans="1:6" x14ac:dyDescent="0.3">
      <c r="A1361" s="7">
        <v>2018</v>
      </c>
      <c r="B1361" s="8" t="s">
        <v>59</v>
      </c>
      <c r="C1361" s="8" t="s">
        <v>16</v>
      </c>
      <c r="D1361" s="14">
        <v>12415</v>
      </c>
      <c r="E1361" s="14">
        <v>236357</v>
      </c>
      <c r="F1361" s="15">
        <v>21264</v>
      </c>
    </row>
    <row r="1362" spans="1:6" x14ac:dyDescent="0.3">
      <c r="A1362" s="7">
        <v>2018</v>
      </c>
      <c r="B1362" s="8" t="s">
        <v>59</v>
      </c>
      <c r="C1362" s="8" t="s">
        <v>17</v>
      </c>
      <c r="D1362" s="14">
        <v>5047</v>
      </c>
      <c r="E1362" s="14">
        <v>68406</v>
      </c>
      <c r="F1362" s="15">
        <v>22087</v>
      </c>
    </row>
    <row r="1363" spans="1:6" x14ac:dyDescent="0.3">
      <c r="A1363" s="7">
        <v>2018</v>
      </c>
      <c r="B1363" s="8" t="s">
        <v>59</v>
      </c>
      <c r="C1363" s="8" t="s">
        <v>18</v>
      </c>
      <c r="D1363" s="14">
        <v>14772</v>
      </c>
      <c r="E1363" s="14">
        <v>282009</v>
      </c>
      <c r="F1363" s="15">
        <v>24012</v>
      </c>
    </row>
    <row r="1364" spans="1:6" x14ac:dyDescent="0.3">
      <c r="A1364" s="7">
        <v>2018</v>
      </c>
      <c r="B1364" s="8" t="s">
        <v>59</v>
      </c>
      <c r="C1364" s="8" t="s">
        <v>19</v>
      </c>
      <c r="D1364" s="14">
        <v>20642</v>
      </c>
      <c r="E1364" s="14">
        <v>375767</v>
      </c>
      <c r="F1364" s="15">
        <v>27758</v>
      </c>
    </row>
    <row r="1365" spans="1:6" x14ac:dyDescent="0.3">
      <c r="A1365" s="7">
        <v>2018</v>
      </c>
      <c r="B1365" s="8" t="s">
        <v>59</v>
      </c>
      <c r="C1365" s="8" t="s">
        <v>20</v>
      </c>
      <c r="D1365" s="14">
        <v>22025</v>
      </c>
      <c r="E1365" s="14">
        <v>432290</v>
      </c>
      <c r="F1365" s="15">
        <v>20566</v>
      </c>
    </row>
    <row r="1366" spans="1:6" x14ac:dyDescent="0.3">
      <c r="A1366" s="7">
        <v>2018</v>
      </c>
      <c r="B1366" s="8" t="s">
        <v>59</v>
      </c>
      <c r="C1366" s="8" t="s">
        <v>21</v>
      </c>
      <c r="D1366" s="14">
        <v>15294</v>
      </c>
      <c r="E1366" s="14">
        <v>272821</v>
      </c>
      <c r="F1366" s="15">
        <v>22507</v>
      </c>
    </row>
    <row r="1367" spans="1:6" x14ac:dyDescent="0.3">
      <c r="A1367" s="7">
        <v>2018</v>
      </c>
      <c r="B1367" s="8" t="s">
        <v>59</v>
      </c>
      <c r="C1367" s="8" t="s">
        <v>22</v>
      </c>
      <c r="D1367" s="14">
        <v>6464</v>
      </c>
      <c r="E1367" s="14">
        <v>134785</v>
      </c>
      <c r="F1367" s="15">
        <v>17523</v>
      </c>
    </row>
    <row r="1368" spans="1:6" x14ac:dyDescent="0.3">
      <c r="A1368" s="7">
        <v>2018</v>
      </c>
      <c r="B1368" s="8" t="s">
        <v>59</v>
      </c>
      <c r="C1368" s="8" t="s">
        <v>23</v>
      </c>
      <c r="D1368" s="14">
        <v>14797</v>
      </c>
      <c r="E1368" s="14">
        <v>305418</v>
      </c>
      <c r="F1368" s="15">
        <v>20892</v>
      </c>
    </row>
    <row r="1369" spans="1:6" x14ac:dyDescent="0.3">
      <c r="A1369" s="7">
        <v>2018</v>
      </c>
      <c r="B1369" s="8" t="s">
        <v>59</v>
      </c>
      <c r="C1369" s="8" t="s">
        <v>24</v>
      </c>
      <c r="D1369" s="14">
        <v>5071</v>
      </c>
      <c r="E1369" s="14">
        <v>66044</v>
      </c>
      <c r="F1369" s="15">
        <v>19150</v>
      </c>
    </row>
    <row r="1370" spans="1:6" x14ac:dyDescent="0.3">
      <c r="A1370" s="7">
        <v>2018</v>
      </c>
      <c r="B1370" s="8" t="s">
        <v>59</v>
      </c>
      <c r="C1370" s="8" t="s">
        <v>25</v>
      </c>
      <c r="D1370" s="14">
        <v>5561</v>
      </c>
      <c r="E1370" s="14">
        <v>92581</v>
      </c>
      <c r="F1370" s="15">
        <v>16715</v>
      </c>
    </row>
    <row r="1371" spans="1:6" x14ac:dyDescent="0.3">
      <c r="A1371" s="7">
        <v>2018</v>
      </c>
      <c r="B1371" s="8" t="s">
        <v>59</v>
      </c>
      <c r="C1371" s="8" t="s">
        <v>26</v>
      </c>
      <c r="D1371" s="14">
        <v>8499</v>
      </c>
      <c r="E1371" s="14">
        <v>352051</v>
      </c>
      <c r="F1371" s="15">
        <v>33688</v>
      </c>
    </row>
    <row r="1372" spans="1:6" x14ac:dyDescent="0.3">
      <c r="A1372" s="7">
        <v>2018</v>
      </c>
      <c r="B1372" s="8" t="s">
        <v>59</v>
      </c>
      <c r="C1372" s="8" t="s">
        <v>27</v>
      </c>
      <c r="D1372" s="14">
        <v>4595</v>
      </c>
      <c r="E1372" s="14">
        <v>71975</v>
      </c>
      <c r="F1372" s="15">
        <v>21945</v>
      </c>
    </row>
    <row r="1373" spans="1:6" x14ac:dyDescent="0.3">
      <c r="A1373" s="7">
        <v>2018</v>
      </c>
      <c r="B1373" s="8" t="s">
        <v>59</v>
      </c>
      <c r="C1373" s="8" t="s">
        <v>28</v>
      </c>
      <c r="D1373" s="14">
        <v>24132</v>
      </c>
      <c r="E1373" s="14">
        <v>385616</v>
      </c>
      <c r="F1373" s="15">
        <v>26316</v>
      </c>
    </row>
    <row r="1374" spans="1:6" x14ac:dyDescent="0.3">
      <c r="A1374" s="7">
        <v>2018</v>
      </c>
      <c r="B1374" s="8" t="s">
        <v>59</v>
      </c>
      <c r="C1374" s="8" t="s">
        <v>29</v>
      </c>
      <c r="D1374" s="14">
        <v>5107</v>
      </c>
      <c r="E1374" s="14">
        <v>97785</v>
      </c>
      <c r="F1374" s="15">
        <v>18651</v>
      </c>
    </row>
    <row r="1375" spans="1:6" x14ac:dyDescent="0.3">
      <c r="A1375" s="7">
        <v>2018</v>
      </c>
      <c r="B1375" s="8" t="s">
        <v>59</v>
      </c>
      <c r="C1375" s="8" t="s">
        <v>30</v>
      </c>
      <c r="D1375" s="14">
        <v>66285</v>
      </c>
      <c r="E1375" s="14">
        <v>957343</v>
      </c>
      <c r="F1375" s="15">
        <v>33850</v>
      </c>
    </row>
    <row r="1376" spans="1:6" x14ac:dyDescent="0.3">
      <c r="A1376" s="7">
        <v>2018</v>
      </c>
      <c r="B1376" s="8" t="s">
        <v>59</v>
      </c>
      <c r="C1376" s="8" t="s">
        <v>31</v>
      </c>
      <c r="D1376" s="14">
        <v>25859</v>
      </c>
      <c r="E1376" s="14">
        <v>502877</v>
      </c>
      <c r="F1376" s="15">
        <v>19767</v>
      </c>
    </row>
    <row r="1377" spans="1:6" x14ac:dyDescent="0.3">
      <c r="A1377" s="7">
        <v>2018</v>
      </c>
      <c r="B1377" s="8" t="s">
        <v>59</v>
      </c>
      <c r="C1377" s="8" t="s">
        <v>32</v>
      </c>
      <c r="D1377" s="14">
        <v>2627</v>
      </c>
      <c r="E1377" s="14">
        <v>40375</v>
      </c>
      <c r="F1377" s="15">
        <v>17889</v>
      </c>
    </row>
    <row r="1378" spans="1:6" x14ac:dyDescent="0.3">
      <c r="A1378" s="7">
        <v>2018</v>
      </c>
      <c r="B1378" s="8" t="s">
        <v>59</v>
      </c>
      <c r="C1378" s="8" t="s">
        <v>33</v>
      </c>
      <c r="D1378" s="14">
        <v>28523</v>
      </c>
      <c r="E1378" s="14">
        <v>566681</v>
      </c>
      <c r="F1378" s="15">
        <v>19459</v>
      </c>
    </row>
    <row r="1379" spans="1:6" x14ac:dyDescent="0.3">
      <c r="A1379" s="7">
        <v>2018</v>
      </c>
      <c r="B1379" s="8" t="s">
        <v>59</v>
      </c>
      <c r="C1379" s="8" t="s">
        <v>34</v>
      </c>
      <c r="D1379" s="14">
        <v>9140</v>
      </c>
      <c r="E1379" s="14">
        <v>171567</v>
      </c>
      <c r="F1379" s="15">
        <v>18204</v>
      </c>
    </row>
    <row r="1380" spans="1:6" x14ac:dyDescent="0.3">
      <c r="A1380" s="7">
        <v>2018</v>
      </c>
      <c r="B1380" s="8" t="s">
        <v>59</v>
      </c>
      <c r="C1380" s="8" t="s">
        <v>35</v>
      </c>
      <c r="D1380" s="14">
        <v>13794</v>
      </c>
      <c r="E1380" s="14">
        <v>210781</v>
      </c>
      <c r="F1380" s="15">
        <v>22754</v>
      </c>
    </row>
    <row r="1381" spans="1:6" x14ac:dyDescent="0.3">
      <c r="A1381" s="7">
        <v>2018</v>
      </c>
      <c r="B1381" s="8" t="s">
        <v>59</v>
      </c>
      <c r="C1381" s="8" t="s">
        <v>36</v>
      </c>
      <c r="D1381" s="14">
        <v>33471</v>
      </c>
      <c r="E1381" s="14">
        <v>571799</v>
      </c>
      <c r="F1381" s="15">
        <v>21102</v>
      </c>
    </row>
    <row r="1382" spans="1:6" x14ac:dyDescent="0.3">
      <c r="A1382" s="7">
        <v>2018</v>
      </c>
      <c r="B1382" s="8" t="s">
        <v>59</v>
      </c>
      <c r="C1382" s="8" t="s">
        <v>37</v>
      </c>
      <c r="D1382" s="14">
        <v>3748</v>
      </c>
      <c r="E1382" s="14">
        <v>59154</v>
      </c>
      <c r="F1382" s="15">
        <v>22818</v>
      </c>
    </row>
    <row r="1383" spans="1:6" x14ac:dyDescent="0.3">
      <c r="A1383" s="7">
        <v>2018</v>
      </c>
      <c r="B1383" s="8" t="s">
        <v>59</v>
      </c>
      <c r="C1383" s="8" t="s">
        <v>38</v>
      </c>
      <c r="D1383" s="14">
        <v>12841</v>
      </c>
      <c r="E1383" s="14">
        <v>263743</v>
      </c>
      <c r="F1383" s="15">
        <v>17991</v>
      </c>
    </row>
    <row r="1384" spans="1:6" x14ac:dyDescent="0.3">
      <c r="A1384" s="7">
        <v>2018</v>
      </c>
      <c r="B1384" s="8" t="s">
        <v>59</v>
      </c>
      <c r="C1384" s="8" t="s">
        <v>39</v>
      </c>
      <c r="D1384" s="14">
        <v>3149</v>
      </c>
      <c r="E1384" s="14">
        <v>47321</v>
      </c>
      <c r="F1384" s="15">
        <v>16954</v>
      </c>
    </row>
    <row r="1385" spans="1:6" x14ac:dyDescent="0.3">
      <c r="A1385" s="7">
        <v>2018</v>
      </c>
      <c r="B1385" s="8" t="s">
        <v>59</v>
      </c>
      <c r="C1385" s="8" t="s">
        <v>40</v>
      </c>
      <c r="D1385" s="14">
        <v>16427</v>
      </c>
      <c r="E1385" s="14">
        <v>337857</v>
      </c>
      <c r="F1385" s="15">
        <v>23524</v>
      </c>
    </row>
    <row r="1386" spans="1:6" x14ac:dyDescent="0.3">
      <c r="A1386" s="7">
        <v>2018</v>
      </c>
      <c r="B1386" s="8" t="s">
        <v>59</v>
      </c>
      <c r="C1386" s="8" t="s">
        <v>41</v>
      </c>
      <c r="D1386" s="14">
        <v>62760</v>
      </c>
      <c r="E1386" s="14">
        <v>1354468</v>
      </c>
      <c r="F1386" s="15">
        <v>21861</v>
      </c>
    </row>
    <row r="1387" spans="1:6" x14ac:dyDescent="0.3">
      <c r="A1387" s="7">
        <v>2018</v>
      </c>
      <c r="B1387" s="8" t="s">
        <v>59</v>
      </c>
      <c r="C1387" s="8" t="s">
        <v>42</v>
      </c>
      <c r="D1387" s="14">
        <v>7374</v>
      </c>
      <c r="E1387" s="14">
        <v>148446</v>
      </c>
      <c r="F1387" s="15">
        <v>20121</v>
      </c>
    </row>
    <row r="1388" spans="1:6" x14ac:dyDescent="0.3">
      <c r="A1388" s="7">
        <v>2018</v>
      </c>
      <c r="B1388" s="8" t="s">
        <v>59</v>
      </c>
      <c r="C1388" s="8" t="s">
        <v>43</v>
      </c>
      <c r="D1388" s="14">
        <v>2279</v>
      </c>
      <c r="E1388" s="14">
        <v>37198</v>
      </c>
      <c r="F1388" s="15">
        <v>23107</v>
      </c>
    </row>
    <row r="1389" spans="1:6" x14ac:dyDescent="0.3">
      <c r="A1389" s="7">
        <v>2018</v>
      </c>
      <c r="B1389" s="8" t="s">
        <v>59</v>
      </c>
      <c r="C1389" s="8" t="s">
        <v>44</v>
      </c>
      <c r="D1389" s="14">
        <v>20479</v>
      </c>
      <c r="E1389" s="14">
        <v>406321</v>
      </c>
      <c r="F1389" s="15">
        <v>20678</v>
      </c>
    </row>
    <row r="1390" spans="1:6" x14ac:dyDescent="0.3">
      <c r="A1390" s="7">
        <v>2018</v>
      </c>
      <c r="B1390" s="8" t="s">
        <v>59</v>
      </c>
      <c r="C1390" s="8" t="s">
        <v>45</v>
      </c>
      <c r="D1390" s="14">
        <v>20431</v>
      </c>
      <c r="E1390" s="14">
        <v>335635</v>
      </c>
      <c r="F1390" s="15">
        <v>25357</v>
      </c>
    </row>
    <row r="1391" spans="1:6" x14ac:dyDescent="0.3">
      <c r="A1391" s="7">
        <v>2018</v>
      </c>
      <c r="B1391" s="8" t="s">
        <v>59</v>
      </c>
      <c r="C1391" s="8" t="s">
        <v>46</v>
      </c>
      <c r="D1391" s="14">
        <v>4722</v>
      </c>
      <c r="E1391" s="14">
        <v>74133</v>
      </c>
      <c r="F1391" s="15">
        <v>17916</v>
      </c>
    </row>
    <row r="1392" spans="1:6" x14ac:dyDescent="0.3">
      <c r="A1392" s="7">
        <v>2018</v>
      </c>
      <c r="B1392" s="8" t="s">
        <v>59</v>
      </c>
      <c r="C1392" s="8" t="s">
        <v>47</v>
      </c>
      <c r="D1392" s="14">
        <v>16931</v>
      </c>
      <c r="E1392" s="14">
        <v>282313</v>
      </c>
      <c r="F1392" s="15">
        <v>18305</v>
      </c>
    </row>
    <row r="1393" spans="1:6" x14ac:dyDescent="0.3">
      <c r="A1393" s="7">
        <v>2018</v>
      </c>
      <c r="B1393" s="8" t="s">
        <v>59</v>
      </c>
      <c r="C1393" s="8" t="s">
        <v>48</v>
      </c>
      <c r="D1393" s="14">
        <v>2383</v>
      </c>
      <c r="E1393" s="14">
        <v>36403</v>
      </c>
      <c r="F1393" s="15">
        <v>21270</v>
      </c>
    </row>
    <row r="1394" spans="1:6" x14ac:dyDescent="0.3">
      <c r="A1394" s="7">
        <v>2018</v>
      </c>
      <c r="B1394" s="8" t="s">
        <v>60</v>
      </c>
      <c r="C1394" s="8" t="s">
        <v>1</v>
      </c>
      <c r="D1394" s="14">
        <v>10102</v>
      </c>
      <c r="E1394" s="14">
        <v>46094</v>
      </c>
      <c r="F1394" s="15">
        <v>37839</v>
      </c>
    </row>
    <row r="1395" spans="1:6" x14ac:dyDescent="0.3">
      <c r="A1395" s="7">
        <v>2018</v>
      </c>
      <c r="B1395" s="8" t="s">
        <v>60</v>
      </c>
      <c r="C1395" s="8" t="s">
        <v>2</v>
      </c>
      <c r="D1395" s="14">
        <v>11119</v>
      </c>
      <c r="E1395" s="14">
        <v>75319</v>
      </c>
      <c r="F1395" s="15">
        <v>37697</v>
      </c>
    </row>
    <row r="1396" spans="1:6" x14ac:dyDescent="0.3">
      <c r="A1396" s="7">
        <v>2018</v>
      </c>
      <c r="B1396" s="8" t="s">
        <v>60</v>
      </c>
      <c r="C1396" s="8" t="s">
        <v>3</v>
      </c>
      <c r="D1396" s="14">
        <v>5345</v>
      </c>
      <c r="E1396" s="14">
        <v>24966</v>
      </c>
      <c r="F1396" s="15">
        <v>34843</v>
      </c>
    </row>
    <row r="1397" spans="1:6" x14ac:dyDescent="0.3">
      <c r="A1397" s="7">
        <v>2018</v>
      </c>
      <c r="B1397" s="8" t="s">
        <v>60</v>
      </c>
      <c r="C1397" s="8" t="s">
        <v>4</v>
      </c>
      <c r="D1397" s="14">
        <v>95398</v>
      </c>
      <c r="E1397" s="14">
        <v>541832</v>
      </c>
      <c r="F1397" s="15">
        <v>40668</v>
      </c>
    </row>
    <row r="1398" spans="1:6" x14ac:dyDescent="0.3">
      <c r="A1398" s="7">
        <v>2018</v>
      </c>
      <c r="B1398" s="8" t="s">
        <v>60</v>
      </c>
      <c r="C1398" s="8" t="s">
        <v>5</v>
      </c>
      <c r="D1398" s="14">
        <v>16405</v>
      </c>
      <c r="E1398" s="14">
        <v>82040</v>
      </c>
      <c r="F1398" s="15">
        <v>40987</v>
      </c>
    </row>
    <row r="1399" spans="1:6" x14ac:dyDescent="0.3">
      <c r="A1399" s="7">
        <v>2018</v>
      </c>
      <c r="B1399" s="8" t="s">
        <v>60</v>
      </c>
      <c r="C1399" s="8" t="s">
        <v>6</v>
      </c>
      <c r="D1399" s="14">
        <v>17517</v>
      </c>
      <c r="E1399" s="14">
        <v>66913</v>
      </c>
      <c r="F1399" s="15">
        <v>33615</v>
      </c>
    </row>
    <row r="1400" spans="1:6" x14ac:dyDescent="0.3">
      <c r="A1400" s="7">
        <v>2018</v>
      </c>
      <c r="B1400" s="8" t="s">
        <v>60</v>
      </c>
      <c r="C1400" s="8" t="s">
        <v>7</v>
      </c>
      <c r="D1400" s="14">
        <v>2054</v>
      </c>
      <c r="E1400" s="14">
        <v>11930</v>
      </c>
      <c r="F1400" s="15">
        <v>34259</v>
      </c>
    </row>
    <row r="1401" spans="1:6" x14ac:dyDescent="0.3">
      <c r="A1401" s="7">
        <v>2018</v>
      </c>
      <c r="B1401" s="8" t="s">
        <v>60</v>
      </c>
      <c r="C1401" s="8" t="s">
        <v>8</v>
      </c>
      <c r="D1401" s="14">
        <v>55687</v>
      </c>
      <c r="E1401" s="14">
        <v>279269</v>
      </c>
      <c r="F1401" s="15">
        <v>36402</v>
      </c>
    </row>
    <row r="1402" spans="1:6" x14ac:dyDescent="0.3">
      <c r="A1402" s="7">
        <v>2018</v>
      </c>
      <c r="B1402" s="8" t="s">
        <v>60</v>
      </c>
      <c r="C1402" s="8" t="s">
        <v>9</v>
      </c>
      <c r="D1402" s="14">
        <v>17999</v>
      </c>
      <c r="E1402" s="14">
        <v>108656</v>
      </c>
      <c r="F1402" s="15">
        <v>36377</v>
      </c>
    </row>
    <row r="1403" spans="1:6" x14ac:dyDescent="0.3">
      <c r="A1403" s="7">
        <v>2018</v>
      </c>
      <c r="B1403" s="8" t="s">
        <v>60</v>
      </c>
      <c r="C1403" s="8" t="s">
        <v>10</v>
      </c>
      <c r="D1403" s="14">
        <v>3985</v>
      </c>
      <c r="E1403" s="14">
        <v>18622</v>
      </c>
      <c r="F1403" s="15">
        <v>31284</v>
      </c>
    </row>
    <row r="1404" spans="1:6" x14ac:dyDescent="0.3">
      <c r="A1404" s="7">
        <v>2018</v>
      </c>
      <c r="B1404" s="8" t="s">
        <v>60</v>
      </c>
      <c r="C1404" s="8" t="s">
        <v>11</v>
      </c>
      <c r="D1404" s="14">
        <v>39449</v>
      </c>
      <c r="E1404" s="14">
        <v>208655</v>
      </c>
      <c r="F1404" s="15">
        <v>42392</v>
      </c>
    </row>
    <row r="1405" spans="1:6" x14ac:dyDescent="0.3">
      <c r="A1405" s="7">
        <v>2018</v>
      </c>
      <c r="B1405" s="8" t="s">
        <v>60</v>
      </c>
      <c r="C1405" s="8" t="s">
        <v>12</v>
      </c>
      <c r="D1405" s="14">
        <v>13122</v>
      </c>
      <c r="E1405" s="14">
        <v>87997</v>
      </c>
      <c r="F1405" s="15">
        <v>32900</v>
      </c>
    </row>
    <row r="1406" spans="1:6" x14ac:dyDescent="0.3">
      <c r="A1406" s="7">
        <v>2018</v>
      </c>
      <c r="B1406" s="8" t="s">
        <v>60</v>
      </c>
      <c r="C1406" s="8" t="s">
        <v>13</v>
      </c>
      <c r="D1406" s="14">
        <v>8669</v>
      </c>
      <c r="E1406" s="14">
        <v>42339</v>
      </c>
      <c r="F1406" s="15">
        <v>34313</v>
      </c>
    </row>
    <row r="1407" spans="1:6" x14ac:dyDescent="0.3">
      <c r="A1407" s="7">
        <v>2018</v>
      </c>
      <c r="B1407" s="8" t="s">
        <v>60</v>
      </c>
      <c r="C1407" s="8" t="s">
        <v>14</v>
      </c>
      <c r="D1407" s="14">
        <v>5983</v>
      </c>
      <c r="E1407" s="14">
        <v>33757</v>
      </c>
      <c r="F1407" s="15">
        <v>34478</v>
      </c>
    </row>
    <row r="1408" spans="1:6" x14ac:dyDescent="0.3">
      <c r="A1408" s="7">
        <v>2018</v>
      </c>
      <c r="B1408" s="8" t="s">
        <v>60</v>
      </c>
      <c r="C1408" s="8" t="s">
        <v>15</v>
      </c>
      <c r="D1408" s="14">
        <v>10697</v>
      </c>
      <c r="E1408" s="14">
        <v>46476</v>
      </c>
      <c r="F1408" s="15">
        <v>33616</v>
      </c>
    </row>
    <row r="1409" spans="1:6" x14ac:dyDescent="0.3">
      <c r="A1409" s="7">
        <v>2018</v>
      </c>
      <c r="B1409" s="8" t="s">
        <v>60</v>
      </c>
      <c r="C1409" s="8" t="s">
        <v>16</v>
      </c>
      <c r="D1409" s="14">
        <v>9230</v>
      </c>
      <c r="E1409" s="14">
        <v>45904</v>
      </c>
      <c r="F1409" s="15">
        <v>37854</v>
      </c>
    </row>
    <row r="1410" spans="1:6" x14ac:dyDescent="0.3">
      <c r="A1410" s="7">
        <v>2018</v>
      </c>
      <c r="B1410" s="8" t="s">
        <v>60</v>
      </c>
      <c r="C1410" s="8" t="s">
        <v>17</v>
      </c>
      <c r="D1410" s="14">
        <v>3832</v>
      </c>
      <c r="E1410" s="14">
        <v>18021</v>
      </c>
      <c r="F1410" s="15">
        <v>33967</v>
      </c>
    </row>
    <row r="1411" spans="1:6" x14ac:dyDescent="0.3">
      <c r="A1411" s="7">
        <v>2018</v>
      </c>
      <c r="B1411" s="8" t="s">
        <v>60</v>
      </c>
      <c r="C1411" s="8" t="s">
        <v>18</v>
      </c>
      <c r="D1411" s="14">
        <v>19354</v>
      </c>
      <c r="E1411" s="14">
        <v>91803</v>
      </c>
      <c r="F1411" s="15">
        <v>43222</v>
      </c>
    </row>
    <row r="1412" spans="1:6" x14ac:dyDescent="0.3">
      <c r="A1412" s="7">
        <v>2018</v>
      </c>
      <c r="B1412" s="8" t="s">
        <v>60</v>
      </c>
      <c r="C1412" s="8" t="s">
        <v>19</v>
      </c>
      <c r="D1412" s="14">
        <v>21621</v>
      </c>
      <c r="E1412" s="14">
        <v>119963</v>
      </c>
      <c r="F1412" s="15">
        <v>38569</v>
      </c>
    </row>
    <row r="1413" spans="1:6" x14ac:dyDescent="0.3">
      <c r="A1413" s="7">
        <v>2018</v>
      </c>
      <c r="B1413" s="8" t="s">
        <v>60</v>
      </c>
      <c r="C1413" s="8" t="s">
        <v>20</v>
      </c>
      <c r="D1413" s="14">
        <v>31024</v>
      </c>
      <c r="E1413" s="14">
        <v>139968</v>
      </c>
      <c r="F1413" s="15">
        <v>33275</v>
      </c>
    </row>
    <row r="1414" spans="1:6" x14ac:dyDescent="0.3">
      <c r="A1414" s="7">
        <v>2018</v>
      </c>
      <c r="B1414" s="8" t="s">
        <v>60</v>
      </c>
      <c r="C1414" s="8" t="s">
        <v>21</v>
      </c>
      <c r="D1414" s="14">
        <v>17099</v>
      </c>
      <c r="E1414" s="14">
        <v>90096</v>
      </c>
      <c r="F1414" s="15">
        <v>34221</v>
      </c>
    </row>
    <row r="1415" spans="1:6" x14ac:dyDescent="0.3">
      <c r="A1415" s="7">
        <v>2018</v>
      </c>
      <c r="B1415" s="8" t="s">
        <v>60</v>
      </c>
      <c r="C1415" s="8" t="s">
        <v>22</v>
      </c>
      <c r="D1415" s="14">
        <v>4645</v>
      </c>
      <c r="E1415" s="14">
        <v>21202</v>
      </c>
      <c r="F1415" s="15">
        <v>34491</v>
      </c>
    </row>
    <row r="1416" spans="1:6" x14ac:dyDescent="0.3">
      <c r="A1416" s="7">
        <v>2018</v>
      </c>
      <c r="B1416" s="8" t="s">
        <v>60</v>
      </c>
      <c r="C1416" s="8" t="s">
        <v>23</v>
      </c>
      <c r="D1416" s="14">
        <v>12996</v>
      </c>
      <c r="E1416" s="14">
        <v>75350</v>
      </c>
      <c r="F1416" s="15">
        <v>34075</v>
      </c>
    </row>
    <row r="1417" spans="1:6" x14ac:dyDescent="0.3">
      <c r="A1417" s="7">
        <v>2018</v>
      </c>
      <c r="B1417" s="8" t="s">
        <v>60</v>
      </c>
      <c r="C1417" s="8" t="s">
        <v>24</v>
      </c>
      <c r="D1417" s="14">
        <v>4285</v>
      </c>
      <c r="E1417" s="14">
        <v>18301</v>
      </c>
      <c r="F1417" s="15">
        <v>30293</v>
      </c>
    </row>
    <row r="1418" spans="1:6" x14ac:dyDescent="0.3">
      <c r="A1418" s="7">
        <v>2018</v>
      </c>
      <c r="B1418" s="8" t="s">
        <v>60</v>
      </c>
      <c r="C1418" s="8" t="s">
        <v>25</v>
      </c>
      <c r="D1418" s="14">
        <v>4614</v>
      </c>
      <c r="E1418" s="14">
        <v>25333</v>
      </c>
      <c r="F1418" s="15">
        <v>32212</v>
      </c>
    </row>
    <row r="1419" spans="1:6" x14ac:dyDescent="0.3">
      <c r="A1419" s="7">
        <v>2018</v>
      </c>
      <c r="B1419" s="8" t="s">
        <v>60</v>
      </c>
      <c r="C1419" s="8" t="s">
        <v>26</v>
      </c>
      <c r="D1419" s="14">
        <v>5080</v>
      </c>
      <c r="E1419" s="14">
        <v>34964</v>
      </c>
      <c r="F1419" s="15">
        <v>37484</v>
      </c>
    </row>
    <row r="1420" spans="1:6" x14ac:dyDescent="0.3">
      <c r="A1420" s="7">
        <v>2018</v>
      </c>
      <c r="B1420" s="8" t="s">
        <v>60</v>
      </c>
      <c r="C1420" s="8" t="s">
        <v>27</v>
      </c>
      <c r="D1420" s="14">
        <v>3934</v>
      </c>
      <c r="E1420" s="14">
        <v>20991</v>
      </c>
      <c r="F1420" s="15">
        <v>37927</v>
      </c>
    </row>
    <row r="1421" spans="1:6" x14ac:dyDescent="0.3">
      <c r="A1421" s="7">
        <v>2018</v>
      </c>
      <c r="B1421" s="8" t="s">
        <v>60</v>
      </c>
      <c r="C1421" s="8" t="s">
        <v>28</v>
      </c>
      <c r="D1421" s="14">
        <v>24105</v>
      </c>
      <c r="E1421" s="14">
        <v>135824</v>
      </c>
      <c r="F1421" s="15">
        <v>36518</v>
      </c>
    </row>
    <row r="1422" spans="1:6" x14ac:dyDescent="0.3">
      <c r="A1422" s="7">
        <v>2018</v>
      </c>
      <c r="B1422" s="8" t="s">
        <v>60</v>
      </c>
      <c r="C1422" s="8" t="s">
        <v>29</v>
      </c>
      <c r="D1422" s="14">
        <v>4073</v>
      </c>
      <c r="E1422" s="14">
        <v>20964</v>
      </c>
      <c r="F1422" s="15">
        <v>34365</v>
      </c>
    </row>
    <row r="1423" spans="1:6" x14ac:dyDescent="0.3">
      <c r="A1423" s="7">
        <v>2018</v>
      </c>
      <c r="B1423" s="8" t="s">
        <v>60</v>
      </c>
      <c r="C1423" s="8" t="s">
        <v>30</v>
      </c>
      <c r="D1423" s="14">
        <v>73275</v>
      </c>
      <c r="E1423" s="14">
        <v>370268</v>
      </c>
      <c r="F1423" s="15">
        <v>41910</v>
      </c>
    </row>
    <row r="1424" spans="1:6" x14ac:dyDescent="0.3">
      <c r="A1424" s="7">
        <v>2018</v>
      </c>
      <c r="B1424" s="8" t="s">
        <v>60</v>
      </c>
      <c r="C1424" s="8" t="s">
        <v>31</v>
      </c>
      <c r="D1424" s="14">
        <v>23444</v>
      </c>
      <c r="E1424" s="14">
        <v>109986</v>
      </c>
      <c r="F1424" s="15">
        <v>35102</v>
      </c>
    </row>
    <row r="1425" spans="1:6" x14ac:dyDescent="0.3">
      <c r="A1425" s="7">
        <v>2018</v>
      </c>
      <c r="B1425" s="8" t="s">
        <v>60</v>
      </c>
      <c r="C1425" s="8" t="s">
        <v>32</v>
      </c>
      <c r="D1425" s="14">
        <v>2051</v>
      </c>
      <c r="E1425" s="14">
        <v>11307</v>
      </c>
      <c r="F1425" s="15">
        <v>37216</v>
      </c>
    </row>
    <row r="1426" spans="1:6" x14ac:dyDescent="0.3">
      <c r="A1426" s="7">
        <v>2018</v>
      </c>
      <c r="B1426" s="8" t="s">
        <v>60</v>
      </c>
      <c r="C1426" s="8" t="s">
        <v>33</v>
      </c>
      <c r="D1426" s="14">
        <v>23542</v>
      </c>
      <c r="E1426" s="14">
        <v>156685</v>
      </c>
      <c r="F1426" s="15">
        <v>34001</v>
      </c>
    </row>
    <row r="1427" spans="1:6" x14ac:dyDescent="0.3">
      <c r="A1427" s="7">
        <v>2018</v>
      </c>
      <c r="B1427" s="8" t="s">
        <v>60</v>
      </c>
      <c r="C1427" s="8" t="s">
        <v>34</v>
      </c>
      <c r="D1427" s="14">
        <v>6640</v>
      </c>
      <c r="E1427" s="14">
        <v>36417</v>
      </c>
      <c r="F1427" s="15">
        <v>35221</v>
      </c>
    </row>
    <row r="1428" spans="1:6" x14ac:dyDescent="0.3">
      <c r="A1428" s="7">
        <v>2018</v>
      </c>
      <c r="B1428" s="8" t="s">
        <v>60</v>
      </c>
      <c r="C1428" s="8" t="s">
        <v>35</v>
      </c>
      <c r="D1428" s="14">
        <v>24302</v>
      </c>
      <c r="E1428" s="14">
        <v>77296</v>
      </c>
      <c r="F1428" s="15">
        <v>34031</v>
      </c>
    </row>
    <row r="1429" spans="1:6" x14ac:dyDescent="0.3">
      <c r="A1429" s="7">
        <v>2018</v>
      </c>
      <c r="B1429" s="8" t="s">
        <v>60</v>
      </c>
      <c r="C1429" s="8" t="s">
        <v>36</v>
      </c>
      <c r="D1429" s="14">
        <v>32530</v>
      </c>
      <c r="E1429" s="14">
        <v>199883</v>
      </c>
      <c r="F1429" s="15">
        <v>33988</v>
      </c>
    </row>
    <row r="1430" spans="1:6" x14ac:dyDescent="0.3">
      <c r="A1430" s="7">
        <v>2018</v>
      </c>
      <c r="B1430" s="8" t="s">
        <v>60</v>
      </c>
      <c r="C1430" s="8" t="s">
        <v>37</v>
      </c>
      <c r="D1430" s="14">
        <v>3459</v>
      </c>
      <c r="E1430" s="14">
        <v>17990</v>
      </c>
      <c r="F1430" s="15">
        <v>33322</v>
      </c>
    </row>
    <row r="1431" spans="1:6" x14ac:dyDescent="0.3">
      <c r="A1431" s="7">
        <v>2018</v>
      </c>
      <c r="B1431" s="8" t="s">
        <v>60</v>
      </c>
      <c r="C1431" s="8" t="s">
        <v>38</v>
      </c>
      <c r="D1431" s="14">
        <v>11329</v>
      </c>
      <c r="E1431" s="14">
        <v>53632</v>
      </c>
      <c r="F1431" s="15">
        <v>32985</v>
      </c>
    </row>
    <row r="1432" spans="1:6" x14ac:dyDescent="0.3">
      <c r="A1432" s="7">
        <v>2018</v>
      </c>
      <c r="B1432" s="8" t="s">
        <v>60</v>
      </c>
      <c r="C1432" s="8" t="s">
        <v>39</v>
      </c>
      <c r="D1432" s="14">
        <v>2201</v>
      </c>
      <c r="E1432" s="14">
        <v>11149</v>
      </c>
      <c r="F1432" s="15">
        <v>32874</v>
      </c>
    </row>
    <row r="1433" spans="1:6" x14ac:dyDescent="0.3">
      <c r="A1433" s="7">
        <v>2018</v>
      </c>
      <c r="B1433" s="8" t="s">
        <v>60</v>
      </c>
      <c r="C1433" s="8" t="s">
        <v>40</v>
      </c>
      <c r="D1433" s="14">
        <v>15494</v>
      </c>
      <c r="E1433" s="14">
        <v>78706</v>
      </c>
      <c r="F1433" s="15">
        <v>35137</v>
      </c>
    </row>
    <row r="1434" spans="1:6" x14ac:dyDescent="0.3">
      <c r="A1434" s="7">
        <v>2018</v>
      </c>
      <c r="B1434" s="8" t="s">
        <v>60</v>
      </c>
      <c r="C1434" s="8" t="s">
        <v>41</v>
      </c>
      <c r="D1434" s="14">
        <v>56598</v>
      </c>
      <c r="E1434" s="14">
        <v>334126</v>
      </c>
      <c r="F1434" s="15">
        <v>39429</v>
      </c>
    </row>
    <row r="1435" spans="1:6" x14ac:dyDescent="0.3">
      <c r="A1435" s="7">
        <v>2018</v>
      </c>
      <c r="B1435" s="8" t="s">
        <v>60</v>
      </c>
      <c r="C1435" s="8" t="s">
        <v>42</v>
      </c>
      <c r="D1435" s="14">
        <v>6320</v>
      </c>
      <c r="E1435" s="14">
        <v>36120</v>
      </c>
      <c r="F1435" s="15">
        <v>35627</v>
      </c>
    </row>
    <row r="1436" spans="1:6" x14ac:dyDescent="0.3">
      <c r="A1436" s="7">
        <v>2018</v>
      </c>
      <c r="B1436" s="8" t="s">
        <v>60</v>
      </c>
      <c r="C1436" s="8" t="s">
        <v>43</v>
      </c>
      <c r="D1436" s="14">
        <v>1954</v>
      </c>
      <c r="E1436" s="14">
        <v>8748</v>
      </c>
      <c r="F1436" s="15">
        <v>36288</v>
      </c>
    </row>
    <row r="1437" spans="1:6" x14ac:dyDescent="0.3">
      <c r="A1437" s="7">
        <v>2018</v>
      </c>
      <c r="B1437" s="8" t="s">
        <v>60</v>
      </c>
      <c r="C1437" s="8" t="s">
        <v>44</v>
      </c>
      <c r="D1437" s="14">
        <v>36204</v>
      </c>
      <c r="E1437" s="14">
        <v>145640</v>
      </c>
      <c r="F1437" s="15">
        <v>42804</v>
      </c>
    </row>
    <row r="1438" spans="1:6" x14ac:dyDescent="0.3">
      <c r="A1438" s="7">
        <v>2018</v>
      </c>
      <c r="B1438" s="8" t="s">
        <v>60</v>
      </c>
      <c r="C1438" s="8" t="s">
        <v>45</v>
      </c>
      <c r="D1438" s="14">
        <v>19893</v>
      </c>
      <c r="E1438" s="14">
        <v>99054</v>
      </c>
      <c r="F1438" s="15">
        <v>40310</v>
      </c>
    </row>
    <row r="1439" spans="1:6" x14ac:dyDescent="0.3">
      <c r="A1439" s="7">
        <v>2018</v>
      </c>
      <c r="B1439" s="8" t="s">
        <v>60</v>
      </c>
      <c r="C1439" s="8" t="s">
        <v>46</v>
      </c>
      <c r="D1439" s="14">
        <v>5536</v>
      </c>
      <c r="E1439" s="14">
        <v>19873</v>
      </c>
      <c r="F1439" s="15">
        <v>31425</v>
      </c>
    </row>
    <row r="1440" spans="1:6" x14ac:dyDescent="0.3">
      <c r="A1440" s="7">
        <v>2018</v>
      </c>
      <c r="B1440" s="8" t="s">
        <v>60</v>
      </c>
      <c r="C1440" s="8" t="s">
        <v>47</v>
      </c>
      <c r="D1440" s="14">
        <v>14009</v>
      </c>
      <c r="E1440" s="14">
        <v>84183</v>
      </c>
      <c r="F1440" s="15">
        <v>30593</v>
      </c>
    </row>
    <row r="1441" spans="1:6" x14ac:dyDescent="0.3">
      <c r="A1441" s="7">
        <v>2018</v>
      </c>
      <c r="B1441" s="8" t="s">
        <v>60</v>
      </c>
      <c r="C1441" s="8" t="s">
        <v>48</v>
      </c>
      <c r="D1441" s="14">
        <v>1664</v>
      </c>
      <c r="E1441" s="14">
        <v>7261</v>
      </c>
      <c r="F1441" s="15">
        <v>37155</v>
      </c>
    </row>
    <row r="1442" spans="1:6" x14ac:dyDescent="0.3">
      <c r="A1442" s="7">
        <v>2017</v>
      </c>
      <c r="B1442" s="8" t="s">
        <v>55</v>
      </c>
      <c r="C1442" s="8" t="s">
        <v>1</v>
      </c>
      <c r="D1442" s="14">
        <v>1815</v>
      </c>
      <c r="E1442" s="14">
        <v>17999</v>
      </c>
      <c r="F1442" s="15">
        <v>52748</v>
      </c>
    </row>
    <row r="1443" spans="1:6" x14ac:dyDescent="0.3">
      <c r="A1443" s="7">
        <v>2017</v>
      </c>
      <c r="B1443" s="8" t="s">
        <v>55</v>
      </c>
      <c r="C1443" s="8" t="s">
        <v>2</v>
      </c>
      <c r="D1443" s="14">
        <v>1257</v>
      </c>
      <c r="E1443" s="14">
        <v>37216</v>
      </c>
      <c r="F1443" s="15">
        <v>47116</v>
      </c>
    </row>
    <row r="1444" spans="1:6" x14ac:dyDescent="0.3">
      <c r="A1444" s="7">
        <v>2017</v>
      </c>
      <c r="B1444" s="8" t="s">
        <v>55</v>
      </c>
      <c r="C1444" s="8" t="s">
        <v>3</v>
      </c>
      <c r="D1444" s="14">
        <v>2551</v>
      </c>
      <c r="E1444" s="14">
        <v>16476</v>
      </c>
      <c r="F1444" s="15">
        <v>46191</v>
      </c>
    </row>
    <row r="1445" spans="1:6" x14ac:dyDescent="0.3">
      <c r="A1445" s="7">
        <v>2017</v>
      </c>
      <c r="B1445" s="8" t="s">
        <v>55</v>
      </c>
      <c r="C1445" s="8" t="s">
        <v>4</v>
      </c>
      <c r="D1445" s="14">
        <v>17021</v>
      </c>
      <c r="E1445" s="14">
        <v>441460</v>
      </c>
      <c r="F1445" s="15">
        <v>37249</v>
      </c>
    </row>
    <row r="1446" spans="1:6" x14ac:dyDescent="0.3">
      <c r="A1446" s="7">
        <v>2017</v>
      </c>
      <c r="B1446" s="8" t="s">
        <v>55</v>
      </c>
      <c r="C1446" s="8" t="s">
        <v>5</v>
      </c>
      <c r="D1446" s="14">
        <v>3202</v>
      </c>
      <c r="E1446" s="14">
        <v>43394</v>
      </c>
      <c r="F1446" s="15">
        <v>84161</v>
      </c>
    </row>
    <row r="1447" spans="1:6" x14ac:dyDescent="0.3">
      <c r="A1447" s="7">
        <v>2017</v>
      </c>
      <c r="B1447" s="8" t="s">
        <v>55</v>
      </c>
      <c r="C1447" s="8" t="s">
        <v>6</v>
      </c>
      <c r="D1447" s="8">
        <v>433</v>
      </c>
      <c r="E1447" s="14">
        <v>5305</v>
      </c>
      <c r="F1447" s="15">
        <v>40017</v>
      </c>
    </row>
    <row r="1448" spans="1:6" x14ac:dyDescent="0.3">
      <c r="A1448" s="7">
        <v>2017</v>
      </c>
      <c r="B1448" s="8" t="s">
        <v>55</v>
      </c>
      <c r="C1448" s="8" t="s">
        <v>7</v>
      </c>
      <c r="D1448" s="8">
        <v>177</v>
      </c>
      <c r="E1448" s="14">
        <v>1538</v>
      </c>
      <c r="F1448" s="15">
        <v>39651</v>
      </c>
    </row>
    <row r="1449" spans="1:6" x14ac:dyDescent="0.3">
      <c r="A1449" s="7">
        <v>2017</v>
      </c>
      <c r="B1449" s="8" t="s">
        <v>55</v>
      </c>
      <c r="C1449" s="8" t="s">
        <v>8</v>
      </c>
      <c r="D1449" s="14">
        <v>5285</v>
      </c>
      <c r="E1449" s="14">
        <v>75471</v>
      </c>
      <c r="F1449" s="15">
        <v>32773</v>
      </c>
    </row>
    <row r="1450" spans="1:6" x14ac:dyDescent="0.3">
      <c r="A1450" s="7">
        <v>2017</v>
      </c>
      <c r="B1450" s="8" t="s">
        <v>55</v>
      </c>
      <c r="C1450" s="8" t="s">
        <v>9</v>
      </c>
      <c r="D1450" s="14">
        <v>2594</v>
      </c>
      <c r="E1450" s="14">
        <v>29299</v>
      </c>
      <c r="F1450" s="15">
        <v>41048</v>
      </c>
    </row>
    <row r="1451" spans="1:6" x14ac:dyDescent="0.3">
      <c r="A1451" s="7">
        <v>2017</v>
      </c>
      <c r="B1451" s="8" t="s">
        <v>55</v>
      </c>
      <c r="C1451" s="8" t="s">
        <v>10</v>
      </c>
      <c r="D1451" s="14">
        <v>2448</v>
      </c>
      <c r="E1451" s="14">
        <v>26790</v>
      </c>
      <c r="F1451" s="15">
        <v>38417</v>
      </c>
    </row>
    <row r="1452" spans="1:6" x14ac:dyDescent="0.3">
      <c r="A1452" s="7">
        <v>2017</v>
      </c>
      <c r="B1452" s="8" t="s">
        <v>55</v>
      </c>
      <c r="C1452" s="8" t="s">
        <v>11</v>
      </c>
      <c r="D1452" s="14">
        <v>2730</v>
      </c>
      <c r="E1452" s="14">
        <v>26665</v>
      </c>
      <c r="F1452" s="15">
        <v>48549</v>
      </c>
    </row>
    <row r="1453" spans="1:6" x14ac:dyDescent="0.3">
      <c r="A1453" s="7">
        <v>2017</v>
      </c>
      <c r="B1453" s="8" t="s">
        <v>55</v>
      </c>
      <c r="C1453" s="8" t="s">
        <v>12</v>
      </c>
      <c r="D1453" s="14">
        <v>2183</v>
      </c>
      <c r="E1453" s="14">
        <v>21072</v>
      </c>
      <c r="F1453" s="15">
        <v>47269</v>
      </c>
    </row>
    <row r="1454" spans="1:6" x14ac:dyDescent="0.3">
      <c r="A1454" s="7">
        <v>2017</v>
      </c>
      <c r="B1454" s="8" t="s">
        <v>55</v>
      </c>
      <c r="C1454" s="8" t="s">
        <v>13</v>
      </c>
      <c r="D1454" s="14">
        <v>2766</v>
      </c>
      <c r="E1454" s="14">
        <v>22503</v>
      </c>
      <c r="F1454" s="15">
        <v>41388</v>
      </c>
    </row>
    <row r="1455" spans="1:6" x14ac:dyDescent="0.3">
      <c r="A1455" s="7">
        <v>2017</v>
      </c>
      <c r="B1455" s="8" t="s">
        <v>55</v>
      </c>
      <c r="C1455" s="8" t="s">
        <v>14</v>
      </c>
      <c r="D1455" s="14">
        <v>2686</v>
      </c>
      <c r="E1455" s="14">
        <v>19024</v>
      </c>
      <c r="F1455" s="15">
        <v>45105</v>
      </c>
    </row>
    <row r="1456" spans="1:6" x14ac:dyDescent="0.3">
      <c r="A1456" s="7">
        <v>2017</v>
      </c>
      <c r="B1456" s="8" t="s">
        <v>55</v>
      </c>
      <c r="C1456" s="8" t="s">
        <v>15</v>
      </c>
      <c r="D1456" s="14">
        <v>1584</v>
      </c>
      <c r="E1456" s="14">
        <v>18306</v>
      </c>
      <c r="F1456" s="15">
        <v>54943</v>
      </c>
    </row>
    <row r="1457" spans="1:6" x14ac:dyDescent="0.3">
      <c r="A1457" s="7">
        <v>2017</v>
      </c>
      <c r="B1457" s="8" t="s">
        <v>55</v>
      </c>
      <c r="C1457" s="8" t="s">
        <v>16</v>
      </c>
      <c r="D1457" s="14">
        <v>3082</v>
      </c>
      <c r="E1457" s="14">
        <v>42251</v>
      </c>
      <c r="F1457" s="15">
        <v>80128</v>
      </c>
    </row>
    <row r="1458" spans="1:6" x14ac:dyDescent="0.3">
      <c r="A1458" s="7">
        <v>2017</v>
      </c>
      <c r="B1458" s="8" t="s">
        <v>55</v>
      </c>
      <c r="C1458" s="8" t="s">
        <v>17</v>
      </c>
      <c r="D1458" s="14">
        <v>1370</v>
      </c>
      <c r="E1458" s="14">
        <v>6817</v>
      </c>
      <c r="F1458" s="15">
        <v>40118</v>
      </c>
    </row>
    <row r="1459" spans="1:6" x14ac:dyDescent="0.3">
      <c r="A1459" s="7">
        <v>2017</v>
      </c>
      <c r="B1459" s="8" t="s">
        <v>55</v>
      </c>
      <c r="C1459" s="8" t="s">
        <v>18</v>
      </c>
      <c r="D1459" s="8">
        <v>723</v>
      </c>
      <c r="E1459" s="14">
        <v>6432</v>
      </c>
      <c r="F1459" s="15">
        <v>42478</v>
      </c>
    </row>
    <row r="1460" spans="1:6" x14ac:dyDescent="0.3">
      <c r="A1460" s="7">
        <v>2017</v>
      </c>
      <c r="B1460" s="8" t="s">
        <v>55</v>
      </c>
      <c r="C1460" s="8" t="s">
        <v>19</v>
      </c>
      <c r="D1460" s="14">
        <v>1030</v>
      </c>
      <c r="E1460" s="14">
        <v>9290</v>
      </c>
      <c r="F1460" s="15">
        <v>61286</v>
      </c>
    </row>
    <row r="1461" spans="1:6" x14ac:dyDescent="0.3">
      <c r="A1461" s="7">
        <v>2017</v>
      </c>
      <c r="B1461" s="8" t="s">
        <v>55</v>
      </c>
      <c r="C1461" s="8" t="s">
        <v>20</v>
      </c>
      <c r="D1461" s="14">
        <v>3203</v>
      </c>
      <c r="E1461" s="14">
        <v>36801</v>
      </c>
      <c r="F1461" s="15">
        <v>38160</v>
      </c>
    </row>
    <row r="1462" spans="1:6" x14ac:dyDescent="0.3">
      <c r="A1462" s="7">
        <v>2017</v>
      </c>
      <c r="B1462" s="8" t="s">
        <v>55</v>
      </c>
      <c r="C1462" s="8" t="s">
        <v>21</v>
      </c>
      <c r="D1462" s="14">
        <v>2992</v>
      </c>
      <c r="E1462" s="14">
        <v>27804</v>
      </c>
      <c r="F1462" s="15">
        <v>47599</v>
      </c>
    </row>
    <row r="1463" spans="1:6" x14ac:dyDescent="0.3">
      <c r="A1463" s="7">
        <v>2017</v>
      </c>
      <c r="B1463" s="8" t="s">
        <v>55</v>
      </c>
      <c r="C1463" s="8" t="s">
        <v>22</v>
      </c>
      <c r="D1463" s="14">
        <v>2168</v>
      </c>
      <c r="E1463" s="14">
        <v>16360</v>
      </c>
      <c r="F1463" s="15">
        <v>45681</v>
      </c>
    </row>
    <row r="1464" spans="1:6" x14ac:dyDescent="0.3">
      <c r="A1464" s="7">
        <v>2017</v>
      </c>
      <c r="B1464" s="8" t="s">
        <v>55</v>
      </c>
      <c r="C1464" s="8" t="s">
        <v>23</v>
      </c>
      <c r="D1464" s="14">
        <v>1950</v>
      </c>
      <c r="E1464" s="14">
        <v>16365</v>
      </c>
      <c r="F1464" s="15">
        <v>42894</v>
      </c>
    </row>
    <row r="1465" spans="1:6" x14ac:dyDescent="0.3">
      <c r="A1465" s="7">
        <v>2017</v>
      </c>
      <c r="B1465" s="8" t="s">
        <v>55</v>
      </c>
      <c r="C1465" s="8" t="s">
        <v>24</v>
      </c>
      <c r="D1465" s="14">
        <v>1753</v>
      </c>
      <c r="E1465" s="14">
        <v>11976</v>
      </c>
      <c r="F1465" s="15">
        <v>64781</v>
      </c>
    </row>
    <row r="1466" spans="1:6" x14ac:dyDescent="0.3">
      <c r="A1466" s="7">
        <v>2017</v>
      </c>
      <c r="B1466" s="8" t="s">
        <v>55</v>
      </c>
      <c r="C1466" s="8" t="s">
        <v>25</v>
      </c>
      <c r="D1466" s="14">
        <v>2337</v>
      </c>
      <c r="E1466" s="14">
        <v>15500</v>
      </c>
      <c r="F1466" s="15">
        <v>39544</v>
      </c>
    </row>
    <row r="1467" spans="1:6" x14ac:dyDescent="0.3">
      <c r="A1467" s="7">
        <v>2017</v>
      </c>
      <c r="B1467" s="8" t="s">
        <v>55</v>
      </c>
      <c r="C1467" s="8" t="s">
        <v>26</v>
      </c>
      <c r="D1467" s="8">
        <v>612</v>
      </c>
      <c r="E1467" s="14">
        <v>17902</v>
      </c>
      <c r="F1467" s="15">
        <v>82999</v>
      </c>
    </row>
    <row r="1468" spans="1:6" x14ac:dyDescent="0.3">
      <c r="A1468" s="7">
        <v>2017</v>
      </c>
      <c r="B1468" s="8" t="s">
        <v>55</v>
      </c>
      <c r="C1468" s="8" t="s">
        <v>27</v>
      </c>
      <c r="D1468" s="8">
        <v>350</v>
      </c>
      <c r="E1468" s="14">
        <v>2556</v>
      </c>
      <c r="F1468" s="15">
        <v>41972</v>
      </c>
    </row>
    <row r="1469" spans="1:6" x14ac:dyDescent="0.3">
      <c r="A1469" s="7">
        <v>2017</v>
      </c>
      <c r="B1469" s="8" t="s">
        <v>55</v>
      </c>
      <c r="C1469" s="8" t="s">
        <v>28</v>
      </c>
      <c r="D1469" s="14">
        <v>1018</v>
      </c>
      <c r="E1469" s="14">
        <v>12853</v>
      </c>
      <c r="F1469" s="15">
        <v>37279</v>
      </c>
    </row>
    <row r="1470" spans="1:6" x14ac:dyDescent="0.3">
      <c r="A1470" s="7">
        <v>2017</v>
      </c>
      <c r="B1470" s="8" t="s">
        <v>55</v>
      </c>
      <c r="C1470" s="8" t="s">
        <v>29</v>
      </c>
      <c r="D1470" s="14">
        <v>1991</v>
      </c>
      <c r="E1470" s="14">
        <v>32275</v>
      </c>
      <c r="F1470" s="15">
        <v>59989</v>
      </c>
    </row>
    <row r="1471" spans="1:6" x14ac:dyDescent="0.3">
      <c r="A1471" s="7">
        <v>2017</v>
      </c>
      <c r="B1471" s="8" t="s">
        <v>55</v>
      </c>
      <c r="C1471" s="8" t="s">
        <v>30</v>
      </c>
      <c r="D1471" s="14">
        <v>3023</v>
      </c>
      <c r="E1471" s="14">
        <v>30834</v>
      </c>
      <c r="F1471" s="15">
        <v>39487</v>
      </c>
    </row>
    <row r="1472" spans="1:6" x14ac:dyDescent="0.3">
      <c r="A1472" s="7">
        <v>2017</v>
      </c>
      <c r="B1472" s="8" t="s">
        <v>55</v>
      </c>
      <c r="C1472" s="8" t="s">
        <v>31</v>
      </c>
      <c r="D1472" s="14">
        <v>3306</v>
      </c>
      <c r="E1472" s="14">
        <v>30981</v>
      </c>
      <c r="F1472" s="15">
        <v>37636</v>
      </c>
    </row>
    <row r="1473" spans="1:6" x14ac:dyDescent="0.3">
      <c r="A1473" s="7">
        <v>2017</v>
      </c>
      <c r="B1473" s="8" t="s">
        <v>55</v>
      </c>
      <c r="C1473" s="8" t="s">
        <v>32</v>
      </c>
      <c r="D1473" s="14">
        <v>1771</v>
      </c>
      <c r="E1473" s="14">
        <v>22394</v>
      </c>
      <c r="F1473" s="15">
        <v>89578</v>
      </c>
    </row>
    <row r="1474" spans="1:6" x14ac:dyDescent="0.3">
      <c r="A1474" s="7">
        <v>2017</v>
      </c>
      <c r="B1474" s="8" t="s">
        <v>55</v>
      </c>
      <c r="C1474" s="8" t="s">
        <v>33</v>
      </c>
      <c r="D1474" s="14">
        <v>2483</v>
      </c>
      <c r="E1474" s="14">
        <v>27504</v>
      </c>
      <c r="F1474" s="15">
        <v>48849</v>
      </c>
    </row>
    <row r="1475" spans="1:6" x14ac:dyDescent="0.3">
      <c r="A1475" s="7">
        <v>2017</v>
      </c>
      <c r="B1475" s="8" t="s">
        <v>55</v>
      </c>
      <c r="C1475" s="8" t="s">
        <v>34</v>
      </c>
      <c r="D1475" s="14">
        <v>4333</v>
      </c>
      <c r="E1475" s="14">
        <v>58716</v>
      </c>
      <c r="F1475" s="15">
        <v>88899</v>
      </c>
    </row>
    <row r="1476" spans="1:6" x14ac:dyDescent="0.3">
      <c r="A1476" s="7">
        <v>2017</v>
      </c>
      <c r="B1476" s="8" t="s">
        <v>55</v>
      </c>
      <c r="C1476" s="8" t="s">
        <v>35</v>
      </c>
      <c r="D1476" s="14">
        <v>4453</v>
      </c>
      <c r="E1476" s="14">
        <v>52439</v>
      </c>
      <c r="F1476" s="15">
        <v>35362</v>
      </c>
    </row>
    <row r="1477" spans="1:6" x14ac:dyDescent="0.3">
      <c r="A1477" s="7">
        <v>2017</v>
      </c>
      <c r="B1477" s="8" t="s">
        <v>55</v>
      </c>
      <c r="C1477" s="8" t="s">
        <v>36</v>
      </c>
      <c r="D1477" s="14">
        <v>3498</v>
      </c>
      <c r="E1477" s="14">
        <v>50197</v>
      </c>
      <c r="F1477" s="15">
        <v>63021</v>
      </c>
    </row>
    <row r="1478" spans="1:6" x14ac:dyDescent="0.3">
      <c r="A1478" s="7">
        <v>2017</v>
      </c>
      <c r="B1478" s="8" t="s">
        <v>55</v>
      </c>
      <c r="C1478" s="8" t="s">
        <v>38</v>
      </c>
      <c r="D1478" s="14">
        <v>1230</v>
      </c>
      <c r="E1478" s="14">
        <v>12432</v>
      </c>
      <c r="F1478" s="15">
        <v>40520</v>
      </c>
    </row>
    <row r="1479" spans="1:6" x14ac:dyDescent="0.3">
      <c r="A1479" s="7">
        <v>2017</v>
      </c>
      <c r="B1479" s="8" t="s">
        <v>55</v>
      </c>
      <c r="C1479" s="8" t="s">
        <v>39</v>
      </c>
      <c r="D1479" s="14">
        <v>1026</v>
      </c>
      <c r="E1479" s="14">
        <v>6646</v>
      </c>
      <c r="F1479" s="15">
        <v>41459</v>
      </c>
    </row>
    <row r="1480" spans="1:6" x14ac:dyDescent="0.3">
      <c r="A1480" s="7">
        <v>2017</v>
      </c>
      <c r="B1480" s="8" t="s">
        <v>55</v>
      </c>
      <c r="C1480" s="8" t="s">
        <v>40</v>
      </c>
      <c r="D1480" s="14">
        <v>1071</v>
      </c>
      <c r="E1480" s="14">
        <v>10750</v>
      </c>
      <c r="F1480" s="15">
        <v>43908</v>
      </c>
    </row>
    <row r="1481" spans="1:6" x14ac:dyDescent="0.3">
      <c r="A1481" s="7">
        <v>2017</v>
      </c>
      <c r="B1481" s="8" t="s">
        <v>55</v>
      </c>
      <c r="C1481" s="8" t="s">
        <v>41</v>
      </c>
      <c r="D1481" s="14">
        <v>19580</v>
      </c>
      <c r="E1481" s="14">
        <v>281110</v>
      </c>
      <c r="F1481" s="15">
        <v>107415</v>
      </c>
    </row>
    <row r="1482" spans="1:6" x14ac:dyDescent="0.3">
      <c r="A1482" s="7">
        <v>2017</v>
      </c>
      <c r="B1482" s="8" t="s">
        <v>55</v>
      </c>
      <c r="C1482" s="8" t="s">
        <v>42</v>
      </c>
      <c r="D1482" s="14">
        <v>1034</v>
      </c>
      <c r="E1482" s="14">
        <v>14217</v>
      </c>
      <c r="F1482" s="15">
        <v>59120</v>
      </c>
    </row>
    <row r="1483" spans="1:6" x14ac:dyDescent="0.3">
      <c r="A1483" s="7">
        <v>2017</v>
      </c>
      <c r="B1483" s="8" t="s">
        <v>55</v>
      </c>
      <c r="C1483" s="8" t="s">
        <v>43</v>
      </c>
      <c r="D1483" s="8">
        <v>551</v>
      </c>
      <c r="E1483" s="14">
        <v>3901</v>
      </c>
      <c r="F1483" s="15">
        <v>37223</v>
      </c>
    </row>
    <row r="1484" spans="1:6" x14ac:dyDescent="0.3">
      <c r="A1484" s="7">
        <v>2017</v>
      </c>
      <c r="B1484" s="8" t="s">
        <v>55</v>
      </c>
      <c r="C1484" s="8" t="s">
        <v>44</v>
      </c>
      <c r="D1484" s="14">
        <v>2061</v>
      </c>
      <c r="E1484" s="14">
        <v>19558</v>
      </c>
      <c r="F1484" s="15">
        <v>44371</v>
      </c>
    </row>
    <row r="1485" spans="1:6" x14ac:dyDescent="0.3">
      <c r="A1485" s="7">
        <v>2017</v>
      </c>
      <c r="B1485" s="8" t="s">
        <v>55</v>
      </c>
      <c r="C1485" s="8" t="s">
        <v>45</v>
      </c>
      <c r="D1485" s="14">
        <v>7493</v>
      </c>
      <c r="E1485" s="14">
        <v>107674</v>
      </c>
      <c r="F1485" s="15">
        <v>32082</v>
      </c>
    </row>
    <row r="1486" spans="1:6" x14ac:dyDescent="0.3">
      <c r="A1486" s="7">
        <v>2017</v>
      </c>
      <c r="B1486" s="8" t="s">
        <v>55</v>
      </c>
      <c r="C1486" s="8" t="s">
        <v>46</v>
      </c>
      <c r="D1486" s="14">
        <v>1221</v>
      </c>
      <c r="E1486" s="14">
        <v>22793</v>
      </c>
      <c r="F1486" s="15">
        <v>76848</v>
      </c>
    </row>
    <row r="1487" spans="1:6" x14ac:dyDescent="0.3">
      <c r="A1487" s="7">
        <v>2017</v>
      </c>
      <c r="B1487" s="8" t="s">
        <v>55</v>
      </c>
      <c r="C1487" s="8" t="s">
        <v>47</v>
      </c>
      <c r="D1487" s="14">
        <v>2865</v>
      </c>
      <c r="E1487" s="14">
        <v>31986</v>
      </c>
      <c r="F1487" s="15">
        <v>37981</v>
      </c>
    </row>
    <row r="1488" spans="1:6" x14ac:dyDescent="0.3">
      <c r="A1488" s="7">
        <v>2017</v>
      </c>
      <c r="B1488" s="8" t="s">
        <v>55</v>
      </c>
      <c r="C1488" s="8" t="s">
        <v>48</v>
      </c>
      <c r="D1488" s="14">
        <v>1442</v>
      </c>
      <c r="E1488" s="14">
        <v>22390</v>
      </c>
      <c r="F1488" s="15">
        <v>81163</v>
      </c>
    </row>
    <row r="1489" spans="1:6" x14ac:dyDescent="0.3">
      <c r="A1489" s="7">
        <v>2017</v>
      </c>
      <c r="B1489" s="8" t="s">
        <v>51</v>
      </c>
      <c r="C1489" s="8" t="s">
        <v>1</v>
      </c>
      <c r="D1489" s="14">
        <v>9645</v>
      </c>
      <c r="E1489" s="14">
        <v>85262</v>
      </c>
      <c r="F1489" s="15">
        <v>52230</v>
      </c>
    </row>
    <row r="1490" spans="1:6" x14ac:dyDescent="0.3">
      <c r="A1490" s="7">
        <v>2017</v>
      </c>
      <c r="B1490" s="8" t="s">
        <v>51</v>
      </c>
      <c r="C1490" s="8" t="s">
        <v>2</v>
      </c>
      <c r="D1490" s="14">
        <v>11368</v>
      </c>
      <c r="E1490" s="14">
        <v>144747</v>
      </c>
      <c r="F1490" s="15">
        <v>53440</v>
      </c>
    </row>
    <row r="1491" spans="1:6" x14ac:dyDescent="0.3">
      <c r="A1491" s="7">
        <v>2017</v>
      </c>
      <c r="B1491" s="8" t="s">
        <v>51</v>
      </c>
      <c r="C1491" s="8" t="s">
        <v>3</v>
      </c>
      <c r="D1491" s="14">
        <v>6817</v>
      </c>
      <c r="E1491" s="14">
        <v>51130</v>
      </c>
      <c r="F1491" s="15">
        <v>47283</v>
      </c>
    </row>
    <row r="1492" spans="1:6" x14ac:dyDescent="0.3">
      <c r="A1492" s="7">
        <v>2017</v>
      </c>
      <c r="B1492" s="8" t="s">
        <v>51</v>
      </c>
      <c r="C1492" s="8" t="s">
        <v>4</v>
      </c>
      <c r="D1492" s="14">
        <v>72972</v>
      </c>
      <c r="E1492" s="14">
        <v>805942</v>
      </c>
      <c r="F1492" s="15">
        <v>67561</v>
      </c>
    </row>
    <row r="1493" spans="1:6" x14ac:dyDescent="0.3">
      <c r="A1493" s="7">
        <v>2017</v>
      </c>
      <c r="B1493" s="8" t="s">
        <v>51</v>
      </c>
      <c r="C1493" s="8" t="s">
        <v>5</v>
      </c>
      <c r="D1493" s="14">
        <v>19243</v>
      </c>
      <c r="E1493" s="14">
        <v>163473</v>
      </c>
      <c r="F1493" s="15">
        <v>59444</v>
      </c>
    </row>
    <row r="1494" spans="1:6" x14ac:dyDescent="0.3">
      <c r="A1494" s="7">
        <v>2017</v>
      </c>
      <c r="B1494" s="8" t="s">
        <v>51</v>
      </c>
      <c r="C1494" s="8" t="s">
        <v>6</v>
      </c>
      <c r="D1494" s="14">
        <v>9351</v>
      </c>
      <c r="E1494" s="14">
        <v>58327</v>
      </c>
      <c r="F1494" s="15">
        <v>68641</v>
      </c>
    </row>
    <row r="1495" spans="1:6" x14ac:dyDescent="0.3">
      <c r="A1495" s="7">
        <v>2017</v>
      </c>
      <c r="B1495" s="8" t="s">
        <v>51</v>
      </c>
      <c r="C1495" s="8" t="s">
        <v>7</v>
      </c>
      <c r="D1495" s="14">
        <v>2777</v>
      </c>
      <c r="E1495" s="14">
        <v>21591</v>
      </c>
      <c r="F1495" s="15">
        <v>59040</v>
      </c>
    </row>
    <row r="1496" spans="1:6" x14ac:dyDescent="0.3">
      <c r="A1496" s="7">
        <v>2017</v>
      </c>
      <c r="B1496" s="8" t="s">
        <v>51</v>
      </c>
      <c r="C1496" s="8" t="s">
        <v>8</v>
      </c>
      <c r="D1496" s="14">
        <v>67384</v>
      </c>
      <c r="E1496" s="14">
        <v>503704</v>
      </c>
      <c r="F1496" s="15">
        <v>49256</v>
      </c>
    </row>
    <row r="1497" spans="1:6" x14ac:dyDescent="0.3">
      <c r="A1497" s="7">
        <v>2017</v>
      </c>
      <c r="B1497" s="8" t="s">
        <v>51</v>
      </c>
      <c r="C1497" s="8" t="s">
        <v>9</v>
      </c>
      <c r="D1497" s="14">
        <v>20135</v>
      </c>
      <c r="E1497" s="14">
        <v>182259</v>
      </c>
      <c r="F1497" s="15">
        <v>58213</v>
      </c>
    </row>
    <row r="1498" spans="1:6" x14ac:dyDescent="0.3">
      <c r="A1498" s="7">
        <v>2017</v>
      </c>
      <c r="B1498" s="8" t="s">
        <v>51</v>
      </c>
      <c r="C1498" s="8" t="s">
        <v>10</v>
      </c>
      <c r="D1498" s="14">
        <v>7660</v>
      </c>
      <c r="E1498" s="14">
        <v>42668</v>
      </c>
      <c r="F1498" s="15">
        <v>42865</v>
      </c>
    </row>
    <row r="1499" spans="1:6" x14ac:dyDescent="0.3">
      <c r="A1499" s="7">
        <v>2017</v>
      </c>
      <c r="B1499" s="8" t="s">
        <v>51</v>
      </c>
      <c r="C1499" s="8" t="s">
        <v>11</v>
      </c>
      <c r="D1499" s="14">
        <v>31422</v>
      </c>
      <c r="E1499" s="14">
        <v>220019</v>
      </c>
      <c r="F1499" s="15">
        <v>70893</v>
      </c>
    </row>
    <row r="1500" spans="1:6" x14ac:dyDescent="0.3">
      <c r="A1500" s="7">
        <v>2017</v>
      </c>
      <c r="B1500" s="8" t="s">
        <v>51</v>
      </c>
      <c r="C1500" s="8" t="s">
        <v>12</v>
      </c>
      <c r="D1500" s="14">
        <v>14839</v>
      </c>
      <c r="E1500" s="14">
        <v>138040</v>
      </c>
      <c r="F1500" s="15">
        <v>57099</v>
      </c>
    </row>
    <row r="1501" spans="1:6" x14ac:dyDescent="0.3">
      <c r="A1501" s="7">
        <v>2017</v>
      </c>
      <c r="B1501" s="8" t="s">
        <v>51</v>
      </c>
      <c r="C1501" s="8" t="s">
        <v>13</v>
      </c>
      <c r="D1501" s="14">
        <v>9417</v>
      </c>
      <c r="E1501" s="14">
        <v>76086</v>
      </c>
      <c r="F1501" s="15">
        <v>55415</v>
      </c>
    </row>
    <row r="1502" spans="1:6" x14ac:dyDescent="0.3">
      <c r="A1502" s="7">
        <v>2017</v>
      </c>
      <c r="B1502" s="8" t="s">
        <v>51</v>
      </c>
      <c r="C1502" s="8" t="s">
        <v>14</v>
      </c>
      <c r="D1502" s="14">
        <v>7584</v>
      </c>
      <c r="E1502" s="14">
        <v>60238</v>
      </c>
      <c r="F1502" s="15">
        <v>52807</v>
      </c>
    </row>
    <row r="1503" spans="1:6" x14ac:dyDescent="0.3">
      <c r="A1503" s="7">
        <v>2017</v>
      </c>
      <c r="B1503" s="8" t="s">
        <v>51</v>
      </c>
      <c r="C1503" s="8" t="s">
        <v>15</v>
      </c>
      <c r="D1503" s="14">
        <v>9339</v>
      </c>
      <c r="E1503" s="14">
        <v>77332</v>
      </c>
      <c r="F1503" s="15">
        <v>53194</v>
      </c>
    </row>
    <row r="1504" spans="1:6" x14ac:dyDescent="0.3">
      <c r="A1504" s="7">
        <v>2017</v>
      </c>
      <c r="B1504" s="8" t="s">
        <v>51</v>
      </c>
      <c r="C1504" s="8" t="s">
        <v>16</v>
      </c>
      <c r="D1504" s="14">
        <v>10825</v>
      </c>
      <c r="E1504" s="14">
        <v>147021</v>
      </c>
      <c r="F1504" s="15">
        <v>61781</v>
      </c>
    </row>
    <row r="1505" spans="1:6" x14ac:dyDescent="0.3">
      <c r="A1505" s="7">
        <v>2017</v>
      </c>
      <c r="B1505" s="8" t="s">
        <v>51</v>
      </c>
      <c r="C1505" s="8" t="s">
        <v>17</v>
      </c>
      <c r="D1505" s="14">
        <v>5502</v>
      </c>
      <c r="E1505" s="14">
        <v>28253</v>
      </c>
      <c r="F1505" s="15">
        <v>47930</v>
      </c>
    </row>
    <row r="1506" spans="1:6" x14ac:dyDescent="0.3">
      <c r="A1506" s="7">
        <v>2017</v>
      </c>
      <c r="B1506" s="8" t="s">
        <v>51</v>
      </c>
      <c r="C1506" s="8" t="s">
        <v>18</v>
      </c>
      <c r="D1506" s="14">
        <v>16463</v>
      </c>
      <c r="E1506" s="14">
        <v>162140</v>
      </c>
      <c r="F1506" s="15">
        <v>65027</v>
      </c>
    </row>
    <row r="1507" spans="1:6" x14ac:dyDescent="0.3">
      <c r="A1507" s="7">
        <v>2017</v>
      </c>
      <c r="B1507" s="8" t="s">
        <v>51</v>
      </c>
      <c r="C1507" s="8" t="s">
        <v>19</v>
      </c>
      <c r="D1507" s="14">
        <v>21055</v>
      </c>
      <c r="E1507" s="14">
        <v>152131</v>
      </c>
      <c r="F1507" s="15">
        <v>75405</v>
      </c>
    </row>
    <row r="1508" spans="1:6" x14ac:dyDescent="0.3">
      <c r="A1508" s="7">
        <v>2017</v>
      </c>
      <c r="B1508" s="8" t="s">
        <v>51</v>
      </c>
      <c r="C1508" s="8" t="s">
        <v>20</v>
      </c>
      <c r="D1508" s="14">
        <v>19544</v>
      </c>
      <c r="E1508" s="14">
        <v>161903</v>
      </c>
      <c r="F1508" s="15">
        <v>61511</v>
      </c>
    </row>
    <row r="1509" spans="1:6" x14ac:dyDescent="0.3">
      <c r="A1509" s="7">
        <v>2017</v>
      </c>
      <c r="B1509" s="8" t="s">
        <v>51</v>
      </c>
      <c r="C1509" s="8" t="s">
        <v>21</v>
      </c>
      <c r="D1509" s="14">
        <v>15746</v>
      </c>
      <c r="E1509" s="14">
        <v>119642</v>
      </c>
      <c r="F1509" s="15">
        <v>65464</v>
      </c>
    </row>
    <row r="1510" spans="1:6" x14ac:dyDescent="0.3">
      <c r="A1510" s="7">
        <v>2017</v>
      </c>
      <c r="B1510" s="8" t="s">
        <v>51</v>
      </c>
      <c r="C1510" s="8" t="s">
        <v>22</v>
      </c>
      <c r="D1510" s="14">
        <v>5670</v>
      </c>
      <c r="E1510" s="14">
        <v>43467</v>
      </c>
      <c r="F1510" s="15">
        <v>48782</v>
      </c>
    </row>
    <row r="1511" spans="1:6" x14ac:dyDescent="0.3">
      <c r="A1511" s="7">
        <v>2017</v>
      </c>
      <c r="B1511" s="8" t="s">
        <v>51</v>
      </c>
      <c r="C1511" s="8" t="s">
        <v>23</v>
      </c>
      <c r="D1511" s="14">
        <v>15141</v>
      </c>
      <c r="E1511" s="14">
        <v>123034</v>
      </c>
      <c r="F1511" s="15">
        <v>57823</v>
      </c>
    </row>
    <row r="1512" spans="1:6" x14ac:dyDescent="0.3">
      <c r="A1512" s="7">
        <v>2017</v>
      </c>
      <c r="B1512" s="8" t="s">
        <v>51</v>
      </c>
      <c r="C1512" s="8" t="s">
        <v>24</v>
      </c>
      <c r="D1512" s="14">
        <v>6287</v>
      </c>
      <c r="E1512" s="14">
        <v>27712</v>
      </c>
      <c r="F1512" s="15">
        <v>50369</v>
      </c>
    </row>
    <row r="1513" spans="1:6" x14ac:dyDescent="0.3">
      <c r="A1513" s="7">
        <v>2017</v>
      </c>
      <c r="B1513" s="8" t="s">
        <v>51</v>
      </c>
      <c r="C1513" s="8" t="s">
        <v>25</v>
      </c>
      <c r="D1513" s="14">
        <v>7053</v>
      </c>
      <c r="E1513" s="14">
        <v>51174</v>
      </c>
      <c r="F1513" s="15">
        <v>49634</v>
      </c>
    </row>
    <row r="1514" spans="1:6" x14ac:dyDescent="0.3">
      <c r="A1514" s="7">
        <v>2017</v>
      </c>
      <c r="B1514" s="8" t="s">
        <v>51</v>
      </c>
      <c r="C1514" s="8" t="s">
        <v>26</v>
      </c>
      <c r="D1514" s="14">
        <v>5859</v>
      </c>
      <c r="E1514" s="14">
        <v>82998</v>
      </c>
      <c r="F1514" s="15">
        <v>58071</v>
      </c>
    </row>
    <row r="1515" spans="1:6" x14ac:dyDescent="0.3">
      <c r="A1515" s="7">
        <v>2017</v>
      </c>
      <c r="B1515" s="8" t="s">
        <v>51</v>
      </c>
      <c r="C1515" s="8" t="s">
        <v>27</v>
      </c>
      <c r="D1515" s="14">
        <v>4363</v>
      </c>
      <c r="E1515" s="14">
        <v>26466</v>
      </c>
      <c r="F1515" s="15">
        <v>61497</v>
      </c>
    </row>
    <row r="1516" spans="1:6" x14ac:dyDescent="0.3">
      <c r="A1516" s="7">
        <v>2017</v>
      </c>
      <c r="B1516" s="8" t="s">
        <v>51</v>
      </c>
      <c r="C1516" s="8" t="s">
        <v>28</v>
      </c>
      <c r="D1516" s="14">
        <v>21672</v>
      </c>
      <c r="E1516" s="14">
        <v>154907</v>
      </c>
      <c r="F1516" s="15">
        <v>71145</v>
      </c>
    </row>
    <row r="1517" spans="1:6" x14ac:dyDescent="0.3">
      <c r="A1517" s="7">
        <v>2017</v>
      </c>
      <c r="B1517" s="8" t="s">
        <v>51</v>
      </c>
      <c r="C1517" s="8" t="s">
        <v>29</v>
      </c>
      <c r="D1517" s="14">
        <v>5141</v>
      </c>
      <c r="E1517" s="14">
        <v>45511</v>
      </c>
      <c r="F1517" s="15">
        <v>46369</v>
      </c>
    </row>
    <row r="1518" spans="1:6" x14ac:dyDescent="0.3">
      <c r="A1518" s="7">
        <v>2017</v>
      </c>
      <c r="B1518" s="8" t="s">
        <v>51</v>
      </c>
      <c r="C1518" s="8" t="s">
        <v>30</v>
      </c>
      <c r="D1518" s="14">
        <v>50064</v>
      </c>
      <c r="E1518" s="14">
        <v>386615</v>
      </c>
      <c r="F1518" s="15">
        <v>71408</v>
      </c>
    </row>
    <row r="1519" spans="1:6" x14ac:dyDescent="0.3">
      <c r="A1519" s="7">
        <v>2017</v>
      </c>
      <c r="B1519" s="8" t="s">
        <v>51</v>
      </c>
      <c r="C1519" s="8" t="s">
        <v>31</v>
      </c>
      <c r="D1519" s="14">
        <v>26057</v>
      </c>
      <c r="E1519" s="14">
        <v>208662</v>
      </c>
      <c r="F1519" s="15">
        <v>52372</v>
      </c>
    </row>
    <row r="1520" spans="1:6" x14ac:dyDescent="0.3">
      <c r="A1520" s="7">
        <v>2017</v>
      </c>
      <c r="B1520" s="8" t="s">
        <v>51</v>
      </c>
      <c r="C1520" s="8" t="s">
        <v>32</v>
      </c>
      <c r="D1520" s="14">
        <v>4035</v>
      </c>
      <c r="E1520" s="14">
        <v>26732</v>
      </c>
      <c r="F1520" s="15">
        <v>63029</v>
      </c>
    </row>
    <row r="1521" spans="1:6" x14ac:dyDescent="0.3">
      <c r="A1521" s="7">
        <v>2017</v>
      </c>
      <c r="B1521" s="8" t="s">
        <v>51</v>
      </c>
      <c r="C1521" s="8" t="s">
        <v>33</v>
      </c>
      <c r="D1521" s="14">
        <v>23022</v>
      </c>
      <c r="E1521" s="14">
        <v>217025</v>
      </c>
      <c r="F1521" s="15">
        <v>60831</v>
      </c>
    </row>
    <row r="1522" spans="1:6" x14ac:dyDescent="0.3">
      <c r="A1522" s="7">
        <v>2017</v>
      </c>
      <c r="B1522" s="8" t="s">
        <v>51</v>
      </c>
      <c r="C1522" s="8" t="s">
        <v>34</v>
      </c>
      <c r="D1522" s="14">
        <v>9823</v>
      </c>
      <c r="E1522" s="14">
        <v>77247</v>
      </c>
      <c r="F1522" s="15">
        <v>50585</v>
      </c>
    </row>
    <row r="1523" spans="1:6" x14ac:dyDescent="0.3">
      <c r="A1523" s="7">
        <v>2017</v>
      </c>
      <c r="B1523" s="8" t="s">
        <v>51</v>
      </c>
      <c r="C1523" s="8" t="s">
        <v>35</v>
      </c>
      <c r="D1523" s="14">
        <v>13468</v>
      </c>
      <c r="E1523" s="14">
        <v>96991</v>
      </c>
      <c r="F1523" s="15">
        <v>57987</v>
      </c>
    </row>
    <row r="1524" spans="1:6" x14ac:dyDescent="0.3">
      <c r="A1524" s="7">
        <v>2017</v>
      </c>
      <c r="B1524" s="8" t="s">
        <v>51</v>
      </c>
      <c r="C1524" s="8" t="s">
        <v>36</v>
      </c>
      <c r="D1524" s="14">
        <v>28397</v>
      </c>
      <c r="E1524" s="14">
        <v>248932</v>
      </c>
      <c r="F1524" s="15">
        <v>64769</v>
      </c>
    </row>
    <row r="1525" spans="1:6" x14ac:dyDescent="0.3">
      <c r="A1525" s="7">
        <v>2017</v>
      </c>
      <c r="B1525" s="8" t="s">
        <v>51</v>
      </c>
      <c r="C1525" s="8" t="s">
        <v>38</v>
      </c>
      <c r="D1525" s="14">
        <v>11635</v>
      </c>
      <c r="E1525" s="14">
        <v>100817</v>
      </c>
      <c r="F1525" s="15">
        <v>53542</v>
      </c>
    </row>
    <row r="1526" spans="1:6" x14ac:dyDescent="0.3">
      <c r="A1526" s="7">
        <v>2017</v>
      </c>
      <c r="B1526" s="8" t="s">
        <v>51</v>
      </c>
      <c r="C1526" s="8" t="s">
        <v>39</v>
      </c>
      <c r="D1526" s="14">
        <v>3883</v>
      </c>
      <c r="E1526" s="14">
        <v>22351</v>
      </c>
      <c r="F1526" s="15">
        <v>47385</v>
      </c>
    </row>
    <row r="1527" spans="1:6" x14ac:dyDescent="0.3">
      <c r="A1527" s="7">
        <v>2017</v>
      </c>
      <c r="B1527" s="8" t="s">
        <v>51</v>
      </c>
      <c r="C1527" s="8" t="s">
        <v>40</v>
      </c>
      <c r="D1527" s="14">
        <v>11745</v>
      </c>
      <c r="E1527" s="14">
        <v>119968</v>
      </c>
      <c r="F1527" s="15">
        <v>56642</v>
      </c>
    </row>
    <row r="1528" spans="1:6" x14ac:dyDescent="0.3">
      <c r="A1528" s="7">
        <v>2017</v>
      </c>
      <c r="B1528" s="8" t="s">
        <v>51</v>
      </c>
      <c r="C1528" s="8" t="s">
        <v>41</v>
      </c>
      <c r="D1528" s="14">
        <v>49310</v>
      </c>
      <c r="E1528" s="14">
        <v>711119</v>
      </c>
      <c r="F1528" s="15">
        <v>63219</v>
      </c>
    </row>
    <row r="1529" spans="1:6" x14ac:dyDescent="0.3">
      <c r="A1529" s="7">
        <v>2017</v>
      </c>
      <c r="B1529" s="8" t="s">
        <v>51</v>
      </c>
      <c r="C1529" s="8" t="s">
        <v>42</v>
      </c>
      <c r="D1529" s="14">
        <v>10886</v>
      </c>
      <c r="E1529" s="14">
        <v>97495</v>
      </c>
      <c r="F1529" s="15">
        <v>49132</v>
      </c>
    </row>
    <row r="1530" spans="1:6" x14ac:dyDescent="0.3">
      <c r="A1530" s="7">
        <v>2017</v>
      </c>
      <c r="B1530" s="8" t="s">
        <v>51</v>
      </c>
      <c r="C1530" s="8" t="s">
        <v>43</v>
      </c>
      <c r="D1530" s="14">
        <v>2865</v>
      </c>
      <c r="E1530" s="14">
        <v>15187</v>
      </c>
      <c r="F1530" s="15">
        <v>50125</v>
      </c>
    </row>
    <row r="1531" spans="1:6" x14ac:dyDescent="0.3">
      <c r="A1531" s="7">
        <v>2017</v>
      </c>
      <c r="B1531" s="8" t="s">
        <v>51</v>
      </c>
      <c r="C1531" s="8" t="s">
        <v>44</v>
      </c>
      <c r="D1531" s="14">
        <v>21256</v>
      </c>
      <c r="E1531" s="14">
        <v>192576</v>
      </c>
      <c r="F1531" s="15">
        <v>56166</v>
      </c>
    </row>
    <row r="1532" spans="1:6" x14ac:dyDescent="0.3">
      <c r="A1532" s="7">
        <v>2017</v>
      </c>
      <c r="B1532" s="8" t="s">
        <v>51</v>
      </c>
      <c r="C1532" s="8" t="s">
        <v>45</v>
      </c>
      <c r="D1532" s="14">
        <v>25279</v>
      </c>
      <c r="E1532" s="14">
        <v>187247</v>
      </c>
      <c r="F1532" s="15">
        <v>61249</v>
      </c>
    </row>
    <row r="1533" spans="1:6" x14ac:dyDescent="0.3">
      <c r="A1533" s="7">
        <v>2017</v>
      </c>
      <c r="B1533" s="8" t="s">
        <v>51</v>
      </c>
      <c r="C1533" s="8" t="s">
        <v>46</v>
      </c>
      <c r="D1533" s="14">
        <v>4402</v>
      </c>
      <c r="E1533" s="14">
        <v>31522</v>
      </c>
      <c r="F1533" s="15">
        <v>57987</v>
      </c>
    </row>
    <row r="1534" spans="1:6" x14ac:dyDescent="0.3">
      <c r="A1534" s="7">
        <v>2017</v>
      </c>
      <c r="B1534" s="8" t="s">
        <v>51</v>
      </c>
      <c r="C1534" s="8" t="s">
        <v>47</v>
      </c>
      <c r="D1534" s="14">
        <v>14158</v>
      </c>
      <c r="E1534" s="14">
        <v>117226</v>
      </c>
      <c r="F1534" s="15">
        <v>60136</v>
      </c>
    </row>
    <row r="1535" spans="1:6" x14ac:dyDescent="0.3">
      <c r="A1535" s="7">
        <v>2017</v>
      </c>
      <c r="B1535" s="8" t="s">
        <v>51</v>
      </c>
      <c r="C1535" s="8" t="s">
        <v>48</v>
      </c>
      <c r="D1535" s="14">
        <v>3427</v>
      </c>
      <c r="E1535" s="14">
        <v>19573</v>
      </c>
      <c r="F1535" s="15">
        <v>50877</v>
      </c>
    </row>
    <row r="1536" spans="1:6" x14ac:dyDescent="0.3">
      <c r="A1536" s="7">
        <v>2017</v>
      </c>
      <c r="B1536" s="8" t="s">
        <v>52</v>
      </c>
      <c r="C1536" s="8" t="s">
        <v>1</v>
      </c>
      <c r="D1536" s="14">
        <v>5447</v>
      </c>
      <c r="E1536" s="14">
        <v>263487</v>
      </c>
      <c r="F1536" s="15">
        <v>55197</v>
      </c>
    </row>
    <row r="1537" spans="1:6" x14ac:dyDescent="0.3">
      <c r="A1537" s="7">
        <v>2017</v>
      </c>
      <c r="B1537" s="8" t="s">
        <v>52</v>
      </c>
      <c r="C1537" s="8" t="s">
        <v>2</v>
      </c>
      <c r="D1537" s="14">
        <v>4657</v>
      </c>
      <c r="E1537" s="14">
        <v>162399</v>
      </c>
      <c r="F1537" s="15">
        <v>73528</v>
      </c>
    </row>
    <row r="1538" spans="1:6" x14ac:dyDescent="0.3">
      <c r="A1538" s="7">
        <v>2017</v>
      </c>
      <c r="B1538" s="8" t="s">
        <v>52</v>
      </c>
      <c r="C1538" s="8" t="s">
        <v>3</v>
      </c>
      <c r="D1538" s="14">
        <v>2928</v>
      </c>
      <c r="E1538" s="14">
        <v>157305</v>
      </c>
      <c r="F1538" s="15">
        <v>46766</v>
      </c>
    </row>
    <row r="1539" spans="1:6" x14ac:dyDescent="0.3">
      <c r="A1539" s="7">
        <v>2017</v>
      </c>
      <c r="B1539" s="8" t="s">
        <v>52</v>
      </c>
      <c r="C1539" s="8" t="s">
        <v>4</v>
      </c>
      <c r="D1539" s="14">
        <v>42215</v>
      </c>
      <c r="E1539" s="14">
        <v>1303550</v>
      </c>
      <c r="F1539" s="15">
        <v>92246</v>
      </c>
    </row>
    <row r="1540" spans="1:6" x14ac:dyDescent="0.3">
      <c r="A1540" s="7">
        <v>2017</v>
      </c>
      <c r="B1540" s="8" t="s">
        <v>52</v>
      </c>
      <c r="C1540" s="8" t="s">
        <v>5</v>
      </c>
      <c r="D1540" s="14">
        <v>5750</v>
      </c>
      <c r="E1540" s="14">
        <v>144067</v>
      </c>
      <c r="F1540" s="15">
        <v>69446</v>
      </c>
    </row>
    <row r="1541" spans="1:6" x14ac:dyDescent="0.3">
      <c r="A1541" s="7">
        <v>2017</v>
      </c>
      <c r="B1541" s="8" t="s">
        <v>52</v>
      </c>
      <c r="C1541" s="8" t="s">
        <v>6</v>
      </c>
      <c r="D1541" s="14">
        <v>4460</v>
      </c>
      <c r="E1541" s="14">
        <v>158891</v>
      </c>
      <c r="F1541" s="15">
        <v>81864</v>
      </c>
    </row>
    <row r="1542" spans="1:6" x14ac:dyDescent="0.3">
      <c r="A1542" s="7">
        <v>2017</v>
      </c>
      <c r="B1542" s="8" t="s">
        <v>52</v>
      </c>
      <c r="C1542" s="8" t="s">
        <v>7</v>
      </c>
      <c r="D1542" s="8">
        <v>688</v>
      </c>
      <c r="E1542" s="14">
        <v>25928</v>
      </c>
      <c r="F1542" s="15">
        <v>62417</v>
      </c>
    </row>
    <row r="1543" spans="1:6" x14ac:dyDescent="0.3">
      <c r="A1543" s="7">
        <v>2017</v>
      </c>
      <c r="B1543" s="8" t="s">
        <v>52</v>
      </c>
      <c r="C1543" s="8" t="s">
        <v>8</v>
      </c>
      <c r="D1543" s="14">
        <v>20513</v>
      </c>
      <c r="E1543" s="14">
        <v>363137</v>
      </c>
      <c r="F1543" s="15">
        <v>59389</v>
      </c>
    </row>
    <row r="1544" spans="1:6" x14ac:dyDescent="0.3">
      <c r="A1544" s="7">
        <v>2017</v>
      </c>
      <c r="B1544" s="8" t="s">
        <v>52</v>
      </c>
      <c r="C1544" s="8" t="s">
        <v>9</v>
      </c>
      <c r="D1544" s="14">
        <v>9745</v>
      </c>
      <c r="E1544" s="14">
        <v>395916</v>
      </c>
      <c r="F1544" s="15">
        <v>57889</v>
      </c>
    </row>
    <row r="1545" spans="1:6" x14ac:dyDescent="0.3">
      <c r="A1545" s="7">
        <v>2017</v>
      </c>
      <c r="B1545" s="8" t="s">
        <v>52</v>
      </c>
      <c r="C1545" s="8" t="s">
        <v>10</v>
      </c>
      <c r="D1545" s="14">
        <v>2750</v>
      </c>
      <c r="E1545" s="14">
        <v>66056</v>
      </c>
      <c r="F1545" s="15">
        <v>61543</v>
      </c>
    </row>
    <row r="1546" spans="1:6" x14ac:dyDescent="0.3">
      <c r="A1546" s="7">
        <v>2017</v>
      </c>
      <c r="B1546" s="8" t="s">
        <v>52</v>
      </c>
      <c r="C1546" s="8" t="s">
        <v>11</v>
      </c>
      <c r="D1546" s="14">
        <v>17979</v>
      </c>
      <c r="E1546" s="14">
        <v>574692</v>
      </c>
      <c r="F1546" s="15">
        <v>70174</v>
      </c>
    </row>
    <row r="1547" spans="1:6" x14ac:dyDescent="0.3">
      <c r="A1547" s="7">
        <v>2017</v>
      </c>
      <c r="B1547" s="8" t="s">
        <v>52</v>
      </c>
      <c r="C1547" s="8" t="s">
        <v>12</v>
      </c>
      <c r="D1547" s="14">
        <v>8554</v>
      </c>
      <c r="E1547" s="14">
        <v>531312</v>
      </c>
      <c r="F1547" s="15">
        <v>61118</v>
      </c>
    </row>
    <row r="1548" spans="1:6" x14ac:dyDescent="0.3">
      <c r="A1548" s="7">
        <v>2017</v>
      </c>
      <c r="B1548" s="8" t="s">
        <v>52</v>
      </c>
      <c r="C1548" s="8" t="s">
        <v>13</v>
      </c>
      <c r="D1548" s="14">
        <v>4125</v>
      </c>
      <c r="E1548" s="14">
        <v>215910</v>
      </c>
      <c r="F1548" s="15">
        <v>58617</v>
      </c>
    </row>
    <row r="1549" spans="1:6" x14ac:dyDescent="0.3">
      <c r="A1549" s="7">
        <v>2017</v>
      </c>
      <c r="B1549" s="8" t="s">
        <v>52</v>
      </c>
      <c r="C1549" s="8" t="s">
        <v>14</v>
      </c>
      <c r="D1549" s="14">
        <v>3164</v>
      </c>
      <c r="E1549" s="14">
        <v>161517</v>
      </c>
      <c r="F1549" s="15">
        <v>57532</v>
      </c>
    </row>
    <row r="1550" spans="1:6" x14ac:dyDescent="0.3">
      <c r="A1550" s="7">
        <v>2017</v>
      </c>
      <c r="B1550" s="8" t="s">
        <v>52</v>
      </c>
      <c r="C1550" s="8" t="s">
        <v>15</v>
      </c>
      <c r="D1550" s="14">
        <v>4368</v>
      </c>
      <c r="E1550" s="14">
        <v>250180</v>
      </c>
      <c r="F1550" s="15">
        <v>58143</v>
      </c>
    </row>
    <row r="1551" spans="1:6" x14ac:dyDescent="0.3">
      <c r="A1551" s="7">
        <v>2017</v>
      </c>
      <c r="B1551" s="8" t="s">
        <v>52</v>
      </c>
      <c r="C1551" s="8" t="s">
        <v>16</v>
      </c>
      <c r="D1551" s="14">
        <v>4464</v>
      </c>
      <c r="E1551" s="14">
        <v>134680</v>
      </c>
      <c r="F1551" s="15">
        <v>72604</v>
      </c>
    </row>
    <row r="1552" spans="1:6" x14ac:dyDescent="0.3">
      <c r="A1552" s="7">
        <v>2017</v>
      </c>
      <c r="B1552" s="8" t="s">
        <v>52</v>
      </c>
      <c r="C1552" s="8" t="s">
        <v>17</v>
      </c>
      <c r="D1552" s="14">
        <v>1877</v>
      </c>
      <c r="E1552" s="14">
        <v>50911</v>
      </c>
      <c r="F1552" s="15">
        <v>55458</v>
      </c>
    </row>
    <row r="1553" spans="1:6" x14ac:dyDescent="0.3">
      <c r="A1553" s="7">
        <v>2017</v>
      </c>
      <c r="B1553" s="8" t="s">
        <v>52</v>
      </c>
      <c r="C1553" s="8" t="s">
        <v>18</v>
      </c>
      <c r="D1553" s="14">
        <v>3901</v>
      </c>
      <c r="E1553" s="14">
        <v>106864</v>
      </c>
      <c r="F1553" s="15">
        <v>77289</v>
      </c>
    </row>
    <row r="1554" spans="1:6" x14ac:dyDescent="0.3">
      <c r="A1554" s="7">
        <v>2017</v>
      </c>
      <c r="B1554" s="8" t="s">
        <v>52</v>
      </c>
      <c r="C1554" s="8" t="s">
        <v>19</v>
      </c>
      <c r="D1554" s="14">
        <v>6850</v>
      </c>
      <c r="E1554" s="14">
        <v>244647</v>
      </c>
      <c r="F1554" s="15">
        <v>88132</v>
      </c>
    </row>
    <row r="1555" spans="1:6" x14ac:dyDescent="0.3">
      <c r="A1555" s="7">
        <v>2017</v>
      </c>
      <c r="B1555" s="8" t="s">
        <v>52</v>
      </c>
      <c r="C1555" s="8" t="s">
        <v>20</v>
      </c>
      <c r="D1555" s="14">
        <v>15721</v>
      </c>
      <c r="E1555" s="14">
        <v>615106</v>
      </c>
      <c r="F1555" s="15">
        <v>66395</v>
      </c>
    </row>
    <row r="1556" spans="1:6" x14ac:dyDescent="0.3">
      <c r="A1556" s="7">
        <v>2017</v>
      </c>
      <c r="B1556" s="8" t="s">
        <v>52</v>
      </c>
      <c r="C1556" s="8" t="s">
        <v>21</v>
      </c>
      <c r="D1556" s="14">
        <v>8369</v>
      </c>
      <c r="E1556" s="14">
        <v>319035</v>
      </c>
      <c r="F1556" s="15">
        <v>65734</v>
      </c>
    </row>
    <row r="1557" spans="1:6" x14ac:dyDescent="0.3">
      <c r="A1557" s="7">
        <v>2017</v>
      </c>
      <c r="B1557" s="8" t="s">
        <v>52</v>
      </c>
      <c r="C1557" s="8" t="s">
        <v>22</v>
      </c>
      <c r="D1557" s="14">
        <v>2441</v>
      </c>
      <c r="E1557" s="14">
        <v>144047</v>
      </c>
      <c r="F1557" s="15">
        <v>48199</v>
      </c>
    </row>
    <row r="1558" spans="1:6" x14ac:dyDescent="0.3">
      <c r="A1558" s="7">
        <v>2017</v>
      </c>
      <c r="B1558" s="8" t="s">
        <v>52</v>
      </c>
      <c r="C1558" s="8" t="s">
        <v>23</v>
      </c>
      <c r="D1558" s="14">
        <v>6636</v>
      </c>
      <c r="E1558" s="14">
        <v>265863</v>
      </c>
      <c r="F1558" s="15">
        <v>57139</v>
      </c>
    </row>
    <row r="1559" spans="1:6" x14ac:dyDescent="0.3">
      <c r="A1559" s="7">
        <v>2017</v>
      </c>
      <c r="B1559" s="8" t="s">
        <v>52</v>
      </c>
      <c r="C1559" s="8" t="s">
        <v>24</v>
      </c>
      <c r="D1559" s="14">
        <v>1572</v>
      </c>
      <c r="E1559" s="14">
        <v>19893</v>
      </c>
      <c r="F1559" s="15">
        <v>48758</v>
      </c>
    </row>
    <row r="1560" spans="1:6" x14ac:dyDescent="0.3">
      <c r="A1560" s="7">
        <v>2017</v>
      </c>
      <c r="B1560" s="8" t="s">
        <v>52</v>
      </c>
      <c r="C1560" s="8" t="s">
        <v>25</v>
      </c>
      <c r="D1560" s="14">
        <v>1977</v>
      </c>
      <c r="E1560" s="14">
        <v>98082</v>
      </c>
      <c r="F1560" s="15">
        <v>49568</v>
      </c>
    </row>
    <row r="1561" spans="1:6" x14ac:dyDescent="0.3">
      <c r="A1561" s="7">
        <v>2017</v>
      </c>
      <c r="B1561" s="8" t="s">
        <v>52</v>
      </c>
      <c r="C1561" s="8" t="s">
        <v>26</v>
      </c>
      <c r="D1561" s="14">
        <v>2043</v>
      </c>
      <c r="E1561" s="14">
        <v>47800</v>
      </c>
      <c r="F1561" s="15">
        <v>56486</v>
      </c>
    </row>
    <row r="1562" spans="1:6" x14ac:dyDescent="0.3">
      <c r="A1562" s="7">
        <v>2017</v>
      </c>
      <c r="B1562" s="8" t="s">
        <v>52</v>
      </c>
      <c r="C1562" s="8" t="s">
        <v>27</v>
      </c>
      <c r="D1562" s="14">
        <v>2011</v>
      </c>
      <c r="E1562" s="14">
        <v>68971</v>
      </c>
      <c r="F1562" s="15">
        <v>70482</v>
      </c>
    </row>
    <row r="1563" spans="1:6" x14ac:dyDescent="0.3">
      <c r="A1563" s="7">
        <v>2017</v>
      </c>
      <c r="B1563" s="8" t="s">
        <v>52</v>
      </c>
      <c r="C1563" s="8" t="s">
        <v>28</v>
      </c>
      <c r="D1563" s="14">
        <v>8962</v>
      </c>
      <c r="E1563" s="14">
        <v>242476</v>
      </c>
      <c r="F1563" s="15">
        <v>78813</v>
      </c>
    </row>
    <row r="1564" spans="1:6" x14ac:dyDescent="0.3">
      <c r="A1564" s="7">
        <v>2017</v>
      </c>
      <c r="B1564" s="8" t="s">
        <v>52</v>
      </c>
      <c r="C1564" s="8" t="s">
        <v>29</v>
      </c>
      <c r="D1564" s="14">
        <v>1724</v>
      </c>
      <c r="E1564" s="14">
        <v>26398</v>
      </c>
      <c r="F1564" s="15">
        <v>53328</v>
      </c>
    </row>
    <row r="1565" spans="1:6" x14ac:dyDescent="0.3">
      <c r="A1565" s="7">
        <v>2017</v>
      </c>
      <c r="B1565" s="8" t="s">
        <v>52</v>
      </c>
      <c r="C1565" s="8" t="s">
        <v>30</v>
      </c>
      <c r="D1565" s="14">
        <v>17319</v>
      </c>
      <c r="E1565" s="14">
        <v>444182</v>
      </c>
      <c r="F1565" s="15">
        <v>65899</v>
      </c>
    </row>
    <row r="1566" spans="1:6" x14ac:dyDescent="0.3">
      <c r="A1566" s="7">
        <v>2017</v>
      </c>
      <c r="B1566" s="8" t="s">
        <v>52</v>
      </c>
      <c r="C1566" s="8" t="s">
        <v>31</v>
      </c>
      <c r="D1566" s="14">
        <v>10287</v>
      </c>
      <c r="E1566" s="14">
        <v>467306</v>
      </c>
      <c r="F1566" s="15">
        <v>58368</v>
      </c>
    </row>
    <row r="1567" spans="1:6" x14ac:dyDescent="0.3">
      <c r="A1567" s="7">
        <v>2017</v>
      </c>
      <c r="B1567" s="8" t="s">
        <v>52</v>
      </c>
      <c r="C1567" s="8" t="s">
        <v>32</v>
      </c>
      <c r="D1567" s="8">
        <v>810</v>
      </c>
      <c r="E1567" s="14">
        <v>24680</v>
      </c>
      <c r="F1567" s="15">
        <v>52594</v>
      </c>
    </row>
    <row r="1568" spans="1:6" x14ac:dyDescent="0.3">
      <c r="A1568" s="7">
        <v>2017</v>
      </c>
      <c r="B1568" s="8" t="s">
        <v>52</v>
      </c>
      <c r="C1568" s="8" t="s">
        <v>33</v>
      </c>
      <c r="D1568" s="14">
        <v>15430</v>
      </c>
      <c r="E1568" s="14">
        <v>685942</v>
      </c>
      <c r="F1568" s="15">
        <v>60002</v>
      </c>
    </row>
    <row r="1569" spans="1:6" x14ac:dyDescent="0.3">
      <c r="A1569" s="7">
        <v>2017</v>
      </c>
      <c r="B1569" s="8" t="s">
        <v>52</v>
      </c>
      <c r="C1569" s="8" t="s">
        <v>34</v>
      </c>
      <c r="D1569" s="14">
        <v>4230</v>
      </c>
      <c r="E1569" s="14">
        <v>128122</v>
      </c>
      <c r="F1569" s="15">
        <v>55496</v>
      </c>
    </row>
    <row r="1570" spans="1:6" x14ac:dyDescent="0.3">
      <c r="A1570" s="7">
        <v>2017</v>
      </c>
      <c r="B1570" s="8" t="s">
        <v>52</v>
      </c>
      <c r="C1570" s="8" t="s">
        <v>35</v>
      </c>
      <c r="D1570" s="14">
        <v>6175</v>
      </c>
      <c r="E1570" s="14">
        <v>189318</v>
      </c>
      <c r="F1570" s="15">
        <v>68161</v>
      </c>
    </row>
    <row r="1571" spans="1:6" x14ac:dyDescent="0.3">
      <c r="A1571" s="7">
        <v>2017</v>
      </c>
      <c r="B1571" s="8" t="s">
        <v>52</v>
      </c>
      <c r="C1571" s="8" t="s">
        <v>36</v>
      </c>
      <c r="D1571" s="14">
        <v>14414</v>
      </c>
      <c r="E1571" s="14">
        <v>561774</v>
      </c>
      <c r="F1571" s="15">
        <v>61111</v>
      </c>
    </row>
    <row r="1572" spans="1:6" x14ac:dyDescent="0.3">
      <c r="A1572" s="7">
        <v>2017</v>
      </c>
      <c r="B1572" s="8" t="s">
        <v>52</v>
      </c>
      <c r="C1572" s="8" t="s">
        <v>37</v>
      </c>
      <c r="D1572" s="14">
        <v>1567</v>
      </c>
      <c r="E1572" s="14">
        <v>40341</v>
      </c>
      <c r="F1572" s="15">
        <v>57616</v>
      </c>
    </row>
    <row r="1573" spans="1:6" x14ac:dyDescent="0.3">
      <c r="A1573" s="7">
        <v>2017</v>
      </c>
      <c r="B1573" s="8" t="s">
        <v>52</v>
      </c>
      <c r="C1573" s="8" t="s">
        <v>38</v>
      </c>
      <c r="D1573" s="14">
        <v>5906</v>
      </c>
      <c r="E1573" s="14">
        <v>240456</v>
      </c>
      <c r="F1573" s="15">
        <v>58927</v>
      </c>
    </row>
    <row r="1574" spans="1:6" x14ac:dyDescent="0.3">
      <c r="A1574" s="7">
        <v>2017</v>
      </c>
      <c r="B1574" s="8" t="s">
        <v>52</v>
      </c>
      <c r="C1574" s="8" t="s">
        <v>39</v>
      </c>
      <c r="D1574" s="14">
        <v>1091</v>
      </c>
      <c r="E1574" s="14">
        <v>43081</v>
      </c>
      <c r="F1574" s="15">
        <v>47877</v>
      </c>
    </row>
    <row r="1575" spans="1:6" x14ac:dyDescent="0.3">
      <c r="A1575" s="7">
        <v>2017</v>
      </c>
      <c r="B1575" s="8" t="s">
        <v>52</v>
      </c>
      <c r="C1575" s="8" t="s">
        <v>40</v>
      </c>
      <c r="D1575" s="14">
        <v>6835</v>
      </c>
      <c r="E1575" s="14">
        <v>348417</v>
      </c>
      <c r="F1575" s="15">
        <v>59526</v>
      </c>
    </row>
    <row r="1576" spans="1:6" x14ac:dyDescent="0.3">
      <c r="A1576" s="7">
        <v>2017</v>
      </c>
      <c r="B1576" s="8" t="s">
        <v>52</v>
      </c>
      <c r="C1576" s="8" t="s">
        <v>41</v>
      </c>
      <c r="D1576" s="14">
        <v>24275</v>
      </c>
      <c r="E1576" s="14">
        <v>851513</v>
      </c>
      <c r="F1576" s="15">
        <v>75813</v>
      </c>
    </row>
    <row r="1577" spans="1:6" x14ac:dyDescent="0.3">
      <c r="A1577" s="7">
        <v>2017</v>
      </c>
      <c r="B1577" s="8" t="s">
        <v>52</v>
      </c>
      <c r="C1577" s="8" t="s">
        <v>42</v>
      </c>
      <c r="D1577" s="14">
        <v>4248</v>
      </c>
      <c r="E1577" s="14">
        <v>128365</v>
      </c>
      <c r="F1577" s="15">
        <v>56723</v>
      </c>
    </row>
    <row r="1578" spans="1:6" x14ac:dyDescent="0.3">
      <c r="A1578" s="7">
        <v>2017</v>
      </c>
      <c r="B1578" s="8" t="s">
        <v>52</v>
      </c>
      <c r="C1578" s="8" t="s">
        <v>43</v>
      </c>
      <c r="D1578" s="14">
        <v>1105</v>
      </c>
      <c r="E1578" s="14">
        <v>29550</v>
      </c>
      <c r="F1578" s="15">
        <v>58004</v>
      </c>
    </row>
    <row r="1579" spans="1:6" x14ac:dyDescent="0.3">
      <c r="A1579" s="7">
        <v>2017</v>
      </c>
      <c r="B1579" s="8" t="s">
        <v>52</v>
      </c>
      <c r="C1579" s="8" t="s">
        <v>44</v>
      </c>
      <c r="D1579" s="14">
        <v>6475</v>
      </c>
      <c r="E1579" s="14">
        <v>232927</v>
      </c>
      <c r="F1579" s="15">
        <v>57894</v>
      </c>
    </row>
    <row r="1580" spans="1:6" x14ac:dyDescent="0.3">
      <c r="A1580" s="7">
        <v>2017</v>
      </c>
      <c r="B1580" s="8" t="s">
        <v>52</v>
      </c>
      <c r="C1580" s="8" t="s">
        <v>45</v>
      </c>
      <c r="D1580" s="14">
        <v>7671</v>
      </c>
      <c r="E1580" s="14">
        <v>280368</v>
      </c>
      <c r="F1580" s="15">
        <v>76290</v>
      </c>
    </row>
    <row r="1581" spans="1:6" x14ac:dyDescent="0.3">
      <c r="A1581" s="7">
        <v>2017</v>
      </c>
      <c r="B1581" s="8" t="s">
        <v>52</v>
      </c>
      <c r="C1581" s="8" t="s">
        <v>46</v>
      </c>
      <c r="D1581" s="14">
        <v>1272</v>
      </c>
      <c r="E1581" s="14">
        <v>46575</v>
      </c>
      <c r="F1581" s="15">
        <v>58624</v>
      </c>
    </row>
    <row r="1582" spans="1:6" x14ac:dyDescent="0.3">
      <c r="A1582" s="7">
        <v>2017</v>
      </c>
      <c r="B1582" s="8" t="s">
        <v>52</v>
      </c>
      <c r="C1582" s="8" t="s">
        <v>47</v>
      </c>
      <c r="D1582" s="14">
        <v>9356</v>
      </c>
      <c r="E1582" s="14">
        <v>466595</v>
      </c>
      <c r="F1582" s="15">
        <v>57001</v>
      </c>
    </row>
    <row r="1583" spans="1:6" x14ac:dyDescent="0.3">
      <c r="A1583" s="7">
        <v>2017</v>
      </c>
      <c r="B1583" s="8" t="s">
        <v>52</v>
      </c>
      <c r="C1583" s="8" t="s">
        <v>48</v>
      </c>
      <c r="D1583" s="8">
        <v>598</v>
      </c>
      <c r="E1583" s="14">
        <v>9378</v>
      </c>
      <c r="F1583" s="15">
        <v>65834</v>
      </c>
    </row>
    <row r="1584" spans="1:6" x14ac:dyDescent="0.3">
      <c r="A1584" s="7">
        <v>2017</v>
      </c>
      <c r="B1584" s="8" t="s">
        <v>54</v>
      </c>
      <c r="C1584" s="8" t="s">
        <v>1</v>
      </c>
      <c r="D1584" s="14">
        <v>32410</v>
      </c>
      <c r="E1584" s="14">
        <v>375653</v>
      </c>
      <c r="F1584" s="15">
        <v>40518</v>
      </c>
    </row>
    <row r="1585" spans="1:6" x14ac:dyDescent="0.3">
      <c r="A1585" s="7">
        <v>2017</v>
      </c>
      <c r="B1585" s="8" t="s">
        <v>54</v>
      </c>
      <c r="C1585" s="8" t="s">
        <v>2</v>
      </c>
      <c r="D1585" s="14">
        <v>29489</v>
      </c>
      <c r="E1585" s="14">
        <v>518475</v>
      </c>
      <c r="F1585" s="15">
        <v>45126</v>
      </c>
    </row>
    <row r="1586" spans="1:6" x14ac:dyDescent="0.3">
      <c r="A1586" s="7">
        <v>2017</v>
      </c>
      <c r="B1586" s="8" t="s">
        <v>54</v>
      </c>
      <c r="C1586" s="8" t="s">
        <v>3</v>
      </c>
      <c r="D1586" s="14">
        <v>21486</v>
      </c>
      <c r="E1586" s="14">
        <v>247661</v>
      </c>
      <c r="F1586" s="15">
        <v>40275</v>
      </c>
    </row>
    <row r="1587" spans="1:6" x14ac:dyDescent="0.3">
      <c r="A1587" s="7">
        <v>2017</v>
      </c>
      <c r="B1587" s="8" t="s">
        <v>54</v>
      </c>
      <c r="C1587" s="8" t="s">
        <v>4</v>
      </c>
      <c r="D1587" s="14">
        <v>185826</v>
      </c>
      <c r="E1587" s="14">
        <v>3010983</v>
      </c>
      <c r="F1587" s="15">
        <v>51095</v>
      </c>
    </row>
    <row r="1588" spans="1:6" x14ac:dyDescent="0.3">
      <c r="A1588" s="7">
        <v>2017</v>
      </c>
      <c r="B1588" s="8" t="s">
        <v>54</v>
      </c>
      <c r="C1588" s="8" t="s">
        <v>5</v>
      </c>
      <c r="D1588" s="14">
        <v>35715</v>
      </c>
      <c r="E1588" s="14">
        <v>458174</v>
      </c>
      <c r="F1588" s="15">
        <v>48601</v>
      </c>
    </row>
    <row r="1589" spans="1:6" x14ac:dyDescent="0.3">
      <c r="A1589" s="7">
        <v>2017</v>
      </c>
      <c r="B1589" s="8" t="s">
        <v>54</v>
      </c>
      <c r="C1589" s="8" t="s">
        <v>6</v>
      </c>
      <c r="D1589" s="14">
        <v>25027</v>
      </c>
      <c r="E1589" s="14">
        <v>297198</v>
      </c>
      <c r="F1589" s="15">
        <v>50064</v>
      </c>
    </row>
    <row r="1590" spans="1:6" x14ac:dyDescent="0.3">
      <c r="A1590" s="7">
        <v>2017</v>
      </c>
      <c r="B1590" s="8" t="s">
        <v>54</v>
      </c>
      <c r="C1590" s="8" t="s">
        <v>7</v>
      </c>
      <c r="D1590" s="14">
        <v>6681</v>
      </c>
      <c r="E1590" s="14">
        <v>79724</v>
      </c>
      <c r="F1590" s="15">
        <v>39700</v>
      </c>
    </row>
    <row r="1591" spans="1:6" x14ac:dyDescent="0.3">
      <c r="A1591" s="7">
        <v>2017</v>
      </c>
      <c r="B1591" s="8" t="s">
        <v>54</v>
      </c>
      <c r="C1591" s="8" t="s">
        <v>8</v>
      </c>
      <c r="D1591" s="14">
        <v>139501</v>
      </c>
      <c r="E1591" s="14">
        <v>1739867</v>
      </c>
      <c r="F1591" s="15">
        <v>43229</v>
      </c>
    </row>
    <row r="1592" spans="1:6" x14ac:dyDescent="0.3">
      <c r="A1592" s="7">
        <v>2017</v>
      </c>
      <c r="B1592" s="8" t="s">
        <v>54</v>
      </c>
      <c r="C1592" s="8" t="s">
        <v>9</v>
      </c>
      <c r="D1592" s="14">
        <v>60382</v>
      </c>
      <c r="E1592" s="14">
        <v>930943</v>
      </c>
      <c r="F1592" s="15">
        <v>48763</v>
      </c>
    </row>
    <row r="1593" spans="1:6" x14ac:dyDescent="0.3">
      <c r="A1593" s="7">
        <v>2017</v>
      </c>
      <c r="B1593" s="8" t="s">
        <v>54</v>
      </c>
      <c r="C1593" s="8" t="s">
        <v>10</v>
      </c>
      <c r="D1593" s="14">
        <v>11706</v>
      </c>
      <c r="E1593" s="14">
        <v>136606</v>
      </c>
      <c r="F1593" s="15">
        <v>38856</v>
      </c>
    </row>
    <row r="1594" spans="1:6" x14ac:dyDescent="0.3">
      <c r="A1594" s="7">
        <v>2017</v>
      </c>
      <c r="B1594" s="8" t="s">
        <v>54</v>
      </c>
      <c r="C1594" s="8" t="s">
        <v>11</v>
      </c>
      <c r="D1594" s="14">
        <v>77273</v>
      </c>
      <c r="E1594" s="14">
        <v>1192805</v>
      </c>
      <c r="F1594" s="15">
        <v>50025</v>
      </c>
    </row>
    <row r="1595" spans="1:6" x14ac:dyDescent="0.3">
      <c r="A1595" s="7">
        <v>2017</v>
      </c>
      <c r="B1595" s="8" t="s">
        <v>54</v>
      </c>
      <c r="C1595" s="8" t="s">
        <v>12</v>
      </c>
      <c r="D1595" s="14">
        <v>40630</v>
      </c>
      <c r="E1595" s="14">
        <v>588381</v>
      </c>
      <c r="F1595" s="15">
        <v>40479</v>
      </c>
    </row>
    <row r="1596" spans="1:6" x14ac:dyDescent="0.3">
      <c r="A1596" s="7">
        <v>2017</v>
      </c>
      <c r="B1596" s="8" t="s">
        <v>54</v>
      </c>
      <c r="C1596" s="8" t="s">
        <v>13</v>
      </c>
      <c r="D1596" s="14">
        <v>23446</v>
      </c>
      <c r="E1596" s="14">
        <v>311763</v>
      </c>
      <c r="F1596" s="15">
        <v>39025</v>
      </c>
    </row>
    <row r="1597" spans="1:6" x14ac:dyDescent="0.3">
      <c r="A1597" s="7">
        <v>2017</v>
      </c>
      <c r="B1597" s="8" t="s">
        <v>54</v>
      </c>
      <c r="C1597" s="8" t="s">
        <v>14</v>
      </c>
      <c r="D1597" s="14">
        <v>20676</v>
      </c>
      <c r="E1597" s="14">
        <v>263529</v>
      </c>
      <c r="F1597" s="15">
        <v>40705</v>
      </c>
    </row>
    <row r="1598" spans="1:6" x14ac:dyDescent="0.3">
      <c r="A1598" s="7">
        <v>2017</v>
      </c>
      <c r="B1598" s="8" t="s">
        <v>54</v>
      </c>
      <c r="C1598" s="8" t="s">
        <v>15</v>
      </c>
      <c r="D1598" s="14">
        <v>27941</v>
      </c>
      <c r="E1598" s="14">
        <v>398217</v>
      </c>
      <c r="F1598" s="15">
        <v>41261</v>
      </c>
    </row>
    <row r="1599" spans="1:6" x14ac:dyDescent="0.3">
      <c r="A1599" s="7">
        <v>2017</v>
      </c>
      <c r="B1599" s="8" t="s">
        <v>54</v>
      </c>
      <c r="C1599" s="8" t="s">
        <v>16</v>
      </c>
      <c r="D1599" s="14">
        <v>30444</v>
      </c>
      <c r="E1599" s="14">
        <v>378830</v>
      </c>
      <c r="F1599" s="15">
        <v>40938</v>
      </c>
    </row>
    <row r="1600" spans="1:6" x14ac:dyDescent="0.3">
      <c r="A1600" s="7">
        <v>2017</v>
      </c>
      <c r="B1600" s="8" t="s">
        <v>54</v>
      </c>
      <c r="C1600" s="8" t="s">
        <v>17</v>
      </c>
      <c r="D1600" s="14">
        <v>11060</v>
      </c>
      <c r="E1600" s="14">
        <v>119329</v>
      </c>
      <c r="F1600" s="15">
        <v>36287</v>
      </c>
    </row>
    <row r="1601" spans="1:6" x14ac:dyDescent="0.3">
      <c r="A1601" s="7">
        <v>2017</v>
      </c>
      <c r="B1601" s="8" t="s">
        <v>54</v>
      </c>
      <c r="C1601" s="8" t="s">
        <v>18</v>
      </c>
      <c r="D1601" s="14">
        <v>33064</v>
      </c>
      <c r="E1601" s="14">
        <v>462131</v>
      </c>
      <c r="F1601" s="15">
        <v>45367</v>
      </c>
    </row>
    <row r="1602" spans="1:6" x14ac:dyDescent="0.3">
      <c r="A1602" s="7">
        <v>2017</v>
      </c>
      <c r="B1602" s="8" t="s">
        <v>54</v>
      </c>
      <c r="C1602" s="8" t="s">
        <v>19</v>
      </c>
      <c r="D1602" s="14">
        <v>42906</v>
      </c>
      <c r="E1602" s="14">
        <v>577319</v>
      </c>
      <c r="F1602" s="15">
        <v>51500</v>
      </c>
    </row>
    <row r="1603" spans="1:6" x14ac:dyDescent="0.3">
      <c r="A1603" s="7">
        <v>2017</v>
      </c>
      <c r="B1603" s="8" t="s">
        <v>54</v>
      </c>
      <c r="C1603" s="8" t="s">
        <v>20</v>
      </c>
      <c r="D1603" s="14">
        <v>52149</v>
      </c>
      <c r="E1603" s="14">
        <v>784393</v>
      </c>
      <c r="F1603" s="15">
        <v>45628</v>
      </c>
    </row>
    <row r="1604" spans="1:6" x14ac:dyDescent="0.3">
      <c r="A1604" s="7">
        <v>2017</v>
      </c>
      <c r="B1604" s="8" t="s">
        <v>54</v>
      </c>
      <c r="C1604" s="8" t="s">
        <v>21</v>
      </c>
      <c r="D1604" s="14">
        <v>36334</v>
      </c>
      <c r="E1604" s="14">
        <v>531926</v>
      </c>
      <c r="F1604" s="15">
        <v>48273</v>
      </c>
    </row>
    <row r="1605" spans="1:6" x14ac:dyDescent="0.3">
      <c r="A1605" s="7">
        <v>2017</v>
      </c>
      <c r="B1605" s="8" t="s">
        <v>54</v>
      </c>
      <c r="C1605" s="8" t="s">
        <v>22</v>
      </c>
      <c r="D1605" s="14">
        <v>19589</v>
      </c>
      <c r="E1605" s="14">
        <v>229775</v>
      </c>
      <c r="F1605" s="15">
        <v>35324</v>
      </c>
    </row>
    <row r="1606" spans="1:6" x14ac:dyDescent="0.3">
      <c r="A1606" s="7">
        <v>2017</v>
      </c>
      <c r="B1606" s="8" t="s">
        <v>54</v>
      </c>
      <c r="C1606" s="8" t="s">
        <v>23</v>
      </c>
      <c r="D1606" s="14">
        <v>40324</v>
      </c>
      <c r="E1606" s="14">
        <v>538185</v>
      </c>
      <c r="F1606" s="15">
        <v>41095</v>
      </c>
    </row>
    <row r="1607" spans="1:6" x14ac:dyDescent="0.3">
      <c r="A1607" s="7">
        <v>2017</v>
      </c>
      <c r="B1607" s="8" t="s">
        <v>54</v>
      </c>
      <c r="C1607" s="8" t="s">
        <v>24</v>
      </c>
      <c r="D1607" s="14">
        <v>9270</v>
      </c>
      <c r="E1607" s="14">
        <v>91194</v>
      </c>
      <c r="F1607" s="15">
        <v>38067</v>
      </c>
    </row>
    <row r="1608" spans="1:6" x14ac:dyDescent="0.3">
      <c r="A1608" s="7">
        <v>2017</v>
      </c>
      <c r="B1608" s="8" t="s">
        <v>54</v>
      </c>
      <c r="C1608" s="8" t="s">
        <v>25</v>
      </c>
      <c r="D1608" s="14">
        <v>15024</v>
      </c>
      <c r="E1608" s="14">
        <v>190930</v>
      </c>
      <c r="F1608" s="15">
        <v>38493</v>
      </c>
    </row>
    <row r="1609" spans="1:6" x14ac:dyDescent="0.3">
      <c r="A1609" s="7">
        <v>2017</v>
      </c>
      <c r="B1609" s="8" t="s">
        <v>54</v>
      </c>
      <c r="C1609" s="8" t="s">
        <v>26</v>
      </c>
      <c r="D1609" s="14">
        <v>15910</v>
      </c>
      <c r="E1609" s="14">
        <v>247973</v>
      </c>
      <c r="F1609" s="15">
        <v>42847</v>
      </c>
    </row>
    <row r="1610" spans="1:6" x14ac:dyDescent="0.3">
      <c r="A1610" s="7">
        <v>2017</v>
      </c>
      <c r="B1610" s="8" t="s">
        <v>54</v>
      </c>
      <c r="C1610" s="8" t="s">
        <v>27</v>
      </c>
      <c r="D1610" s="14">
        <v>12612</v>
      </c>
      <c r="E1610" s="14">
        <v>139876</v>
      </c>
      <c r="F1610" s="15">
        <v>46101</v>
      </c>
    </row>
    <row r="1611" spans="1:6" x14ac:dyDescent="0.3">
      <c r="A1611" s="7">
        <v>2017</v>
      </c>
      <c r="B1611" s="8" t="s">
        <v>54</v>
      </c>
      <c r="C1611" s="8" t="s">
        <v>28</v>
      </c>
      <c r="D1611" s="14">
        <v>53977</v>
      </c>
      <c r="E1611" s="14">
        <v>872180</v>
      </c>
      <c r="F1611" s="15">
        <v>52631</v>
      </c>
    </row>
    <row r="1612" spans="1:6" x14ac:dyDescent="0.3">
      <c r="A1612" s="7">
        <v>2017</v>
      </c>
      <c r="B1612" s="8" t="s">
        <v>54</v>
      </c>
      <c r="C1612" s="8" t="s">
        <v>29</v>
      </c>
      <c r="D1612" s="14">
        <v>10538</v>
      </c>
      <c r="E1612" s="14">
        <v>134696</v>
      </c>
      <c r="F1612" s="15">
        <v>36519</v>
      </c>
    </row>
    <row r="1613" spans="1:6" x14ac:dyDescent="0.3">
      <c r="A1613" s="7">
        <v>2017</v>
      </c>
      <c r="B1613" s="8" t="s">
        <v>54</v>
      </c>
      <c r="C1613" s="8" t="s">
        <v>30</v>
      </c>
      <c r="D1613" s="14">
        <v>126549</v>
      </c>
      <c r="E1613" s="14">
        <v>1562385</v>
      </c>
      <c r="F1613" s="15">
        <v>50389</v>
      </c>
    </row>
    <row r="1614" spans="1:6" x14ac:dyDescent="0.3">
      <c r="A1614" s="7">
        <v>2017</v>
      </c>
      <c r="B1614" s="8" t="s">
        <v>54</v>
      </c>
      <c r="C1614" s="8" t="s">
        <v>31</v>
      </c>
      <c r="D1614" s="14">
        <v>61042</v>
      </c>
      <c r="E1614" s="14">
        <v>824989</v>
      </c>
      <c r="F1614" s="15">
        <v>41845</v>
      </c>
    </row>
    <row r="1615" spans="1:6" x14ac:dyDescent="0.3">
      <c r="A1615" s="7">
        <v>2017</v>
      </c>
      <c r="B1615" s="8" t="s">
        <v>54</v>
      </c>
      <c r="C1615" s="8" t="s">
        <v>32</v>
      </c>
      <c r="D1615" s="14">
        <v>7819</v>
      </c>
      <c r="E1615" s="14">
        <v>92052</v>
      </c>
      <c r="F1615" s="15">
        <v>47910</v>
      </c>
    </row>
    <row r="1616" spans="1:6" x14ac:dyDescent="0.3">
      <c r="A1616" s="7">
        <v>2017</v>
      </c>
      <c r="B1616" s="8" t="s">
        <v>54</v>
      </c>
      <c r="C1616" s="8" t="s">
        <v>33</v>
      </c>
      <c r="D1616" s="14">
        <v>68763</v>
      </c>
      <c r="E1616" s="14">
        <v>1018161</v>
      </c>
      <c r="F1616" s="15">
        <v>42564</v>
      </c>
    </row>
    <row r="1617" spans="1:6" x14ac:dyDescent="0.3">
      <c r="A1617" s="7">
        <v>2017</v>
      </c>
      <c r="B1617" s="8" t="s">
        <v>54</v>
      </c>
      <c r="C1617" s="8" t="s">
        <v>34</v>
      </c>
      <c r="D1617" s="14">
        <v>23838</v>
      </c>
      <c r="E1617" s="14">
        <v>301165</v>
      </c>
      <c r="F1617" s="15">
        <v>41040</v>
      </c>
    </row>
    <row r="1618" spans="1:6" x14ac:dyDescent="0.3">
      <c r="A1618" s="7">
        <v>2017</v>
      </c>
      <c r="B1618" s="8" t="s">
        <v>54</v>
      </c>
      <c r="C1618" s="8" t="s">
        <v>35</v>
      </c>
      <c r="D1618" s="14">
        <v>26684</v>
      </c>
      <c r="E1618" s="14">
        <v>347515</v>
      </c>
      <c r="F1618" s="15">
        <v>42870</v>
      </c>
    </row>
    <row r="1619" spans="1:6" x14ac:dyDescent="0.3">
      <c r="A1619" s="7">
        <v>2017</v>
      </c>
      <c r="B1619" s="8" t="s">
        <v>54</v>
      </c>
      <c r="C1619" s="8" t="s">
        <v>36</v>
      </c>
      <c r="D1619" s="14">
        <v>75374</v>
      </c>
      <c r="E1619" s="14">
        <v>1115565</v>
      </c>
      <c r="F1619" s="15">
        <v>43972</v>
      </c>
    </row>
    <row r="1620" spans="1:6" x14ac:dyDescent="0.3">
      <c r="A1620" s="7">
        <v>2017</v>
      </c>
      <c r="B1620" s="8" t="s">
        <v>54</v>
      </c>
      <c r="C1620" s="8" t="s">
        <v>37</v>
      </c>
      <c r="D1620" s="14">
        <v>7674</v>
      </c>
      <c r="E1620" s="14">
        <v>76263</v>
      </c>
      <c r="F1620" s="15">
        <v>42503</v>
      </c>
    </row>
    <row r="1621" spans="1:6" x14ac:dyDescent="0.3">
      <c r="A1621" s="7">
        <v>2017</v>
      </c>
      <c r="B1621" s="8" t="s">
        <v>54</v>
      </c>
      <c r="C1621" s="8" t="s">
        <v>38</v>
      </c>
      <c r="D1621" s="14">
        <v>29784</v>
      </c>
      <c r="E1621" s="14">
        <v>395329</v>
      </c>
      <c r="F1621" s="15">
        <v>38973</v>
      </c>
    </row>
    <row r="1622" spans="1:6" x14ac:dyDescent="0.3">
      <c r="A1622" s="7">
        <v>2017</v>
      </c>
      <c r="B1622" s="8" t="s">
        <v>54</v>
      </c>
      <c r="C1622" s="8" t="s">
        <v>39</v>
      </c>
      <c r="D1622" s="14">
        <v>8036</v>
      </c>
      <c r="E1622" s="14">
        <v>86427</v>
      </c>
      <c r="F1622" s="15">
        <v>38278</v>
      </c>
    </row>
    <row r="1623" spans="1:6" x14ac:dyDescent="0.3">
      <c r="A1623" s="7">
        <v>2017</v>
      </c>
      <c r="B1623" s="8" t="s">
        <v>54</v>
      </c>
      <c r="C1623" s="8" t="s">
        <v>40</v>
      </c>
      <c r="D1623" s="14">
        <v>39250</v>
      </c>
      <c r="E1623" s="14">
        <v>618046</v>
      </c>
      <c r="F1623" s="15">
        <v>44773</v>
      </c>
    </row>
    <row r="1624" spans="1:6" x14ac:dyDescent="0.3">
      <c r="A1624" s="7">
        <v>2017</v>
      </c>
      <c r="B1624" s="8" t="s">
        <v>54</v>
      </c>
      <c r="C1624" s="8" t="s">
        <v>41</v>
      </c>
      <c r="D1624" s="14">
        <v>145842</v>
      </c>
      <c r="E1624" s="14">
        <v>2432880</v>
      </c>
      <c r="F1624" s="15">
        <v>50316</v>
      </c>
    </row>
    <row r="1625" spans="1:6" x14ac:dyDescent="0.3">
      <c r="A1625" s="7">
        <v>2017</v>
      </c>
      <c r="B1625" s="8" t="s">
        <v>54</v>
      </c>
      <c r="C1625" s="8" t="s">
        <v>42</v>
      </c>
      <c r="D1625" s="14">
        <v>19048</v>
      </c>
      <c r="E1625" s="14">
        <v>276552</v>
      </c>
      <c r="F1625" s="15">
        <v>42378</v>
      </c>
    </row>
    <row r="1626" spans="1:6" x14ac:dyDescent="0.3">
      <c r="A1626" s="7">
        <v>2017</v>
      </c>
      <c r="B1626" s="8" t="s">
        <v>54</v>
      </c>
      <c r="C1626" s="8" t="s">
        <v>43</v>
      </c>
      <c r="D1626" s="14">
        <v>5138</v>
      </c>
      <c r="E1626" s="14">
        <v>55012</v>
      </c>
      <c r="F1626" s="15">
        <v>38650</v>
      </c>
    </row>
    <row r="1627" spans="1:6" x14ac:dyDescent="0.3">
      <c r="A1627" s="7">
        <v>2017</v>
      </c>
      <c r="B1627" s="8" t="s">
        <v>54</v>
      </c>
      <c r="C1627" s="8" t="s">
        <v>44</v>
      </c>
      <c r="D1627" s="14">
        <v>42996</v>
      </c>
      <c r="E1627" s="14">
        <v>652711</v>
      </c>
      <c r="F1627" s="15">
        <v>42291</v>
      </c>
    </row>
    <row r="1628" spans="1:6" x14ac:dyDescent="0.3">
      <c r="A1628" s="7">
        <v>2017</v>
      </c>
      <c r="B1628" s="8" t="s">
        <v>54</v>
      </c>
      <c r="C1628" s="8" t="s">
        <v>45</v>
      </c>
      <c r="D1628" s="14">
        <v>39715</v>
      </c>
      <c r="E1628" s="14">
        <v>610599</v>
      </c>
      <c r="F1628" s="15">
        <v>58924</v>
      </c>
    </row>
    <row r="1629" spans="1:6" x14ac:dyDescent="0.3">
      <c r="A1629" s="7">
        <v>2017</v>
      </c>
      <c r="B1629" s="8" t="s">
        <v>54</v>
      </c>
      <c r="C1629" s="8" t="s">
        <v>46</v>
      </c>
      <c r="D1629" s="14">
        <v>10925</v>
      </c>
      <c r="E1629" s="14">
        <v>129300</v>
      </c>
      <c r="F1629" s="15">
        <v>37489</v>
      </c>
    </row>
    <row r="1630" spans="1:6" x14ac:dyDescent="0.3">
      <c r="A1630" s="7">
        <v>2017</v>
      </c>
      <c r="B1630" s="8" t="s">
        <v>54</v>
      </c>
      <c r="C1630" s="8" t="s">
        <v>47</v>
      </c>
      <c r="D1630" s="14">
        <v>35433</v>
      </c>
      <c r="E1630" s="14">
        <v>539603</v>
      </c>
      <c r="F1630" s="15">
        <v>39831</v>
      </c>
    </row>
    <row r="1631" spans="1:6" x14ac:dyDescent="0.3">
      <c r="A1631" s="7">
        <v>2017</v>
      </c>
      <c r="B1631" s="8" t="s">
        <v>54</v>
      </c>
      <c r="C1631" s="8" t="s">
        <v>48</v>
      </c>
      <c r="D1631" s="14">
        <v>4822</v>
      </c>
      <c r="E1631" s="14">
        <v>49799</v>
      </c>
      <c r="F1631" s="15">
        <v>40999</v>
      </c>
    </row>
    <row r="1632" spans="1:6" x14ac:dyDescent="0.3">
      <c r="A1632" s="7">
        <v>2017</v>
      </c>
      <c r="B1632" s="8" t="s">
        <v>53</v>
      </c>
      <c r="C1632" s="8" t="s">
        <v>1</v>
      </c>
      <c r="D1632" s="14">
        <v>1969</v>
      </c>
      <c r="E1632" s="14">
        <v>20807</v>
      </c>
      <c r="F1632" s="15">
        <v>58932</v>
      </c>
    </row>
    <row r="1633" spans="1:6" x14ac:dyDescent="0.3">
      <c r="A1633" s="7">
        <v>2017</v>
      </c>
      <c r="B1633" s="8" t="s">
        <v>53</v>
      </c>
      <c r="C1633" s="8" t="s">
        <v>2</v>
      </c>
      <c r="D1633" s="14">
        <v>2461</v>
      </c>
      <c r="E1633" s="14">
        <v>44962</v>
      </c>
      <c r="F1633" s="15">
        <v>71171</v>
      </c>
    </row>
    <row r="1634" spans="1:6" x14ac:dyDescent="0.3">
      <c r="A1634" s="7">
        <v>2017</v>
      </c>
      <c r="B1634" s="8" t="s">
        <v>53</v>
      </c>
      <c r="C1634" s="8" t="s">
        <v>3</v>
      </c>
      <c r="D1634" s="14">
        <v>1123</v>
      </c>
      <c r="E1634" s="14">
        <v>12766</v>
      </c>
      <c r="F1634" s="15">
        <v>56682</v>
      </c>
    </row>
    <row r="1635" spans="1:6" x14ac:dyDescent="0.3">
      <c r="A1635" s="7">
        <v>2017</v>
      </c>
      <c r="B1635" s="8" t="s">
        <v>53</v>
      </c>
      <c r="C1635" s="8" t="s">
        <v>4</v>
      </c>
      <c r="D1635" s="14">
        <v>22519</v>
      </c>
      <c r="E1635" s="14">
        <v>513029</v>
      </c>
      <c r="F1635" s="15">
        <v>172309</v>
      </c>
    </row>
    <row r="1636" spans="1:6" x14ac:dyDescent="0.3">
      <c r="A1636" s="7">
        <v>2017</v>
      </c>
      <c r="B1636" s="8" t="s">
        <v>53</v>
      </c>
      <c r="C1636" s="8" t="s">
        <v>5</v>
      </c>
      <c r="D1636" s="14">
        <v>3891</v>
      </c>
      <c r="E1636" s="14">
        <v>71641</v>
      </c>
      <c r="F1636" s="15">
        <v>100781</v>
      </c>
    </row>
    <row r="1637" spans="1:6" x14ac:dyDescent="0.3">
      <c r="A1637" s="7">
        <v>2017</v>
      </c>
      <c r="B1637" s="8" t="s">
        <v>53</v>
      </c>
      <c r="C1637" s="8" t="s">
        <v>6</v>
      </c>
      <c r="D1637" s="14">
        <v>2146</v>
      </c>
      <c r="E1637" s="14">
        <v>31542</v>
      </c>
      <c r="F1637" s="15">
        <v>103094</v>
      </c>
    </row>
    <row r="1638" spans="1:6" x14ac:dyDescent="0.3">
      <c r="A1638" s="7">
        <v>2017</v>
      </c>
      <c r="B1638" s="8" t="s">
        <v>53</v>
      </c>
      <c r="C1638" s="8" t="s">
        <v>7</v>
      </c>
      <c r="D1638" s="8">
        <v>409</v>
      </c>
      <c r="E1638" s="14">
        <v>4560</v>
      </c>
      <c r="F1638" s="15">
        <v>64686</v>
      </c>
    </row>
    <row r="1639" spans="1:6" x14ac:dyDescent="0.3">
      <c r="A1639" s="7">
        <v>2017</v>
      </c>
      <c r="B1639" s="8" t="s">
        <v>53</v>
      </c>
      <c r="C1639" s="8" t="s">
        <v>8</v>
      </c>
      <c r="D1639" s="14">
        <v>10983</v>
      </c>
      <c r="E1639" s="14">
        <v>138039</v>
      </c>
      <c r="F1639" s="15">
        <v>80305</v>
      </c>
    </row>
    <row r="1640" spans="1:6" x14ac:dyDescent="0.3">
      <c r="A1640" s="7">
        <v>2017</v>
      </c>
      <c r="B1640" s="8" t="s">
        <v>53</v>
      </c>
      <c r="C1640" s="8" t="s">
        <v>9</v>
      </c>
      <c r="D1640" s="14">
        <v>4911</v>
      </c>
      <c r="E1640" s="14">
        <v>116074</v>
      </c>
      <c r="F1640" s="15">
        <v>96306</v>
      </c>
    </row>
    <row r="1641" spans="1:6" x14ac:dyDescent="0.3">
      <c r="A1641" s="7">
        <v>2017</v>
      </c>
      <c r="B1641" s="8" t="s">
        <v>53</v>
      </c>
      <c r="C1641" s="8" t="s">
        <v>10</v>
      </c>
      <c r="D1641" s="14">
        <v>1175</v>
      </c>
      <c r="E1641" s="14">
        <v>8923</v>
      </c>
      <c r="F1641" s="15">
        <v>51032</v>
      </c>
    </row>
    <row r="1642" spans="1:6" x14ac:dyDescent="0.3">
      <c r="A1642" s="7">
        <v>2017</v>
      </c>
      <c r="B1642" s="8" t="s">
        <v>53</v>
      </c>
      <c r="C1642" s="8" t="s">
        <v>11</v>
      </c>
      <c r="D1642" s="14">
        <v>6534</v>
      </c>
      <c r="E1642" s="14">
        <v>96181</v>
      </c>
      <c r="F1642" s="15">
        <v>85328</v>
      </c>
    </row>
    <row r="1643" spans="1:6" x14ac:dyDescent="0.3">
      <c r="A1643" s="7">
        <v>2017</v>
      </c>
      <c r="B1643" s="8" t="s">
        <v>53</v>
      </c>
      <c r="C1643" s="8" t="s">
        <v>12</v>
      </c>
      <c r="D1643" s="14">
        <v>2019</v>
      </c>
      <c r="E1643" s="14">
        <v>31465</v>
      </c>
      <c r="F1643" s="15">
        <v>59391</v>
      </c>
    </row>
    <row r="1644" spans="1:6" x14ac:dyDescent="0.3">
      <c r="A1644" s="7">
        <v>2017</v>
      </c>
      <c r="B1644" s="8" t="s">
        <v>53</v>
      </c>
      <c r="C1644" s="8" t="s">
        <v>13</v>
      </c>
      <c r="D1644" s="14">
        <v>1698</v>
      </c>
      <c r="E1644" s="14">
        <v>21891</v>
      </c>
      <c r="F1644" s="15">
        <v>55957</v>
      </c>
    </row>
    <row r="1645" spans="1:6" x14ac:dyDescent="0.3">
      <c r="A1645" s="7">
        <v>2017</v>
      </c>
      <c r="B1645" s="8" t="s">
        <v>53</v>
      </c>
      <c r="C1645" s="8" t="s">
        <v>14</v>
      </c>
      <c r="D1645" s="14">
        <v>1260</v>
      </c>
      <c r="E1645" s="14">
        <v>19279</v>
      </c>
      <c r="F1645" s="15">
        <v>61084</v>
      </c>
    </row>
    <row r="1646" spans="1:6" x14ac:dyDescent="0.3">
      <c r="A1646" s="7">
        <v>2017</v>
      </c>
      <c r="B1646" s="8" t="s">
        <v>53</v>
      </c>
      <c r="C1646" s="8" t="s">
        <v>15</v>
      </c>
      <c r="D1646" s="14">
        <v>1697</v>
      </c>
      <c r="E1646" s="14">
        <v>22698</v>
      </c>
      <c r="F1646" s="15">
        <v>54857</v>
      </c>
    </row>
    <row r="1647" spans="1:6" x14ac:dyDescent="0.3">
      <c r="A1647" s="7">
        <v>2017</v>
      </c>
      <c r="B1647" s="8" t="s">
        <v>53</v>
      </c>
      <c r="C1647" s="8" t="s">
        <v>16</v>
      </c>
      <c r="D1647" s="14">
        <v>1650</v>
      </c>
      <c r="E1647" s="14">
        <v>22941</v>
      </c>
      <c r="F1647" s="15">
        <v>55038</v>
      </c>
    </row>
    <row r="1648" spans="1:6" x14ac:dyDescent="0.3">
      <c r="A1648" s="7">
        <v>2017</v>
      </c>
      <c r="B1648" s="8" t="s">
        <v>53</v>
      </c>
      <c r="C1648" s="8" t="s">
        <v>17</v>
      </c>
      <c r="D1648" s="8">
        <v>843</v>
      </c>
      <c r="E1648" s="14">
        <v>7340</v>
      </c>
      <c r="F1648" s="15">
        <v>52561</v>
      </c>
    </row>
    <row r="1649" spans="1:6" x14ac:dyDescent="0.3">
      <c r="A1649" s="7">
        <v>2017</v>
      </c>
      <c r="B1649" s="8" t="s">
        <v>53</v>
      </c>
      <c r="C1649" s="8" t="s">
        <v>18</v>
      </c>
      <c r="D1649" s="14">
        <v>2719</v>
      </c>
      <c r="E1649" s="14">
        <v>37583</v>
      </c>
      <c r="F1649" s="15">
        <v>88009</v>
      </c>
    </row>
    <row r="1650" spans="1:6" x14ac:dyDescent="0.3">
      <c r="A1650" s="7">
        <v>2017</v>
      </c>
      <c r="B1650" s="8" t="s">
        <v>53</v>
      </c>
      <c r="C1650" s="8" t="s">
        <v>19</v>
      </c>
      <c r="D1650" s="14">
        <v>5143</v>
      </c>
      <c r="E1650" s="14">
        <v>91861</v>
      </c>
      <c r="F1650" s="15">
        <v>114166</v>
      </c>
    </row>
    <row r="1651" spans="1:6" x14ac:dyDescent="0.3">
      <c r="A1651" s="7">
        <v>2017</v>
      </c>
      <c r="B1651" s="8" t="s">
        <v>53</v>
      </c>
      <c r="C1651" s="8" t="s">
        <v>20</v>
      </c>
      <c r="D1651" s="14">
        <v>5934</v>
      </c>
      <c r="E1651" s="14">
        <v>56524</v>
      </c>
      <c r="F1651" s="15">
        <v>70884</v>
      </c>
    </row>
    <row r="1652" spans="1:6" x14ac:dyDescent="0.3">
      <c r="A1652" s="7">
        <v>2017</v>
      </c>
      <c r="B1652" s="8" t="s">
        <v>53</v>
      </c>
      <c r="C1652" s="8" t="s">
        <v>21</v>
      </c>
      <c r="D1652" s="14">
        <v>3663</v>
      </c>
      <c r="E1652" s="14">
        <v>50310</v>
      </c>
      <c r="F1652" s="15">
        <v>75459</v>
      </c>
    </row>
    <row r="1653" spans="1:6" x14ac:dyDescent="0.3">
      <c r="A1653" s="7">
        <v>2017</v>
      </c>
      <c r="B1653" s="8" t="s">
        <v>53</v>
      </c>
      <c r="C1653" s="8" t="s">
        <v>22</v>
      </c>
      <c r="D1653" s="8">
        <v>962</v>
      </c>
      <c r="E1653" s="14">
        <v>11593</v>
      </c>
      <c r="F1653" s="15">
        <v>48002</v>
      </c>
    </row>
    <row r="1654" spans="1:6" x14ac:dyDescent="0.3">
      <c r="A1654" s="7">
        <v>2017</v>
      </c>
      <c r="B1654" s="8" t="s">
        <v>53</v>
      </c>
      <c r="C1654" s="8" t="s">
        <v>23</v>
      </c>
      <c r="D1654" s="14">
        <v>3051</v>
      </c>
      <c r="E1654" s="14">
        <v>48249</v>
      </c>
      <c r="F1654" s="15">
        <v>73665</v>
      </c>
    </row>
    <row r="1655" spans="1:6" x14ac:dyDescent="0.3">
      <c r="A1655" s="7">
        <v>2017</v>
      </c>
      <c r="B1655" s="8" t="s">
        <v>53</v>
      </c>
      <c r="C1655" s="8" t="s">
        <v>24</v>
      </c>
      <c r="D1655" s="8">
        <v>759</v>
      </c>
      <c r="E1655" s="14">
        <v>6394</v>
      </c>
      <c r="F1655" s="15">
        <v>51903</v>
      </c>
    </row>
    <row r="1656" spans="1:6" x14ac:dyDescent="0.3">
      <c r="A1656" s="7">
        <v>2017</v>
      </c>
      <c r="B1656" s="8" t="s">
        <v>53</v>
      </c>
      <c r="C1656" s="8" t="s">
        <v>25</v>
      </c>
      <c r="D1656" s="8">
        <v>964</v>
      </c>
      <c r="E1656" s="14">
        <v>18204</v>
      </c>
      <c r="F1656" s="15">
        <v>61365</v>
      </c>
    </row>
    <row r="1657" spans="1:6" x14ac:dyDescent="0.3">
      <c r="A1657" s="7">
        <v>2017</v>
      </c>
      <c r="B1657" s="8" t="s">
        <v>53</v>
      </c>
      <c r="C1657" s="8" t="s">
        <v>26</v>
      </c>
      <c r="D1657" s="14">
        <v>1440</v>
      </c>
      <c r="E1657" s="14">
        <v>14735</v>
      </c>
      <c r="F1657" s="15">
        <v>65866</v>
      </c>
    </row>
    <row r="1658" spans="1:6" x14ac:dyDescent="0.3">
      <c r="A1658" s="7">
        <v>2017</v>
      </c>
      <c r="B1658" s="8" t="s">
        <v>53</v>
      </c>
      <c r="C1658" s="8" t="s">
        <v>27</v>
      </c>
      <c r="D1658" s="8">
        <v>843</v>
      </c>
      <c r="E1658" s="14">
        <v>12554</v>
      </c>
      <c r="F1658" s="15">
        <v>88119</v>
      </c>
    </row>
    <row r="1659" spans="1:6" x14ac:dyDescent="0.3">
      <c r="A1659" s="7">
        <v>2017</v>
      </c>
      <c r="B1659" s="8" t="s">
        <v>53</v>
      </c>
      <c r="C1659" s="8" t="s">
        <v>28</v>
      </c>
      <c r="D1659" s="14">
        <v>3595</v>
      </c>
      <c r="E1659" s="14">
        <v>70379</v>
      </c>
      <c r="F1659" s="15">
        <v>108638</v>
      </c>
    </row>
    <row r="1660" spans="1:6" x14ac:dyDescent="0.3">
      <c r="A1660" s="7">
        <v>2017</v>
      </c>
      <c r="B1660" s="8" t="s">
        <v>53</v>
      </c>
      <c r="C1660" s="8" t="s">
        <v>29</v>
      </c>
      <c r="D1660" s="8">
        <v>929</v>
      </c>
      <c r="E1660" s="14">
        <v>12398</v>
      </c>
      <c r="F1660" s="15">
        <v>51009</v>
      </c>
    </row>
    <row r="1661" spans="1:6" x14ac:dyDescent="0.3">
      <c r="A1661" s="7">
        <v>2017</v>
      </c>
      <c r="B1661" s="8" t="s">
        <v>53</v>
      </c>
      <c r="C1661" s="8" t="s">
        <v>30</v>
      </c>
      <c r="D1661" s="14">
        <v>12397</v>
      </c>
      <c r="E1661" s="14">
        <v>269233</v>
      </c>
      <c r="F1661" s="15">
        <v>119508</v>
      </c>
    </row>
    <row r="1662" spans="1:6" x14ac:dyDescent="0.3">
      <c r="A1662" s="7">
        <v>2017</v>
      </c>
      <c r="B1662" s="8" t="s">
        <v>53</v>
      </c>
      <c r="C1662" s="8" t="s">
        <v>31</v>
      </c>
      <c r="D1662" s="14">
        <v>5042</v>
      </c>
      <c r="E1662" s="14">
        <v>78826</v>
      </c>
      <c r="F1662" s="15">
        <v>80496</v>
      </c>
    </row>
    <row r="1663" spans="1:6" x14ac:dyDescent="0.3">
      <c r="A1663" s="7">
        <v>2017</v>
      </c>
      <c r="B1663" s="8" t="s">
        <v>53</v>
      </c>
      <c r="C1663" s="8" t="s">
        <v>32</v>
      </c>
      <c r="D1663" s="8">
        <v>396</v>
      </c>
      <c r="E1663" s="14">
        <v>6502</v>
      </c>
      <c r="F1663" s="15">
        <v>65114</v>
      </c>
    </row>
    <row r="1664" spans="1:6" x14ac:dyDescent="0.3">
      <c r="A1664" s="7">
        <v>2017</v>
      </c>
      <c r="B1664" s="8" t="s">
        <v>53</v>
      </c>
      <c r="C1664" s="8" t="s">
        <v>33</v>
      </c>
      <c r="D1664" s="14">
        <v>4456</v>
      </c>
      <c r="E1664" s="14">
        <v>71562</v>
      </c>
      <c r="F1664" s="15">
        <v>67912</v>
      </c>
    </row>
    <row r="1665" spans="1:6" x14ac:dyDescent="0.3">
      <c r="A1665" s="7">
        <v>2017</v>
      </c>
      <c r="B1665" s="8" t="s">
        <v>53</v>
      </c>
      <c r="C1665" s="8" t="s">
        <v>34</v>
      </c>
      <c r="D1665" s="14">
        <v>1491</v>
      </c>
      <c r="E1665" s="14">
        <v>20417</v>
      </c>
      <c r="F1665" s="15">
        <v>57922</v>
      </c>
    </row>
    <row r="1666" spans="1:6" x14ac:dyDescent="0.3">
      <c r="A1666" s="7">
        <v>2017</v>
      </c>
      <c r="B1666" s="8" t="s">
        <v>53</v>
      </c>
      <c r="C1666" s="8" t="s">
        <v>35</v>
      </c>
      <c r="D1666" s="14">
        <v>3521</v>
      </c>
      <c r="E1666" s="14">
        <v>34177</v>
      </c>
      <c r="F1666" s="15">
        <v>80210</v>
      </c>
    </row>
    <row r="1667" spans="1:6" x14ac:dyDescent="0.3">
      <c r="A1667" s="7">
        <v>2017</v>
      </c>
      <c r="B1667" s="8" t="s">
        <v>53</v>
      </c>
      <c r="C1667" s="8" t="s">
        <v>36</v>
      </c>
      <c r="D1667" s="14">
        <v>4664</v>
      </c>
      <c r="E1667" s="14">
        <v>83352</v>
      </c>
      <c r="F1667" s="15">
        <v>78987</v>
      </c>
    </row>
    <row r="1668" spans="1:6" x14ac:dyDescent="0.3">
      <c r="A1668" s="7">
        <v>2017</v>
      </c>
      <c r="B1668" s="8" t="s">
        <v>53</v>
      </c>
      <c r="C1668" s="8" t="s">
        <v>37</v>
      </c>
      <c r="D1668" s="8">
        <v>745</v>
      </c>
      <c r="E1668" s="14">
        <v>6125</v>
      </c>
      <c r="F1668" s="15">
        <v>70660</v>
      </c>
    </row>
    <row r="1669" spans="1:6" x14ac:dyDescent="0.3">
      <c r="A1669" s="7">
        <v>2017</v>
      </c>
      <c r="B1669" s="8" t="s">
        <v>53</v>
      </c>
      <c r="C1669" s="8" t="s">
        <v>38</v>
      </c>
      <c r="D1669" s="14">
        <v>2430</v>
      </c>
      <c r="E1669" s="14">
        <v>27428</v>
      </c>
      <c r="F1669" s="15">
        <v>61428</v>
      </c>
    </row>
    <row r="1670" spans="1:6" x14ac:dyDescent="0.3">
      <c r="A1670" s="7">
        <v>2017</v>
      </c>
      <c r="B1670" s="8" t="s">
        <v>53</v>
      </c>
      <c r="C1670" s="8" t="s">
        <v>39</v>
      </c>
      <c r="D1670" s="8">
        <v>561</v>
      </c>
      <c r="E1670" s="14">
        <v>5720</v>
      </c>
      <c r="F1670" s="15">
        <v>47231</v>
      </c>
    </row>
    <row r="1671" spans="1:6" x14ac:dyDescent="0.3">
      <c r="A1671" s="7">
        <v>2017</v>
      </c>
      <c r="B1671" s="8" t="s">
        <v>53</v>
      </c>
      <c r="C1671" s="8" t="s">
        <v>40</v>
      </c>
      <c r="D1671" s="14">
        <v>3260</v>
      </c>
      <c r="E1671" s="14">
        <v>45482</v>
      </c>
      <c r="F1671" s="15">
        <v>68381</v>
      </c>
    </row>
    <row r="1672" spans="1:6" x14ac:dyDescent="0.3">
      <c r="A1672" s="7">
        <v>2017</v>
      </c>
      <c r="B1672" s="8" t="s">
        <v>53</v>
      </c>
      <c r="C1672" s="8" t="s">
        <v>41</v>
      </c>
      <c r="D1672" s="14">
        <v>9521</v>
      </c>
      <c r="E1672" s="14">
        <v>201873</v>
      </c>
      <c r="F1672" s="15">
        <v>84394</v>
      </c>
    </row>
    <row r="1673" spans="1:6" x14ac:dyDescent="0.3">
      <c r="A1673" s="7">
        <v>2017</v>
      </c>
      <c r="B1673" s="8" t="s">
        <v>53</v>
      </c>
      <c r="C1673" s="8" t="s">
        <v>42</v>
      </c>
      <c r="D1673" s="14">
        <v>2347</v>
      </c>
      <c r="E1673" s="14">
        <v>37185</v>
      </c>
      <c r="F1673" s="15">
        <v>71167</v>
      </c>
    </row>
    <row r="1674" spans="1:6" x14ac:dyDescent="0.3">
      <c r="A1674" s="7">
        <v>2017</v>
      </c>
      <c r="B1674" s="8" t="s">
        <v>53</v>
      </c>
      <c r="C1674" s="8" t="s">
        <v>43</v>
      </c>
      <c r="D1674" s="8">
        <v>503</v>
      </c>
      <c r="E1674" s="14">
        <v>4478</v>
      </c>
      <c r="F1674" s="15">
        <v>58372</v>
      </c>
    </row>
    <row r="1675" spans="1:6" x14ac:dyDescent="0.3">
      <c r="A1675" s="7">
        <v>2017</v>
      </c>
      <c r="B1675" s="8" t="s">
        <v>53</v>
      </c>
      <c r="C1675" s="8" t="s">
        <v>44</v>
      </c>
      <c r="D1675" s="14">
        <v>4222</v>
      </c>
      <c r="E1675" s="14">
        <v>67623</v>
      </c>
      <c r="F1675" s="15">
        <v>98219</v>
      </c>
    </row>
    <row r="1676" spans="1:6" x14ac:dyDescent="0.3">
      <c r="A1676" s="7">
        <v>2017</v>
      </c>
      <c r="B1676" s="8" t="s">
        <v>53</v>
      </c>
      <c r="C1676" s="8" t="s">
        <v>45</v>
      </c>
      <c r="D1676" s="14">
        <v>4271</v>
      </c>
      <c r="E1676" s="14">
        <v>125798</v>
      </c>
      <c r="F1676" s="15">
        <v>172513</v>
      </c>
    </row>
    <row r="1677" spans="1:6" x14ac:dyDescent="0.3">
      <c r="A1677" s="7">
        <v>2017</v>
      </c>
      <c r="B1677" s="8" t="s">
        <v>53</v>
      </c>
      <c r="C1677" s="8" t="s">
        <v>46</v>
      </c>
      <c r="D1677" s="8">
        <v>764</v>
      </c>
      <c r="E1677" s="14">
        <v>8615</v>
      </c>
      <c r="F1677" s="15">
        <v>50474</v>
      </c>
    </row>
    <row r="1678" spans="1:6" x14ac:dyDescent="0.3">
      <c r="A1678" s="7">
        <v>2017</v>
      </c>
      <c r="B1678" s="8" t="s">
        <v>53</v>
      </c>
      <c r="C1678" s="8" t="s">
        <v>47</v>
      </c>
      <c r="D1678" s="14">
        <v>2126</v>
      </c>
      <c r="E1678" s="14">
        <v>47658</v>
      </c>
      <c r="F1678" s="15">
        <v>71912</v>
      </c>
    </row>
    <row r="1679" spans="1:6" x14ac:dyDescent="0.3">
      <c r="A1679" s="7">
        <v>2017</v>
      </c>
      <c r="B1679" s="8" t="s">
        <v>53</v>
      </c>
      <c r="C1679" s="8" t="s">
        <v>48</v>
      </c>
      <c r="D1679" s="8">
        <v>389</v>
      </c>
      <c r="E1679" s="14">
        <v>3680</v>
      </c>
      <c r="F1679" s="15">
        <v>46375</v>
      </c>
    </row>
    <row r="1680" spans="1:6" x14ac:dyDescent="0.3">
      <c r="A1680" s="7">
        <v>2017</v>
      </c>
      <c r="B1680" s="8" t="s">
        <v>56</v>
      </c>
      <c r="C1680" s="8" t="s">
        <v>1</v>
      </c>
      <c r="D1680" s="14">
        <v>13089</v>
      </c>
      <c r="E1680" s="14">
        <v>94756</v>
      </c>
      <c r="F1680" s="15">
        <v>66324</v>
      </c>
    </row>
    <row r="1681" spans="1:6" x14ac:dyDescent="0.3">
      <c r="A1681" s="7">
        <v>2017</v>
      </c>
      <c r="B1681" s="8" t="s">
        <v>56</v>
      </c>
      <c r="C1681" s="8" t="s">
        <v>2</v>
      </c>
      <c r="D1681" s="14">
        <v>15754</v>
      </c>
      <c r="E1681" s="14">
        <v>206540</v>
      </c>
      <c r="F1681" s="15">
        <v>68059</v>
      </c>
    </row>
    <row r="1682" spans="1:6" x14ac:dyDescent="0.3">
      <c r="A1682" s="7">
        <v>2017</v>
      </c>
      <c r="B1682" s="8" t="s">
        <v>56</v>
      </c>
      <c r="C1682" s="8" t="s">
        <v>3</v>
      </c>
      <c r="D1682" s="14">
        <v>8251</v>
      </c>
      <c r="E1682" s="14">
        <v>49596</v>
      </c>
      <c r="F1682" s="15">
        <v>55939</v>
      </c>
    </row>
    <row r="1683" spans="1:6" x14ac:dyDescent="0.3">
      <c r="A1683" s="7">
        <v>2017</v>
      </c>
      <c r="B1683" s="8" t="s">
        <v>56</v>
      </c>
      <c r="C1683" s="8" t="s">
        <v>4</v>
      </c>
      <c r="D1683" s="14">
        <v>98024</v>
      </c>
      <c r="E1683" s="14">
        <v>827494</v>
      </c>
      <c r="F1683" s="15">
        <v>104466</v>
      </c>
    </row>
    <row r="1684" spans="1:6" x14ac:dyDescent="0.3">
      <c r="A1684" s="7">
        <v>2017</v>
      </c>
      <c r="B1684" s="8" t="s">
        <v>56</v>
      </c>
      <c r="C1684" s="8" t="s">
        <v>5</v>
      </c>
      <c r="D1684" s="14">
        <v>22552</v>
      </c>
      <c r="E1684" s="14">
        <v>161870</v>
      </c>
      <c r="F1684" s="15">
        <v>81536</v>
      </c>
    </row>
    <row r="1685" spans="1:6" x14ac:dyDescent="0.3">
      <c r="A1685" s="7">
        <v>2017</v>
      </c>
      <c r="B1685" s="8" t="s">
        <v>56</v>
      </c>
      <c r="C1685" s="8" t="s">
        <v>6</v>
      </c>
      <c r="D1685" s="14">
        <v>10779</v>
      </c>
      <c r="E1685" s="14">
        <v>126051</v>
      </c>
      <c r="F1685" s="15">
        <v>152598</v>
      </c>
    </row>
    <row r="1686" spans="1:6" x14ac:dyDescent="0.3">
      <c r="A1686" s="7">
        <v>2017</v>
      </c>
      <c r="B1686" s="8" t="s">
        <v>56</v>
      </c>
      <c r="C1686" s="8" t="s">
        <v>7</v>
      </c>
      <c r="D1686" s="14">
        <v>2800</v>
      </c>
      <c r="E1686" s="14">
        <v>47894</v>
      </c>
      <c r="F1686" s="15">
        <v>92267</v>
      </c>
    </row>
    <row r="1687" spans="1:6" x14ac:dyDescent="0.3">
      <c r="A1687" s="7">
        <v>2017</v>
      </c>
      <c r="B1687" s="8" t="s">
        <v>56</v>
      </c>
      <c r="C1687" s="8" t="s">
        <v>8</v>
      </c>
      <c r="D1687" s="14">
        <v>71616</v>
      </c>
      <c r="E1687" s="14">
        <v>556510</v>
      </c>
      <c r="F1687" s="15">
        <v>72708</v>
      </c>
    </row>
    <row r="1688" spans="1:6" x14ac:dyDescent="0.3">
      <c r="A1688" s="7">
        <v>2017</v>
      </c>
      <c r="B1688" s="8" t="s">
        <v>56</v>
      </c>
      <c r="C1688" s="8" t="s">
        <v>9</v>
      </c>
      <c r="D1688" s="14">
        <v>25978</v>
      </c>
      <c r="E1688" s="14">
        <v>233995</v>
      </c>
      <c r="F1688" s="15">
        <v>81197</v>
      </c>
    </row>
    <row r="1689" spans="1:6" x14ac:dyDescent="0.3">
      <c r="A1689" s="7">
        <v>2017</v>
      </c>
      <c r="B1689" s="8" t="s">
        <v>56</v>
      </c>
      <c r="C1689" s="8" t="s">
        <v>10</v>
      </c>
      <c r="D1689" s="14">
        <v>5522</v>
      </c>
      <c r="E1689" s="14">
        <v>31064</v>
      </c>
      <c r="F1689" s="15">
        <v>53820</v>
      </c>
    </row>
    <row r="1690" spans="1:6" x14ac:dyDescent="0.3">
      <c r="A1690" s="7">
        <v>2017</v>
      </c>
      <c r="B1690" s="8" t="s">
        <v>56</v>
      </c>
      <c r="C1690" s="8" t="s">
        <v>11</v>
      </c>
      <c r="D1690" s="14">
        <v>32114</v>
      </c>
      <c r="E1690" s="14">
        <v>370517</v>
      </c>
      <c r="F1690" s="15">
        <v>104689</v>
      </c>
    </row>
    <row r="1691" spans="1:6" x14ac:dyDescent="0.3">
      <c r="A1691" s="7">
        <v>2017</v>
      </c>
      <c r="B1691" s="8" t="s">
        <v>56</v>
      </c>
      <c r="C1691" s="8" t="s">
        <v>12</v>
      </c>
      <c r="D1691" s="14">
        <v>16124</v>
      </c>
      <c r="E1691" s="14">
        <v>131758</v>
      </c>
      <c r="F1691" s="15">
        <v>62518</v>
      </c>
    </row>
    <row r="1692" spans="1:6" x14ac:dyDescent="0.3">
      <c r="A1692" s="7">
        <v>2017</v>
      </c>
      <c r="B1692" s="8" t="s">
        <v>56</v>
      </c>
      <c r="C1692" s="8" t="s">
        <v>13</v>
      </c>
      <c r="D1692" s="14">
        <v>9983</v>
      </c>
      <c r="E1692" s="14">
        <v>108983</v>
      </c>
      <c r="F1692" s="15">
        <v>71597</v>
      </c>
    </row>
    <row r="1693" spans="1:6" x14ac:dyDescent="0.3">
      <c r="A1693" s="7">
        <v>2017</v>
      </c>
      <c r="B1693" s="8" t="s">
        <v>56</v>
      </c>
      <c r="C1693" s="8" t="s">
        <v>14</v>
      </c>
      <c r="D1693" s="14">
        <v>8858</v>
      </c>
      <c r="E1693" s="14">
        <v>74321</v>
      </c>
      <c r="F1693" s="15">
        <v>65845</v>
      </c>
    </row>
    <row r="1694" spans="1:6" x14ac:dyDescent="0.3">
      <c r="A1694" s="7">
        <v>2017</v>
      </c>
      <c r="B1694" s="8" t="s">
        <v>56</v>
      </c>
      <c r="C1694" s="8" t="s">
        <v>15</v>
      </c>
      <c r="D1694" s="14">
        <v>10845</v>
      </c>
      <c r="E1694" s="14">
        <v>93126</v>
      </c>
      <c r="F1694" s="15">
        <v>64967</v>
      </c>
    </row>
    <row r="1695" spans="1:6" x14ac:dyDescent="0.3">
      <c r="A1695" s="7">
        <v>2017</v>
      </c>
      <c r="B1695" s="8" t="s">
        <v>56</v>
      </c>
      <c r="C1695" s="8" t="s">
        <v>16</v>
      </c>
      <c r="D1695" s="14">
        <v>13618</v>
      </c>
      <c r="E1695" s="14">
        <v>85771</v>
      </c>
      <c r="F1695" s="15">
        <v>59758</v>
      </c>
    </row>
    <row r="1696" spans="1:6" x14ac:dyDescent="0.3">
      <c r="A1696" s="7">
        <v>2017</v>
      </c>
      <c r="B1696" s="8" t="s">
        <v>56</v>
      </c>
      <c r="C1696" s="8" t="s">
        <v>17</v>
      </c>
      <c r="D1696" s="14">
        <v>3827</v>
      </c>
      <c r="E1696" s="14">
        <v>29417</v>
      </c>
      <c r="F1696" s="15">
        <v>65934</v>
      </c>
    </row>
    <row r="1697" spans="1:6" x14ac:dyDescent="0.3">
      <c r="A1697" s="7">
        <v>2017</v>
      </c>
      <c r="B1697" s="8" t="s">
        <v>56</v>
      </c>
      <c r="C1697" s="8" t="s">
        <v>18</v>
      </c>
      <c r="D1697" s="14">
        <v>15099</v>
      </c>
      <c r="E1697" s="14">
        <v>140287</v>
      </c>
      <c r="F1697" s="15">
        <v>90791</v>
      </c>
    </row>
    <row r="1698" spans="1:6" x14ac:dyDescent="0.3">
      <c r="A1698" s="7">
        <v>2017</v>
      </c>
      <c r="B1698" s="8" t="s">
        <v>56</v>
      </c>
      <c r="C1698" s="8" t="s">
        <v>19</v>
      </c>
      <c r="D1698" s="14">
        <v>17270</v>
      </c>
      <c r="E1698" s="14">
        <v>216567</v>
      </c>
      <c r="F1698" s="15">
        <v>136040</v>
      </c>
    </row>
    <row r="1699" spans="1:6" x14ac:dyDescent="0.3">
      <c r="A1699" s="7">
        <v>2017</v>
      </c>
      <c r="B1699" s="8" t="s">
        <v>56</v>
      </c>
      <c r="C1699" s="8" t="s">
        <v>20</v>
      </c>
      <c r="D1699" s="14">
        <v>18942</v>
      </c>
      <c r="E1699" s="14">
        <v>202358</v>
      </c>
      <c r="F1699" s="15">
        <v>69275</v>
      </c>
    </row>
    <row r="1700" spans="1:6" x14ac:dyDescent="0.3">
      <c r="A1700" s="7">
        <v>2017</v>
      </c>
      <c r="B1700" s="8" t="s">
        <v>56</v>
      </c>
      <c r="C1700" s="8" t="s">
        <v>21</v>
      </c>
      <c r="D1700" s="14">
        <v>15467</v>
      </c>
      <c r="E1700" s="14">
        <v>175945</v>
      </c>
      <c r="F1700" s="15">
        <v>91036</v>
      </c>
    </row>
    <row r="1701" spans="1:6" x14ac:dyDescent="0.3">
      <c r="A1701" s="7">
        <v>2017</v>
      </c>
      <c r="B1701" s="8" t="s">
        <v>56</v>
      </c>
      <c r="C1701" s="8" t="s">
        <v>22</v>
      </c>
      <c r="D1701" s="14">
        <v>7854</v>
      </c>
      <c r="E1701" s="14">
        <v>42981</v>
      </c>
      <c r="F1701" s="15">
        <v>51222</v>
      </c>
    </row>
    <row r="1702" spans="1:6" x14ac:dyDescent="0.3">
      <c r="A1702" s="7">
        <v>2017</v>
      </c>
      <c r="B1702" s="8" t="s">
        <v>56</v>
      </c>
      <c r="C1702" s="8" t="s">
        <v>23</v>
      </c>
      <c r="D1702" s="14">
        <v>17661</v>
      </c>
      <c r="E1702" s="14">
        <v>163353</v>
      </c>
      <c r="F1702" s="15">
        <v>68974</v>
      </c>
    </row>
    <row r="1703" spans="1:6" x14ac:dyDescent="0.3">
      <c r="A1703" s="7">
        <v>2017</v>
      </c>
      <c r="B1703" s="8" t="s">
        <v>56</v>
      </c>
      <c r="C1703" s="8" t="s">
        <v>24</v>
      </c>
      <c r="D1703" s="14">
        <v>4178</v>
      </c>
      <c r="E1703" s="14">
        <v>20935</v>
      </c>
      <c r="F1703" s="15">
        <v>56708</v>
      </c>
    </row>
    <row r="1704" spans="1:6" x14ac:dyDescent="0.3">
      <c r="A1704" s="7">
        <v>2017</v>
      </c>
      <c r="B1704" s="8" t="s">
        <v>56</v>
      </c>
      <c r="C1704" s="8" t="s">
        <v>25</v>
      </c>
      <c r="D1704" s="14">
        <v>6481</v>
      </c>
      <c r="E1704" s="14">
        <v>66237</v>
      </c>
      <c r="F1704" s="15">
        <v>63484</v>
      </c>
    </row>
    <row r="1705" spans="1:6" x14ac:dyDescent="0.3">
      <c r="A1705" s="7">
        <v>2017</v>
      </c>
      <c r="B1705" s="8" t="s">
        <v>56</v>
      </c>
      <c r="C1705" s="8" t="s">
        <v>26</v>
      </c>
      <c r="D1705" s="14">
        <v>8856</v>
      </c>
      <c r="E1705" s="14">
        <v>61375</v>
      </c>
      <c r="F1705" s="15">
        <v>63979</v>
      </c>
    </row>
    <row r="1706" spans="1:6" x14ac:dyDescent="0.3">
      <c r="A1706" s="7">
        <v>2017</v>
      </c>
      <c r="B1706" s="8" t="s">
        <v>56</v>
      </c>
      <c r="C1706" s="8" t="s">
        <v>27</v>
      </c>
      <c r="D1706" s="14">
        <v>3835</v>
      </c>
      <c r="E1706" s="14">
        <v>33894</v>
      </c>
      <c r="F1706" s="15">
        <v>91139</v>
      </c>
    </row>
    <row r="1707" spans="1:6" x14ac:dyDescent="0.3">
      <c r="A1707" s="7">
        <v>2017</v>
      </c>
      <c r="B1707" s="8" t="s">
        <v>56</v>
      </c>
      <c r="C1707" s="8" t="s">
        <v>28</v>
      </c>
      <c r="D1707" s="14">
        <v>19625</v>
      </c>
      <c r="E1707" s="14">
        <v>241026</v>
      </c>
      <c r="F1707" s="15">
        <v>111862</v>
      </c>
    </row>
    <row r="1708" spans="1:6" x14ac:dyDescent="0.3">
      <c r="A1708" s="7">
        <v>2017</v>
      </c>
      <c r="B1708" s="8" t="s">
        <v>56</v>
      </c>
      <c r="C1708" s="8" t="s">
        <v>29</v>
      </c>
      <c r="D1708" s="14">
        <v>5092</v>
      </c>
      <c r="E1708" s="14">
        <v>32604</v>
      </c>
      <c r="F1708" s="15">
        <v>53932</v>
      </c>
    </row>
    <row r="1709" spans="1:6" x14ac:dyDescent="0.3">
      <c r="A1709" s="7">
        <v>2017</v>
      </c>
      <c r="B1709" s="8" t="s">
        <v>56</v>
      </c>
      <c r="C1709" s="8" t="s">
        <v>30</v>
      </c>
      <c r="D1709" s="14">
        <v>65326</v>
      </c>
      <c r="E1709" s="14">
        <v>708995</v>
      </c>
      <c r="F1709" s="15">
        <v>189559</v>
      </c>
    </row>
    <row r="1710" spans="1:6" x14ac:dyDescent="0.3">
      <c r="A1710" s="7">
        <v>2017</v>
      </c>
      <c r="B1710" s="8" t="s">
        <v>56</v>
      </c>
      <c r="C1710" s="8" t="s">
        <v>31</v>
      </c>
      <c r="D1710" s="14">
        <v>27332</v>
      </c>
      <c r="E1710" s="14">
        <v>226679</v>
      </c>
      <c r="F1710" s="15">
        <v>82975</v>
      </c>
    </row>
    <row r="1711" spans="1:6" x14ac:dyDescent="0.3">
      <c r="A1711" s="7">
        <v>2017</v>
      </c>
      <c r="B1711" s="8" t="s">
        <v>56</v>
      </c>
      <c r="C1711" s="8" t="s">
        <v>32</v>
      </c>
      <c r="D1711" s="14">
        <v>2979</v>
      </c>
      <c r="E1711" s="14">
        <v>23135</v>
      </c>
      <c r="F1711" s="15">
        <v>60044</v>
      </c>
    </row>
    <row r="1712" spans="1:6" x14ac:dyDescent="0.3">
      <c r="A1712" s="7">
        <v>2017</v>
      </c>
      <c r="B1712" s="8" t="s">
        <v>56</v>
      </c>
      <c r="C1712" s="8" t="s">
        <v>33</v>
      </c>
      <c r="D1712" s="14">
        <v>28537</v>
      </c>
      <c r="E1712" s="14">
        <v>288615</v>
      </c>
      <c r="F1712" s="15">
        <v>69967</v>
      </c>
    </row>
    <row r="1713" spans="1:6" x14ac:dyDescent="0.3">
      <c r="A1713" s="7">
        <v>2017</v>
      </c>
      <c r="B1713" s="8" t="s">
        <v>56</v>
      </c>
      <c r="C1713" s="8" t="s">
        <v>34</v>
      </c>
      <c r="D1713" s="14">
        <v>11379</v>
      </c>
      <c r="E1713" s="14">
        <v>76757</v>
      </c>
      <c r="F1713" s="15">
        <v>56323</v>
      </c>
    </row>
    <row r="1714" spans="1:6" x14ac:dyDescent="0.3">
      <c r="A1714" s="7">
        <v>2017</v>
      </c>
      <c r="B1714" s="8" t="s">
        <v>56</v>
      </c>
      <c r="C1714" s="8" t="s">
        <v>35</v>
      </c>
      <c r="D1714" s="14">
        <v>12686</v>
      </c>
      <c r="E1714" s="14">
        <v>83715</v>
      </c>
      <c r="F1714" s="15">
        <v>67638</v>
      </c>
    </row>
    <row r="1715" spans="1:6" x14ac:dyDescent="0.3">
      <c r="A1715" s="7">
        <v>2017</v>
      </c>
      <c r="B1715" s="8" t="s">
        <v>56</v>
      </c>
      <c r="C1715" s="8" t="s">
        <v>36</v>
      </c>
      <c r="D1715" s="14">
        <v>28479</v>
      </c>
      <c r="E1715" s="14">
        <v>321121</v>
      </c>
      <c r="F1715" s="15">
        <v>85405</v>
      </c>
    </row>
    <row r="1716" spans="1:6" x14ac:dyDescent="0.3">
      <c r="A1716" s="7">
        <v>2017</v>
      </c>
      <c r="B1716" s="8" t="s">
        <v>56</v>
      </c>
      <c r="C1716" s="8" t="s">
        <v>37</v>
      </c>
      <c r="D1716" s="14">
        <v>2802</v>
      </c>
      <c r="E1716" s="14">
        <v>32758</v>
      </c>
      <c r="F1716" s="15">
        <v>89570</v>
      </c>
    </row>
    <row r="1717" spans="1:6" x14ac:dyDescent="0.3">
      <c r="A1717" s="7">
        <v>2017</v>
      </c>
      <c r="B1717" s="8" t="s">
        <v>56</v>
      </c>
      <c r="C1717" s="8" t="s">
        <v>38</v>
      </c>
      <c r="D1717" s="14">
        <v>12653</v>
      </c>
      <c r="E1717" s="14">
        <v>98790</v>
      </c>
      <c r="F1717" s="15">
        <v>59859</v>
      </c>
    </row>
    <row r="1718" spans="1:6" x14ac:dyDescent="0.3">
      <c r="A1718" s="7">
        <v>2017</v>
      </c>
      <c r="B1718" s="8" t="s">
        <v>56</v>
      </c>
      <c r="C1718" s="8" t="s">
        <v>39</v>
      </c>
      <c r="D1718" s="14">
        <v>3221</v>
      </c>
      <c r="E1718" s="14">
        <v>28761</v>
      </c>
      <c r="F1718" s="15">
        <v>57506</v>
      </c>
    </row>
    <row r="1719" spans="1:6" x14ac:dyDescent="0.3">
      <c r="A1719" s="7">
        <v>2017</v>
      </c>
      <c r="B1719" s="8" t="s">
        <v>56</v>
      </c>
      <c r="C1719" s="8" t="s">
        <v>40</v>
      </c>
      <c r="D1719" s="14">
        <v>15531</v>
      </c>
      <c r="E1719" s="14">
        <v>148433</v>
      </c>
      <c r="F1719" s="15">
        <v>71601</v>
      </c>
    </row>
    <row r="1720" spans="1:6" x14ac:dyDescent="0.3">
      <c r="A1720" s="7">
        <v>2017</v>
      </c>
      <c r="B1720" s="8" t="s">
        <v>56</v>
      </c>
      <c r="C1720" s="8" t="s">
        <v>41</v>
      </c>
      <c r="D1720" s="14">
        <v>71279</v>
      </c>
      <c r="E1720" s="14">
        <v>740328</v>
      </c>
      <c r="F1720" s="15">
        <v>80242</v>
      </c>
    </row>
    <row r="1721" spans="1:6" x14ac:dyDescent="0.3">
      <c r="A1721" s="7">
        <v>2017</v>
      </c>
      <c r="B1721" s="8" t="s">
        <v>56</v>
      </c>
      <c r="C1721" s="8" t="s">
        <v>42</v>
      </c>
      <c r="D1721" s="14">
        <v>11066</v>
      </c>
      <c r="E1721" s="14">
        <v>84072</v>
      </c>
      <c r="F1721" s="15">
        <v>64760</v>
      </c>
    </row>
    <row r="1722" spans="1:6" x14ac:dyDescent="0.3">
      <c r="A1722" s="7">
        <v>2017</v>
      </c>
      <c r="B1722" s="8" t="s">
        <v>56</v>
      </c>
      <c r="C1722" s="8" t="s">
        <v>43</v>
      </c>
      <c r="D1722" s="14">
        <v>1700</v>
      </c>
      <c r="E1722" s="14">
        <v>11731</v>
      </c>
      <c r="F1722" s="15">
        <v>70768</v>
      </c>
    </row>
    <row r="1723" spans="1:6" x14ac:dyDescent="0.3">
      <c r="A1723" s="7">
        <v>2017</v>
      </c>
      <c r="B1723" s="8" t="s">
        <v>56</v>
      </c>
      <c r="C1723" s="8" t="s">
        <v>44</v>
      </c>
      <c r="D1723" s="14">
        <v>21609</v>
      </c>
      <c r="E1723" s="14">
        <v>192079</v>
      </c>
      <c r="F1723" s="15">
        <v>82201</v>
      </c>
    </row>
    <row r="1724" spans="1:6" x14ac:dyDescent="0.3">
      <c r="A1724" s="7">
        <v>2017</v>
      </c>
      <c r="B1724" s="8" t="s">
        <v>56</v>
      </c>
      <c r="C1724" s="8" t="s">
        <v>45</v>
      </c>
      <c r="D1724" s="14">
        <v>17184</v>
      </c>
      <c r="E1724" s="14">
        <v>144458</v>
      </c>
      <c r="F1724" s="15">
        <v>76957</v>
      </c>
    </row>
    <row r="1725" spans="1:6" x14ac:dyDescent="0.3">
      <c r="A1725" s="7">
        <v>2017</v>
      </c>
      <c r="B1725" s="8" t="s">
        <v>56</v>
      </c>
      <c r="C1725" s="8" t="s">
        <v>46</v>
      </c>
      <c r="D1725" s="14">
        <v>3992</v>
      </c>
      <c r="E1725" s="14">
        <v>24123</v>
      </c>
      <c r="F1725" s="15">
        <v>50354</v>
      </c>
    </row>
    <row r="1726" spans="1:6" x14ac:dyDescent="0.3">
      <c r="A1726" s="7">
        <v>2017</v>
      </c>
      <c r="B1726" s="8" t="s">
        <v>56</v>
      </c>
      <c r="C1726" s="8" t="s">
        <v>47</v>
      </c>
      <c r="D1726" s="14">
        <v>13244</v>
      </c>
      <c r="E1726" s="14">
        <v>148873</v>
      </c>
      <c r="F1726" s="15">
        <v>68759</v>
      </c>
    </row>
    <row r="1727" spans="1:6" x14ac:dyDescent="0.3">
      <c r="A1727" s="7">
        <v>2017</v>
      </c>
      <c r="B1727" s="8" t="s">
        <v>56</v>
      </c>
      <c r="C1727" s="8" t="s">
        <v>48</v>
      </c>
      <c r="D1727" s="14">
        <v>2248</v>
      </c>
      <c r="E1727" s="14">
        <v>10938</v>
      </c>
      <c r="F1727" s="15">
        <v>54692</v>
      </c>
    </row>
    <row r="1728" spans="1:6" x14ac:dyDescent="0.3">
      <c r="A1728" s="7">
        <v>2017</v>
      </c>
      <c r="B1728" s="8" t="s">
        <v>57</v>
      </c>
      <c r="C1728" s="8" t="s">
        <v>1</v>
      </c>
      <c r="D1728" s="14">
        <v>21426</v>
      </c>
      <c r="E1728" s="14">
        <v>239356</v>
      </c>
      <c r="F1728" s="15">
        <v>53774</v>
      </c>
    </row>
    <row r="1729" spans="1:6" x14ac:dyDescent="0.3">
      <c r="A1729" s="7">
        <v>2017</v>
      </c>
      <c r="B1729" s="8" t="s">
        <v>57</v>
      </c>
      <c r="C1729" s="8" t="s">
        <v>2</v>
      </c>
      <c r="D1729" s="14">
        <v>31059</v>
      </c>
      <c r="E1729" s="14">
        <v>417456</v>
      </c>
      <c r="F1729" s="15">
        <v>55334</v>
      </c>
    </row>
    <row r="1730" spans="1:6" x14ac:dyDescent="0.3">
      <c r="A1730" s="7">
        <v>2017</v>
      </c>
      <c r="B1730" s="8" t="s">
        <v>57</v>
      </c>
      <c r="C1730" s="8" t="s">
        <v>3</v>
      </c>
      <c r="D1730" s="14">
        <v>13845</v>
      </c>
      <c r="E1730" s="14">
        <v>144215</v>
      </c>
      <c r="F1730" s="15">
        <v>59263</v>
      </c>
    </row>
    <row r="1731" spans="1:6" x14ac:dyDescent="0.3">
      <c r="A1731" s="7">
        <v>2017</v>
      </c>
      <c r="B1731" s="8" t="s">
        <v>57</v>
      </c>
      <c r="C1731" s="8" t="s">
        <v>4</v>
      </c>
      <c r="D1731" s="14">
        <v>188712</v>
      </c>
      <c r="E1731" s="14">
        <v>2551444</v>
      </c>
      <c r="F1731" s="15">
        <v>86955</v>
      </c>
    </row>
    <row r="1732" spans="1:6" x14ac:dyDescent="0.3">
      <c r="A1732" s="7">
        <v>2017</v>
      </c>
      <c r="B1732" s="8" t="s">
        <v>57</v>
      </c>
      <c r="C1732" s="8" t="s">
        <v>5</v>
      </c>
      <c r="D1732" s="14">
        <v>50576</v>
      </c>
      <c r="E1732" s="14">
        <v>412889</v>
      </c>
      <c r="F1732" s="15">
        <v>78698</v>
      </c>
    </row>
    <row r="1733" spans="1:6" x14ac:dyDescent="0.3">
      <c r="A1733" s="7">
        <v>2017</v>
      </c>
      <c r="B1733" s="8" t="s">
        <v>57</v>
      </c>
      <c r="C1733" s="8" t="s">
        <v>6</v>
      </c>
      <c r="D1733" s="14">
        <v>22807</v>
      </c>
      <c r="E1733" s="14">
        <v>218450</v>
      </c>
      <c r="F1733" s="15">
        <v>87307</v>
      </c>
    </row>
    <row r="1734" spans="1:6" x14ac:dyDescent="0.3">
      <c r="A1734" s="7">
        <v>2017</v>
      </c>
      <c r="B1734" s="8" t="s">
        <v>57</v>
      </c>
      <c r="C1734" s="8" t="s">
        <v>7</v>
      </c>
      <c r="D1734" s="14">
        <v>8644</v>
      </c>
      <c r="E1734" s="14">
        <v>61956</v>
      </c>
      <c r="F1734" s="15">
        <v>80600</v>
      </c>
    </row>
    <row r="1735" spans="1:6" x14ac:dyDescent="0.3">
      <c r="A1735" s="7">
        <v>2017</v>
      </c>
      <c r="B1735" s="8" t="s">
        <v>57</v>
      </c>
      <c r="C1735" s="8" t="s">
        <v>8</v>
      </c>
      <c r="D1735" s="14">
        <v>156978</v>
      </c>
      <c r="E1735" s="14">
        <v>1322562</v>
      </c>
      <c r="F1735" s="15">
        <v>58653</v>
      </c>
    </row>
    <row r="1736" spans="1:6" x14ac:dyDescent="0.3">
      <c r="A1736" s="7">
        <v>2017</v>
      </c>
      <c r="B1736" s="8" t="s">
        <v>57</v>
      </c>
      <c r="C1736" s="8" t="s">
        <v>9</v>
      </c>
      <c r="D1736" s="14">
        <v>54102</v>
      </c>
      <c r="E1736" s="14">
        <v>668820</v>
      </c>
      <c r="F1736" s="15">
        <v>64724</v>
      </c>
    </row>
    <row r="1737" spans="1:6" x14ac:dyDescent="0.3">
      <c r="A1737" s="7">
        <v>2017</v>
      </c>
      <c r="B1737" s="8" t="s">
        <v>57</v>
      </c>
      <c r="C1737" s="8" t="s">
        <v>10</v>
      </c>
      <c r="D1737" s="14">
        <v>11075</v>
      </c>
      <c r="E1737" s="14">
        <v>88110</v>
      </c>
      <c r="F1737" s="15">
        <v>48653</v>
      </c>
    </row>
    <row r="1738" spans="1:6" x14ac:dyDescent="0.3">
      <c r="A1738" s="7">
        <v>2017</v>
      </c>
      <c r="B1738" s="8" t="s">
        <v>57</v>
      </c>
      <c r="C1738" s="8" t="s">
        <v>11</v>
      </c>
      <c r="D1738" s="14">
        <v>73447</v>
      </c>
      <c r="E1738" s="14">
        <v>942202</v>
      </c>
      <c r="F1738" s="15">
        <v>73829</v>
      </c>
    </row>
    <row r="1739" spans="1:6" x14ac:dyDescent="0.3">
      <c r="A1739" s="7">
        <v>2017</v>
      </c>
      <c r="B1739" s="8" t="s">
        <v>57</v>
      </c>
      <c r="C1739" s="8" t="s">
        <v>12</v>
      </c>
      <c r="D1739" s="14">
        <v>29045</v>
      </c>
      <c r="E1739" s="14">
        <v>336985</v>
      </c>
      <c r="F1739" s="15">
        <v>50796</v>
      </c>
    </row>
    <row r="1740" spans="1:6" x14ac:dyDescent="0.3">
      <c r="A1740" s="7">
        <v>2017</v>
      </c>
      <c r="B1740" s="8" t="s">
        <v>57</v>
      </c>
      <c r="C1740" s="8" t="s">
        <v>13</v>
      </c>
      <c r="D1740" s="14">
        <v>15401</v>
      </c>
      <c r="E1740" s="14">
        <v>139096</v>
      </c>
      <c r="F1740" s="15">
        <v>52293</v>
      </c>
    </row>
    <row r="1741" spans="1:6" x14ac:dyDescent="0.3">
      <c r="A1741" s="7">
        <v>2017</v>
      </c>
      <c r="B1741" s="8" t="s">
        <v>57</v>
      </c>
      <c r="C1741" s="8" t="s">
        <v>14</v>
      </c>
      <c r="D1741" s="14">
        <v>16569</v>
      </c>
      <c r="E1741" s="14">
        <v>177353</v>
      </c>
      <c r="F1741" s="15">
        <v>59048</v>
      </c>
    </row>
    <row r="1742" spans="1:6" x14ac:dyDescent="0.3">
      <c r="A1742" s="7">
        <v>2017</v>
      </c>
      <c r="B1742" s="8" t="s">
        <v>57</v>
      </c>
      <c r="C1742" s="8" t="s">
        <v>15</v>
      </c>
      <c r="D1742" s="14">
        <v>20206</v>
      </c>
      <c r="E1742" s="14">
        <v>214141</v>
      </c>
      <c r="F1742" s="15">
        <v>48829</v>
      </c>
    </row>
    <row r="1743" spans="1:6" x14ac:dyDescent="0.3">
      <c r="A1743" s="7">
        <v>2017</v>
      </c>
      <c r="B1743" s="8" t="s">
        <v>57</v>
      </c>
      <c r="C1743" s="8" t="s">
        <v>16</v>
      </c>
      <c r="D1743" s="14">
        <v>24001</v>
      </c>
      <c r="E1743" s="14">
        <v>209874</v>
      </c>
      <c r="F1743" s="15">
        <v>55218</v>
      </c>
    </row>
    <row r="1744" spans="1:6" x14ac:dyDescent="0.3">
      <c r="A1744" s="7">
        <v>2017</v>
      </c>
      <c r="B1744" s="8" t="s">
        <v>57</v>
      </c>
      <c r="C1744" s="8" t="s">
        <v>17</v>
      </c>
      <c r="D1744" s="14">
        <v>9912</v>
      </c>
      <c r="E1744" s="14">
        <v>66736</v>
      </c>
      <c r="F1744" s="15">
        <v>55405</v>
      </c>
    </row>
    <row r="1745" spans="1:6" x14ac:dyDescent="0.3">
      <c r="A1745" s="7">
        <v>2017</v>
      </c>
      <c r="B1745" s="8" t="s">
        <v>57</v>
      </c>
      <c r="C1745" s="8" t="s">
        <v>18</v>
      </c>
      <c r="D1745" s="14">
        <v>42175</v>
      </c>
      <c r="E1745" s="14">
        <v>443764</v>
      </c>
      <c r="F1745" s="15">
        <v>77259</v>
      </c>
    </row>
    <row r="1746" spans="1:6" x14ac:dyDescent="0.3">
      <c r="A1746" s="7">
        <v>2017</v>
      </c>
      <c r="B1746" s="8" t="s">
        <v>57</v>
      </c>
      <c r="C1746" s="8" t="s">
        <v>19</v>
      </c>
      <c r="D1746" s="14">
        <v>47186</v>
      </c>
      <c r="E1746" s="14">
        <v>566190</v>
      </c>
      <c r="F1746" s="15">
        <v>102580</v>
      </c>
    </row>
    <row r="1747" spans="1:6" x14ac:dyDescent="0.3">
      <c r="A1747" s="7">
        <v>2017</v>
      </c>
      <c r="B1747" s="8" t="s">
        <v>57</v>
      </c>
      <c r="C1747" s="8" t="s">
        <v>20</v>
      </c>
      <c r="D1747" s="14">
        <v>42271</v>
      </c>
      <c r="E1747" s="14">
        <v>645279</v>
      </c>
      <c r="F1747" s="15">
        <v>68677</v>
      </c>
    </row>
    <row r="1748" spans="1:6" x14ac:dyDescent="0.3">
      <c r="A1748" s="7">
        <v>2017</v>
      </c>
      <c r="B1748" s="8" t="s">
        <v>57</v>
      </c>
      <c r="C1748" s="8" t="s">
        <v>21</v>
      </c>
      <c r="D1748" s="14">
        <v>29916</v>
      </c>
      <c r="E1748" s="14">
        <v>373603</v>
      </c>
      <c r="F1748" s="15">
        <v>80794</v>
      </c>
    </row>
    <row r="1749" spans="1:6" x14ac:dyDescent="0.3">
      <c r="A1749" s="7">
        <v>2017</v>
      </c>
      <c r="B1749" s="8" t="s">
        <v>57</v>
      </c>
      <c r="C1749" s="8" t="s">
        <v>22</v>
      </c>
      <c r="D1749" s="14">
        <v>11953</v>
      </c>
      <c r="E1749" s="14">
        <v>107737</v>
      </c>
      <c r="F1749" s="15">
        <v>41461</v>
      </c>
    </row>
    <row r="1750" spans="1:6" x14ac:dyDescent="0.3">
      <c r="A1750" s="7">
        <v>2017</v>
      </c>
      <c r="B1750" s="8" t="s">
        <v>57</v>
      </c>
      <c r="C1750" s="8" t="s">
        <v>23</v>
      </c>
      <c r="D1750" s="14">
        <v>33699</v>
      </c>
      <c r="E1750" s="14">
        <v>381525</v>
      </c>
      <c r="F1750" s="15">
        <v>63932</v>
      </c>
    </row>
    <row r="1751" spans="1:6" x14ac:dyDescent="0.3">
      <c r="A1751" s="7">
        <v>2017</v>
      </c>
      <c r="B1751" s="8" t="s">
        <v>57</v>
      </c>
      <c r="C1751" s="8" t="s">
        <v>24</v>
      </c>
      <c r="D1751" s="14">
        <v>8994</v>
      </c>
      <c r="E1751" s="14">
        <v>41010</v>
      </c>
      <c r="F1751" s="15">
        <v>50921</v>
      </c>
    </row>
    <row r="1752" spans="1:6" x14ac:dyDescent="0.3">
      <c r="A1752" s="7">
        <v>2017</v>
      </c>
      <c r="B1752" s="8" t="s">
        <v>57</v>
      </c>
      <c r="C1752" s="8" t="s">
        <v>25</v>
      </c>
      <c r="D1752" s="14">
        <v>11395</v>
      </c>
      <c r="E1752" s="14">
        <v>117542</v>
      </c>
      <c r="F1752" s="15">
        <v>59204</v>
      </c>
    </row>
    <row r="1753" spans="1:6" x14ac:dyDescent="0.3">
      <c r="A1753" s="7">
        <v>2017</v>
      </c>
      <c r="B1753" s="8" t="s">
        <v>57</v>
      </c>
      <c r="C1753" s="8" t="s">
        <v>26</v>
      </c>
      <c r="D1753" s="14">
        <v>19521</v>
      </c>
      <c r="E1753" s="14">
        <v>181485</v>
      </c>
      <c r="F1753" s="15">
        <v>58283</v>
      </c>
    </row>
    <row r="1754" spans="1:6" x14ac:dyDescent="0.3">
      <c r="A1754" s="7">
        <v>2017</v>
      </c>
      <c r="B1754" s="8" t="s">
        <v>57</v>
      </c>
      <c r="C1754" s="8" t="s">
        <v>27</v>
      </c>
      <c r="D1754" s="14">
        <v>11938</v>
      </c>
      <c r="E1754" s="14">
        <v>81761</v>
      </c>
      <c r="F1754" s="15">
        <v>75584</v>
      </c>
    </row>
    <row r="1755" spans="1:6" x14ac:dyDescent="0.3">
      <c r="A1755" s="7">
        <v>2017</v>
      </c>
      <c r="B1755" s="8" t="s">
        <v>57</v>
      </c>
      <c r="C1755" s="8" t="s">
        <v>28</v>
      </c>
      <c r="D1755" s="14">
        <v>50907</v>
      </c>
      <c r="E1755" s="14">
        <v>663584</v>
      </c>
      <c r="F1755" s="15">
        <v>88404</v>
      </c>
    </row>
    <row r="1756" spans="1:6" x14ac:dyDescent="0.3">
      <c r="A1756" s="7">
        <v>2017</v>
      </c>
      <c r="B1756" s="8" t="s">
        <v>57</v>
      </c>
      <c r="C1756" s="8" t="s">
        <v>29</v>
      </c>
      <c r="D1756" s="14">
        <v>10062</v>
      </c>
      <c r="E1756" s="14">
        <v>104434</v>
      </c>
      <c r="F1756" s="15">
        <v>60086</v>
      </c>
    </row>
    <row r="1757" spans="1:6" x14ac:dyDescent="0.3">
      <c r="A1757" s="7">
        <v>2017</v>
      </c>
      <c r="B1757" s="8" t="s">
        <v>57</v>
      </c>
      <c r="C1757" s="8" t="s">
        <v>30</v>
      </c>
      <c r="D1757" s="14">
        <v>111646</v>
      </c>
      <c r="E1757" s="14">
        <v>1314408</v>
      </c>
      <c r="F1757" s="15">
        <v>92549</v>
      </c>
    </row>
    <row r="1758" spans="1:6" x14ac:dyDescent="0.3">
      <c r="A1758" s="7">
        <v>2017</v>
      </c>
      <c r="B1758" s="8" t="s">
        <v>57</v>
      </c>
      <c r="C1758" s="8" t="s">
        <v>31</v>
      </c>
      <c r="D1758" s="14">
        <v>57179</v>
      </c>
      <c r="E1758" s="14">
        <v>616193</v>
      </c>
      <c r="F1758" s="15">
        <v>62617</v>
      </c>
    </row>
    <row r="1759" spans="1:6" x14ac:dyDescent="0.3">
      <c r="A1759" s="7">
        <v>2017</v>
      </c>
      <c r="B1759" s="8" t="s">
        <v>57</v>
      </c>
      <c r="C1759" s="8" t="s">
        <v>32</v>
      </c>
      <c r="D1759" s="14">
        <v>4917</v>
      </c>
      <c r="E1759" s="14">
        <v>34300</v>
      </c>
      <c r="F1759" s="15">
        <v>59438</v>
      </c>
    </row>
    <row r="1760" spans="1:6" x14ac:dyDescent="0.3">
      <c r="A1760" s="7">
        <v>2017</v>
      </c>
      <c r="B1760" s="8" t="s">
        <v>57</v>
      </c>
      <c r="C1760" s="8" t="s">
        <v>33</v>
      </c>
      <c r="D1760" s="14">
        <v>52650</v>
      </c>
      <c r="E1760" s="14">
        <v>724748</v>
      </c>
      <c r="F1760" s="15">
        <v>62445</v>
      </c>
    </row>
    <row r="1761" spans="1:6" x14ac:dyDescent="0.3">
      <c r="A1761" s="7">
        <v>2017</v>
      </c>
      <c r="B1761" s="8" t="s">
        <v>57</v>
      </c>
      <c r="C1761" s="8" t="s">
        <v>34</v>
      </c>
      <c r="D1761" s="14">
        <v>20434</v>
      </c>
      <c r="E1761" s="14">
        <v>185534</v>
      </c>
      <c r="F1761" s="15">
        <v>50640</v>
      </c>
    </row>
    <row r="1762" spans="1:6" x14ac:dyDescent="0.3">
      <c r="A1762" s="7">
        <v>2017</v>
      </c>
      <c r="B1762" s="8" t="s">
        <v>57</v>
      </c>
      <c r="C1762" s="8" t="s">
        <v>35</v>
      </c>
      <c r="D1762" s="14">
        <v>24942</v>
      </c>
      <c r="E1762" s="14">
        <v>242708</v>
      </c>
      <c r="F1762" s="15">
        <v>67873</v>
      </c>
    </row>
    <row r="1763" spans="1:6" x14ac:dyDescent="0.3">
      <c r="A1763" s="7">
        <v>2017</v>
      </c>
      <c r="B1763" s="8" t="s">
        <v>57</v>
      </c>
      <c r="C1763" s="8" t="s">
        <v>36</v>
      </c>
      <c r="D1763" s="14">
        <v>61779</v>
      </c>
      <c r="E1763" s="14">
        <v>799939</v>
      </c>
      <c r="F1763" s="15">
        <v>76029</v>
      </c>
    </row>
    <row r="1764" spans="1:6" x14ac:dyDescent="0.3">
      <c r="A1764" s="7">
        <v>2017</v>
      </c>
      <c r="B1764" s="8" t="s">
        <v>57</v>
      </c>
      <c r="C1764" s="8" t="s">
        <v>37</v>
      </c>
      <c r="D1764" s="14">
        <v>8350</v>
      </c>
      <c r="E1764" s="14">
        <v>67366</v>
      </c>
      <c r="F1764" s="15">
        <v>67763</v>
      </c>
    </row>
    <row r="1765" spans="1:6" x14ac:dyDescent="0.3">
      <c r="A1765" s="7">
        <v>2017</v>
      </c>
      <c r="B1765" s="8" t="s">
        <v>57</v>
      </c>
      <c r="C1765" s="8" t="s">
        <v>38</v>
      </c>
      <c r="D1765" s="14">
        <v>25902</v>
      </c>
      <c r="E1765" s="14">
        <v>280711</v>
      </c>
      <c r="F1765" s="15">
        <v>49505</v>
      </c>
    </row>
    <row r="1766" spans="1:6" x14ac:dyDescent="0.3">
      <c r="A1766" s="7">
        <v>2017</v>
      </c>
      <c r="B1766" s="8" t="s">
        <v>57</v>
      </c>
      <c r="C1766" s="8" t="s">
        <v>39</v>
      </c>
      <c r="D1766" s="14">
        <v>5030</v>
      </c>
      <c r="E1766" s="14">
        <v>31264</v>
      </c>
      <c r="F1766" s="15">
        <v>55293</v>
      </c>
    </row>
    <row r="1767" spans="1:6" x14ac:dyDescent="0.3">
      <c r="A1767" s="7">
        <v>2017</v>
      </c>
      <c r="B1767" s="8" t="s">
        <v>57</v>
      </c>
      <c r="C1767" s="8" t="s">
        <v>40</v>
      </c>
      <c r="D1767" s="14">
        <v>28315</v>
      </c>
      <c r="E1767" s="14">
        <v>407133</v>
      </c>
      <c r="F1767" s="15">
        <v>56172</v>
      </c>
    </row>
    <row r="1768" spans="1:6" x14ac:dyDescent="0.3">
      <c r="A1768" s="7">
        <v>2017</v>
      </c>
      <c r="B1768" s="8" t="s">
        <v>57</v>
      </c>
      <c r="C1768" s="8" t="s">
        <v>41</v>
      </c>
      <c r="D1768" s="14">
        <v>129242</v>
      </c>
      <c r="E1768" s="14">
        <v>1666865</v>
      </c>
      <c r="F1768" s="15">
        <v>71507</v>
      </c>
    </row>
    <row r="1769" spans="1:6" x14ac:dyDescent="0.3">
      <c r="A1769" s="7">
        <v>2017</v>
      </c>
      <c r="B1769" s="8" t="s">
        <v>57</v>
      </c>
      <c r="C1769" s="8" t="s">
        <v>42</v>
      </c>
      <c r="D1769" s="14">
        <v>21911</v>
      </c>
      <c r="E1769" s="14">
        <v>205052</v>
      </c>
      <c r="F1769" s="15">
        <v>56815</v>
      </c>
    </row>
    <row r="1770" spans="1:6" x14ac:dyDescent="0.3">
      <c r="A1770" s="7">
        <v>2017</v>
      </c>
      <c r="B1770" s="8" t="s">
        <v>57</v>
      </c>
      <c r="C1770" s="8" t="s">
        <v>43</v>
      </c>
      <c r="D1770" s="14">
        <v>5488</v>
      </c>
      <c r="E1770" s="14">
        <v>28484</v>
      </c>
      <c r="F1770" s="15">
        <v>63457</v>
      </c>
    </row>
    <row r="1771" spans="1:6" x14ac:dyDescent="0.3">
      <c r="A1771" s="7">
        <v>2017</v>
      </c>
      <c r="B1771" s="8" t="s">
        <v>57</v>
      </c>
      <c r="C1771" s="8" t="s">
        <v>44</v>
      </c>
      <c r="D1771" s="14">
        <v>57146</v>
      </c>
      <c r="E1771" s="14">
        <v>725936</v>
      </c>
      <c r="F1771" s="15">
        <v>84971</v>
      </c>
    </row>
    <row r="1772" spans="1:6" x14ac:dyDescent="0.3">
      <c r="A1772" s="7">
        <v>2017</v>
      </c>
      <c r="B1772" s="8" t="s">
        <v>57</v>
      </c>
      <c r="C1772" s="8" t="s">
        <v>45</v>
      </c>
      <c r="D1772" s="14">
        <v>39177</v>
      </c>
      <c r="E1772" s="14">
        <v>404782</v>
      </c>
      <c r="F1772" s="15">
        <v>76348</v>
      </c>
    </row>
    <row r="1773" spans="1:6" x14ac:dyDescent="0.3">
      <c r="A1773" s="7">
        <v>2017</v>
      </c>
      <c r="B1773" s="8" t="s">
        <v>57</v>
      </c>
      <c r="C1773" s="8" t="s">
        <v>46</v>
      </c>
      <c r="D1773" s="14">
        <v>8077</v>
      </c>
      <c r="E1773" s="14">
        <v>66420</v>
      </c>
      <c r="F1773" s="15">
        <v>48213</v>
      </c>
    </row>
    <row r="1774" spans="1:6" x14ac:dyDescent="0.3">
      <c r="A1774" s="7">
        <v>2017</v>
      </c>
      <c r="B1774" s="8" t="s">
        <v>57</v>
      </c>
      <c r="C1774" s="8" t="s">
        <v>47</v>
      </c>
      <c r="D1774" s="14">
        <v>23769</v>
      </c>
      <c r="E1774" s="14">
        <v>324012</v>
      </c>
      <c r="F1774" s="15">
        <v>57868</v>
      </c>
    </row>
    <row r="1775" spans="1:6" x14ac:dyDescent="0.3">
      <c r="A1775" s="7">
        <v>2017</v>
      </c>
      <c r="B1775" s="8" t="s">
        <v>57</v>
      </c>
      <c r="C1775" s="8" t="s">
        <v>48</v>
      </c>
      <c r="D1775" s="14">
        <v>4417</v>
      </c>
      <c r="E1775" s="14">
        <v>18050</v>
      </c>
      <c r="F1775" s="15">
        <v>50226</v>
      </c>
    </row>
    <row r="1776" spans="1:6" x14ac:dyDescent="0.3">
      <c r="A1776" s="7">
        <v>2017</v>
      </c>
      <c r="B1776" s="8" t="s">
        <v>58</v>
      </c>
      <c r="C1776" s="8" t="s">
        <v>1</v>
      </c>
      <c r="D1776" s="14">
        <v>12429</v>
      </c>
      <c r="E1776" s="14">
        <v>229821</v>
      </c>
      <c r="F1776" s="15">
        <v>45641</v>
      </c>
    </row>
    <row r="1777" spans="1:6" x14ac:dyDescent="0.3">
      <c r="A1777" s="7">
        <v>2017</v>
      </c>
      <c r="B1777" s="8" t="s">
        <v>58</v>
      </c>
      <c r="C1777" s="8" t="s">
        <v>2</v>
      </c>
      <c r="D1777" s="14">
        <v>16509</v>
      </c>
      <c r="E1777" s="14">
        <v>420129</v>
      </c>
      <c r="F1777" s="15">
        <v>50240</v>
      </c>
    </row>
    <row r="1778" spans="1:6" x14ac:dyDescent="0.3">
      <c r="A1778" s="7">
        <v>2017</v>
      </c>
      <c r="B1778" s="8" t="s">
        <v>58</v>
      </c>
      <c r="C1778" s="8" t="s">
        <v>3</v>
      </c>
      <c r="D1778" s="14">
        <v>15762</v>
      </c>
      <c r="E1778" s="14">
        <v>183433</v>
      </c>
      <c r="F1778" s="15">
        <v>41521</v>
      </c>
    </row>
    <row r="1779" spans="1:6" x14ac:dyDescent="0.3">
      <c r="A1779" s="7">
        <v>2017</v>
      </c>
      <c r="B1779" s="8" t="s">
        <v>58</v>
      </c>
      <c r="C1779" s="8" t="s">
        <v>4</v>
      </c>
      <c r="D1779" s="14">
        <v>593987</v>
      </c>
      <c r="E1779" s="14">
        <v>2560907</v>
      </c>
      <c r="F1779" s="15">
        <v>50766</v>
      </c>
    </row>
    <row r="1780" spans="1:6" x14ac:dyDescent="0.3">
      <c r="A1780" s="7">
        <v>2017</v>
      </c>
      <c r="B1780" s="8" t="s">
        <v>58</v>
      </c>
      <c r="C1780" s="8" t="s">
        <v>5</v>
      </c>
      <c r="D1780" s="14">
        <v>21356</v>
      </c>
      <c r="E1780" s="14">
        <v>328843</v>
      </c>
      <c r="F1780" s="15">
        <v>48754</v>
      </c>
    </row>
    <row r="1781" spans="1:6" x14ac:dyDescent="0.3">
      <c r="A1781" s="7">
        <v>2017</v>
      </c>
      <c r="B1781" s="8" t="s">
        <v>58</v>
      </c>
      <c r="C1781" s="8" t="s">
        <v>6</v>
      </c>
      <c r="D1781" s="14">
        <v>12701</v>
      </c>
      <c r="E1781" s="14">
        <v>325348</v>
      </c>
      <c r="F1781" s="15">
        <v>53993</v>
      </c>
    </row>
    <row r="1782" spans="1:6" x14ac:dyDescent="0.3">
      <c r="A1782" s="7">
        <v>2017</v>
      </c>
      <c r="B1782" s="8" t="s">
        <v>58</v>
      </c>
      <c r="C1782" s="8" t="s">
        <v>7</v>
      </c>
      <c r="D1782" s="14">
        <v>4626</v>
      </c>
      <c r="E1782" s="14">
        <v>73879</v>
      </c>
      <c r="F1782" s="15">
        <v>53083</v>
      </c>
    </row>
    <row r="1783" spans="1:6" x14ac:dyDescent="0.3">
      <c r="A1783" s="7">
        <v>2017</v>
      </c>
      <c r="B1783" s="8" t="s">
        <v>58</v>
      </c>
      <c r="C1783" s="8" t="s">
        <v>8</v>
      </c>
      <c r="D1783" s="14">
        <v>71929</v>
      </c>
      <c r="E1783" s="14">
        <v>1258710</v>
      </c>
      <c r="F1783" s="15">
        <v>49450</v>
      </c>
    </row>
    <row r="1784" spans="1:6" x14ac:dyDescent="0.3">
      <c r="A1784" s="7">
        <v>2017</v>
      </c>
      <c r="B1784" s="8" t="s">
        <v>58</v>
      </c>
      <c r="C1784" s="8" t="s">
        <v>9</v>
      </c>
      <c r="D1784" s="14">
        <v>28426</v>
      </c>
      <c r="E1784" s="14">
        <v>546707</v>
      </c>
      <c r="F1784" s="15">
        <v>50819</v>
      </c>
    </row>
    <row r="1785" spans="1:6" x14ac:dyDescent="0.3">
      <c r="A1785" s="7">
        <v>2017</v>
      </c>
      <c r="B1785" s="8" t="s">
        <v>58</v>
      </c>
      <c r="C1785" s="8" t="s">
        <v>10</v>
      </c>
      <c r="D1785" s="14">
        <v>7292</v>
      </c>
      <c r="E1785" s="14">
        <v>96246</v>
      </c>
      <c r="F1785" s="15">
        <v>40927</v>
      </c>
    </row>
    <row r="1786" spans="1:6" x14ac:dyDescent="0.3">
      <c r="A1786" s="7">
        <v>2017</v>
      </c>
      <c r="B1786" s="8" t="s">
        <v>58</v>
      </c>
      <c r="C1786" s="8" t="s">
        <v>11</v>
      </c>
      <c r="D1786" s="14">
        <v>34414</v>
      </c>
      <c r="E1786" s="14">
        <v>910288</v>
      </c>
      <c r="F1786" s="15">
        <v>49347</v>
      </c>
    </row>
    <row r="1787" spans="1:6" x14ac:dyDescent="0.3">
      <c r="A1787" s="7">
        <v>2017</v>
      </c>
      <c r="B1787" s="8" t="s">
        <v>58</v>
      </c>
      <c r="C1787" s="8" t="s">
        <v>12</v>
      </c>
      <c r="D1787" s="14">
        <v>15254</v>
      </c>
      <c r="E1787" s="14">
        <v>452646</v>
      </c>
      <c r="F1787" s="15">
        <v>46791</v>
      </c>
    </row>
    <row r="1788" spans="1:6" x14ac:dyDescent="0.3">
      <c r="A1788" s="7">
        <v>2017</v>
      </c>
      <c r="B1788" s="8" t="s">
        <v>58</v>
      </c>
      <c r="C1788" s="8" t="s">
        <v>13</v>
      </c>
      <c r="D1788" s="14">
        <v>11324</v>
      </c>
      <c r="E1788" s="14">
        <v>219362</v>
      </c>
      <c r="F1788" s="15">
        <v>42092</v>
      </c>
    </row>
    <row r="1789" spans="1:6" x14ac:dyDescent="0.3">
      <c r="A1789" s="7">
        <v>2017</v>
      </c>
      <c r="B1789" s="8" t="s">
        <v>58</v>
      </c>
      <c r="C1789" s="8" t="s">
        <v>14</v>
      </c>
      <c r="D1789" s="14">
        <v>10129</v>
      </c>
      <c r="E1789" s="14">
        <v>192638</v>
      </c>
      <c r="F1789" s="15">
        <v>41465</v>
      </c>
    </row>
    <row r="1790" spans="1:6" x14ac:dyDescent="0.3">
      <c r="A1790" s="7">
        <v>2017</v>
      </c>
      <c r="B1790" s="8" t="s">
        <v>58</v>
      </c>
      <c r="C1790" s="8" t="s">
        <v>15</v>
      </c>
      <c r="D1790" s="14">
        <v>17849</v>
      </c>
      <c r="E1790" s="14">
        <v>262151</v>
      </c>
      <c r="F1790" s="15">
        <v>47340</v>
      </c>
    </row>
    <row r="1791" spans="1:6" x14ac:dyDescent="0.3">
      <c r="A1791" s="7">
        <v>2017</v>
      </c>
      <c r="B1791" s="8" t="s">
        <v>58</v>
      </c>
      <c r="C1791" s="8" t="s">
        <v>16</v>
      </c>
      <c r="D1791" s="14">
        <v>15003</v>
      </c>
      <c r="E1791" s="14">
        <v>297694</v>
      </c>
      <c r="F1791" s="15">
        <v>42305</v>
      </c>
    </row>
    <row r="1792" spans="1:6" x14ac:dyDescent="0.3">
      <c r="A1792" s="7">
        <v>2017</v>
      </c>
      <c r="B1792" s="8" t="s">
        <v>58</v>
      </c>
      <c r="C1792" s="8" t="s">
        <v>17</v>
      </c>
      <c r="D1792" s="14">
        <v>6292</v>
      </c>
      <c r="E1792" s="14">
        <v>118412</v>
      </c>
      <c r="F1792" s="15">
        <v>45937</v>
      </c>
    </row>
    <row r="1793" spans="1:6" x14ac:dyDescent="0.3">
      <c r="A1793" s="7">
        <v>2017</v>
      </c>
      <c r="B1793" s="8" t="s">
        <v>58</v>
      </c>
      <c r="C1793" s="8" t="s">
        <v>18</v>
      </c>
      <c r="D1793" s="14">
        <v>20270</v>
      </c>
      <c r="E1793" s="14">
        <v>436185</v>
      </c>
      <c r="F1793" s="15">
        <v>53201</v>
      </c>
    </row>
    <row r="1794" spans="1:6" x14ac:dyDescent="0.3">
      <c r="A1794" s="7">
        <v>2017</v>
      </c>
      <c r="B1794" s="8" t="s">
        <v>58</v>
      </c>
      <c r="C1794" s="8" t="s">
        <v>19</v>
      </c>
      <c r="D1794" s="14">
        <v>61589</v>
      </c>
      <c r="E1794" s="14">
        <v>769824</v>
      </c>
      <c r="F1794" s="15">
        <v>57794</v>
      </c>
    </row>
    <row r="1795" spans="1:6" x14ac:dyDescent="0.3">
      <c r="A1795" s="7">
        <v>2017</v>
      </c>
      <c r="B1795" s="8" t="s">
        <v>58</v>
      </c>
      <c r="C1795" s="8" t="s">
        <v>20</v>
      </c>
      <c r="D1795" s="14">
        <v>24957</v>
      </c>
      <c r="E1795" s="14">
        <v>656020</v>
      </c>
      <c r="F1795" s="15">
        <v>48406</v>
      </c>
    </row>
    <row r="1796" spans="1:6" x14ac:dyDescent="0.3">
      <c r="A1796" s="7">
        <v>2017</v>
      </c>
      <c r="B1796" s="8" t="s">
        <v>58</v>
      </c>
      <c r="C1796" s="8" t="s">
        <v>21</v>
      </c>
      <c r="D1796" s="14">
        <v>17543</v>
      </c>
      <c r="E1796" s="14">
        <v>514711</v>
      </c>
      <c r="F1796" s="15">
        <v>49720</v>
      </c>
    </row>
    <row r="1797" spans="1:6" x14ac:dyDescent="0.3">
      <c r="A1797" s="7">
        <v>2017</v>
      </c>
      <c r="B1797" s="8" t="s">
        <v>58</v>
      </c>
      <c r="C1797" s="8" t="s">
        <v>22</v>
      </c>
      <c r="D1797" s="14">
        <v>7420</v>
      </c>
      <c r="E1797" s="14">
        <v>142412</v>
      </c>
      <c r="F1797" s="15">
        <v>40426</v>
      </c>
    </row>
    <row r="1798" spans="1:6" x14ac:dyDescent="0.3">
      <c r="A1798" s="7">
        <v>2017</v>
      </c>
      <c r="B1798" s="8" t="s">
        <v>58</v>
      </c>
      <c r="C1798" s="8" t="s">
        <v>23</v>
      </c>
      <c r="D1798" s="14">
        <v>48626</v>
      </c>
      <c r="E1798" s="14">
        <v>450671</v>
      </c>
      <c r="F1798" s="15">
        <v>44800</v>
      </c>
    </row>
    <row r="1799" spans="1:6" x14ac:dyDescent="0.3">
      <c r="A1799" s="7">
        <v>2017</v>
      </c>
      <c r="B1799" s="8" t="s">
        <v>58</v>
      </c>
      <c r="C1799" s="8" t="s">
        <v>24</v>
      </c>
      <c r="D1799" s="14">
        <v>4448</v>
      </c>
      <c r="E1799" s="14">
        <v>73262</v>
      </c>
      <c r="F1799" s="15">
        <v>46171</v>
      </c>
    </row>
    <row r="1800" spans="1:6" x14ac:dyDescent="0.3">
      <c r="A1800" s="7">
        <v>2017</v>
      </c>
      <c r="B1800" s="8" t="s">
        <v>58</v>
      </c>
      <c r="C1800" s="8" t="s">
        <v>25</v>
      </c>
      <c r="D1800" s="14">
        <v>13241</v>
      </c>
      <c r="E1800" s="14">
        <v>136970</v>
      </c>
      <c r="F1800" s="15">
        <v>44565</v>
      </c>
    </row>
    <row r="1801" spans="1:6" x14ac:dyDescent="0.3">
      <c r="A1801" s="7">
        <v>2017</v>
      </c>
      <c r="B1801" s="8" t="s">
        <v>58</v>
      </c>
      <c r="C1801" s="8" t="s">
        <v>26</v>
      </c>
      <c r="D1801" s="14">
        <v>8681</v>
      </c>
      <c r="E1801" s="14">
        <v>131756</v>
      </c>
      <c r="F1801" s="15">
        <v>53119</v>
      </c>
    </row>
    <row r="1802" spans="1:6" x14ac:dyDescent="0.3">
      <c r="A1802" s="7">
        <v>2017</v>
      </c>
      <c r="B1802" s="8" t="s">
        <v>58</v>
      </c>
      <c r="C1802" s="8" t="s">
        <v>27</v>
      </c>
      <c r="D1802" s="14">
        <v>4635</v>
      </c>
      <c r="E1802" s="14">
        <v>111212</v>
      </c>
      <c r="F1802" s="15">
        <v>54599</v>
      </c>
    </row>
    <row r="1803" spans="1:6" x14ac:dyDescent="0.3">
      <c r="A1803" s="7">
        <v>2017</v>
      </c>
      <c r="B1803" s="8" t="s">
        <v>58</v>
      </c>
      <c r="C1803" s="8" t="s">
        <v>28</v>
      </c>
      <c r="D1803" s="14">
        <v>33411</v>
      </c>
      <c r="E1803" s="14">
        <v>644049</v>
      </c>
      <c r="F1803" s="15">
        <v>52138</v>
      </c>
    </row>
    <row r="1804" spans="1:6" x14ac:dyDescent="0.3">
      <c r="A1804" s="7">
        <v>2017</v>
      </c>
      <c r="B1804" s="8" t="s">
        <v>58</v>
      </c>
      <c r="C1804" s="8" t="s">
        <v>29</v>
      </c>
      <c r="D1804" s="14">
        <v>9629</v>
      </c>
      <c r="E1804" s="14">
        <v>127804</v>
      </c>
      <c r="F1804" s="15">
        <v>40621</v>
      </c>
    </row>
    <row r="1805" spans="1:6" x14ac:dyDescent="0.3">
      <c r="A1805" s="7">
        <v>2017</v>
      </c>
      <c r="B1805" s="8" t="s">
        <v>58</v>
      </c>
      <c r="C1805" s="8" t="s">
        <v>30</v>
      </c>
      <c r="D1805" s="14">
        <v>67533</v>
      </c>
      <c r="E1805" s="14">
        <v>1847585</v>
      </c>
      <c r="F1805" s="15">
        <v>51932</v>
      </c>
    </row>
    <row r="1806" spans="1:6" x14ac:dyDescent="0.3">
      <c r="A1806" s="7">
        <v>2017</v>
      </c>
      <c r="B1806" s="8" t="s">
        <v>58</v>
      </c>
      <c r="C1806" s="8" t="s">
        <v>31</v>
      </c>
      <c r="D1806" s="14">
        <v>26885</v>
      </c>
      <c r="E1806" s="14">
        <v>578637</v>
      </c>
      <c r="F1806" s="15">
        <v>47135</v>
      </c>
    </row>
    <row r="1807" spans="1:6" x14ac:dyDescent="0.3">
      <c r="A1807" s="7">
        <v>2017</v>
      </c>
      <c r="B1807" s="8" t="s">
        <v>58</v>
      </c>
      <c r="C1807" s="8" t="s">
        <v>32</v>
      </c>
      <c r="D1807" s="14">
        <v>2484</v>
      </c>
      <c r="E1807" s="14">
        <v>61847</v>
      </c>
      <c r="F1807" s="15">
        <v>49915</v>
      </c>
    </row>
    <row r="1808" spans="1:6" x14ac:dyDescent="0.3">
      <c r="A1808" s="7">
        <v>2017</v>
      </c>
      <c r="B1808" s="8" t="s">
        <v>58</v>
      </c>
      <c r="C1808" s="8" t="s">
        <v>33</v>
      </c>
      <c r="D1808" s="14">
        <v>34090</v>
      </c>
      <c r="E1808" s="14">
        <v>897244</v>
      </c>
      <c r="F1808" s="15">
        <v>45314</v>
      </c>
    </row>
    <row r="1809" spans="1:6" x14ac:dyDescent="0.3">
      <c r="A1809" s="7">
        <v>2017</v>
      </c>
      <c r="B1809" s="8" t="s">
        <v>58</v>
      </c>
      <c r="C1809" s="8" t="s">
        <v>34</v>
      </c>
      <c r="D1809" s="14">
        <v>13367</v>
      </c>
      <c r="E1809" s="14">
        <v>208934</v>
      </c>
      <c r="F1809" s="15">
        <v>44167</v>
      </c>
    </row>
    <row r="1810" spans="1:6" x14ac:dyDescent="0.3">
      <c r="A1810" s="7">
        <v>2017</v>
      </c>
      <c r="B1810" s="8" t="s">
        <v>58</v>
      </c>
      <c r="C1810" s="8" t="s">
        <v>35</v>
      </c>
      <c r="D1810" s="14">
        <v>15363</v>
      </c>
      <c r="E1810" s="14">
        <v>266489</v>
      </c>
      <c r="F1810" s="15">
        <v>50908</v>
      </c>
    </row>
    <row r="1811" spans="1:6" x14ac:dyDescent="0.3">
      <c r="A1811" s="7">
        <v>2017</v>
      </c>
      <c r="B1811" s="8" t="s">
        <v>58</v>
      </c>
      <c r="C1811" s="8" t="s">
        <v>36</v>
      </c>
      <c r="D1811" s="14">
        <v>58709</v>
      </c>
      <c r="E1811" s="14">
        <v>1179271</v>
      </c>
      <c r="F1811" s="15">
        <v>50500</v>
      </c>
    </row>
    <row r="1812" spans="1:6" x14ac:dyDescent="0.3">
      <c r="A1812" s="7">
        <v>2017</v>
      </c>
      <c r="B1812" s="8" t="s">
        <v>58</v>
      </c>
      <c r="C1812" s="8" t="s">
        <v>37</v>
      </c>
      <c r="D1812" s="14">
        <v>4485</v>
      </c>
      <c r="E1812" s="14">
        <v>99581</v>
      </c>
      <c r="F1812" s="15">
        <v>47941</v>
      </c>
    </row>
    <row r="1813" spans="1:6" x14ac:dyDescent="0.3">
      <c r="A1813" s="7">
        <v>2017</v>
      </c>
      <c r="B1813" s="8" t="s">
        <v>58</v>
      </c>
      <c r="C1813" s="8" t="s">
        <v>38</v>
      </c>
      <c r="D1813" s="14">
        <v>11574</v>
      </c>
      <c r="E1813" s="14">
        <v>226255</v>
      </c>
      <c r="F1813" s="15">
        <v>45624</v>
      </c>
    </row>
    <row r="1814" spans="1:6" x14ac:dyDescent="0.3">
      <c r="A1814" s="7">
        <v>2017</v>
      </c>
      <c r="B1814" s="8" t="s">
        <v>58</v>
      </c>
      <c r="C1814" s="8" t="s">
        <v>39</v>
      </c>
      <c r="D1814" s="14">
        <v>2732</v>
      </c>
      <c r="E1814" s="14">
        <v>66629</v>
      </c>
      <c r="F1814" s="15">
        <v>49512</v>
      </c>
    </row>
    <row r="1815" spans="1:6" x14ac:dyDescent="0.3">
      <c r="A1815" s="7">
        <v>2017</v>
      </c>
      <c r="B1815" s="8" t="s">
        <v>58</v>
      </c>
      <c r="C1815" s="8" t="s">
        <v>40</v>
      </c>
      <c r="D1815" s="14">
        <v>15761</v>
      </c>
      <c r="E1815" s="14">
        <v>416511</v>
      </c>
      <c r="F1815" s="15">
        <v>50938</v>
      </c>
    </row>
    <row r="1816" spans="1:6" x14ac:dyDescent="0.3">
      <c r="A1816" s="7">
        <v>2017</v>
      </c>
      <c r="B1816" s="8" t="s">
        <v>58</v>
      </c>
      <c r="C1816" s="8" t="s">
        <v>41</v>
      </c>
      <c r="D1816" s="14">
        <v>87635</v>
      </c>
      <c r="E1816" s="14">
        <v>1607487</v>
      </c>
      <c r="F1816" s="15">
        <v>47096</v>
      </c>
    </row>
    <row r="1817" spans="1:6" x14ac:dyDescent="0.3">
      <c r="A1817" s="7">
        <v>2017</v>
      </c>
      <c r="B1817" s="8" t="s">
        <v>58</v>
      </c>
      <c r="C1817" s="8" t="s">
        <v>42</v>
      </c>
      <c r="D1817" s="14">
        <v>11679</v>
      </c>
      <c r="E1817" s="14">
        <v>181402</v>
      </c>
      <c r="F1817" s="15">
        <v>42492</v>
      </c>
    </row>
    <row r="1818" spans="1:6" x14ac:dyDescent="0.3">
      <c r="A1818" s="7">
        <v>2017</v>
      </c>
      <c r="B1818" s="8" t="s">
        <v>58</v>
      </c>
      <c r="C1818" s="8" t="s">
        <v>43</v>
      </c>
      <c r="D1818" s="14">
        <v>2460</v>
      </c>
      <c r="E1818" s="14">
        <v>62109</v>
      </c>
      <c r="F1818" s="15">
        <v>45259</v>
      </c>
    </row>
    <row r="1819" spans="1:6" x14ac:dyDescent="0.3">
      <c r="A1819" s="7">
        <v>2017</v>
      </c>
      <c r="B1819" s="8" t="s">
        <v>58</v>
      </c>
      <c r="C1819" s="8" t="s">
        <v>44</v>
      </c>
      <c r="D1819" s="14">
        <v>42910</v>
      </c>
      <c r="E1819" s="14">
        <v>496944</v>
      </c>
      <c r="F1819" s="15">
        <v>48573</v>
      </c>
    </row>
    <row r="1820" spans="1:6" x14ac:dyDescent="0.3">
      <c r="A1820" s="7">
        <v>2017</v>
      </c>
      <c r="B1820" s="8" t="s">
        <v>58</v>
      </c>
      <c r="C1820" s="8" t="s">
        <v>45</v>
      </c>
      <c r="D1820" s="14">
        <v>56689</v>
      </c>
      <c r="E1820" s="14">
        <v>451563</v>
      </c>
      <c r="F1820" s="15">
        <v>49782</v>
      </c>
    </row>
    <row r="1821" spans="1:6" x14ac:dyDescent="0.3">
      <c r="A1821" s="7">
        <v>2017</v>
      </c>
      <c r="B1821" s="8" t="s">
        <v>58</v>
      </c>
      <c r="C1821" s="8" t="s">
        <v>46</v>
      </c>
      <c r="D1821" s="14">
        <v>5679</v>
      </c>
      <c r="E1821" s="14">
        <v>123772</v>
      </c>
      <c r="F1821" s="15">
        <v>44732</v>
      </c>
    </row>
    <row r="1822" spans="1:6" x14ac:dyDescent="0.3">
      <c r="A1822" s="7">
        <v>2017</v>
      </c>
      <c r="B1822" s="8" t="s">
        <v>58</v>
      </c>
      <c r="C1822" s="8" t="s">
        <v>47</v>
      </c>
      <c r="D1822" s="14">
        <v>25989</v>
      </c>
      <c r="E1822" s="14">
        <v>428367</v>
      </c>
      <c r="F1822" s="15">
        <v>47663</v>
      </c>
    </row>
    <row r="1823" spans="1:6" x14ac:dyDescent="0.3">
      <c r="A1823" s="7">
        <v>2017</v>
      </c>
      <c r="B1823" s="8" t="s">
        <v>58</v>
      </c>
      <c r="C1823" s="8" t="s">
        <v>48</v>
      </c>
      <c r="D1823" s="14">
        <v>3268</v>
      </c>
      <c r="E1823" s="14">
        <v>26479</v>
      </c>
      <c r="F1823" s="15">
        <v>41913</v>
      </c>
    </row>
    <row r="1824" spans="1:6" x14ac:dyDescent="0.3">
      <c r="A1824" s="7">
        <v>2017</v>
      </c>
      <c r="B1824" s="8" t="s">
        <v>59</v>
      </c>
      <c r="C1824" s="8" t="s">
        <v>1</v>
      </c>
      <c r="D1824" s="14">
        <v>10741</v>
      </c>
      <c r="E1824" s="14">
        <v>202336</v>
      </c>
      <c r="F1824" s="15">
        <v>16222</v>
      </c>
    </row>
    <row r="1825" spans="1:6" x14ac:dyDescent="0.3">
      <c r="A1825" s="7">
        <v>2017</v>
      </c>
      <c r="B1825" s="8" t="s">
        <v>59</v>
      </c>
      <c r="C1825" s="8" t="s">
        <v>2</v>
      </c>
      <c r="D1825" s="14">
        <v>12771</v>
      </c>
      <c r="E1825" s="14">
        <v>317076</v>
      </c>
      <c r="F1825" s="15">
        <v>23505</v>
      </c>
    </row>
    <row r="1826" spans="1:6" x14ac:dyDescent="0.3">
      <c r="A1826" s="7">
        <v>2017</v>
      </c>
      <c r="B1826" s="8" t="s">
        <v>59</v>
      </c>
      <c r="C1826" s="8" t="s">
        <v>3</v>
      </c>
      <c r="D1826" s="14">
        <v>7024</v>
      </c>
      <c r="E1826" s="14">
        <v>116690</v>
      </c>
      <c r="F1826" s="15">
        <v>16181</v>
      </c>
    </row>
    <row r="1827" spans="1:6" x14ac:dyDescent="0.3">
      <c r="A1827" s="7">
        <v>2017</v>
      </c>
      <c r="B1827" s="8" t="s">
        <v>59</v>
      </c>
      <c r="C1827" s="8" t="s">
        <v>4</v>
      </c>
      <c r="D1827" s="14">
        <v>103495</v>
      </c>
      <c r="E1827" s="14">
        <v>1935980</v>
      </c>
      <c r="F1827" s="15">
        <v>29214</v>
      </c>
    </row>
    <row r="1828" spans="1:6" x14ac:dyDescent="0.3">
      <c r="A1828" s="7">
        <v>2017</v>
      </c>
      <c r="B1828" s="8" t="s">
        <v>59</v>
      </c>
      <c r="C1828" s="8" t="s">
        <v>5</v>
      </c>
      <c r="D1828" s="14">
        <v>16627</v>
      </c>
      <c r="E1828" s="14">
        <v>333190</v>
      </c>
      <c r="F1828" s="15">
        <v>24462</v>
      </c>
    </row>
    <row r="1829" spans="1:6" x14ac:dyDescent="0.3">
      <c r="A1829" s="7">
        <v>2017</v>
      </c>
      <c r="B1829" s="8" t="s">
        <v>59</v>
      </c>
      <c r="C1829" s="8" t="s">
        <v>6</v>
      </c>
      <c r="D1829" s="14">
        <v>10338</v>
      </c>
      <c r="E1829" s="14">
        <v>156514</v>
      </c>
      <c r="F1829" s="15">
        <v>23066</v>
      </c>
    </row>
    <row r="1830" spans="1:6" x14ac:dyDescent="0.3">
      <c r="A1830" s="7">
        <v>2017</v>
      </c>
      <c r="B1830" s="8" t="s">
        <v>59</v>
      </c>
      <c r="C1830" s="8" t="s">
        <v>7</v>
      </c>
      <c r="D1830" s="14">
        <v>2565</v>
      </c>
      <c r="E1830" s="14">
        <v>50272</v>
      </c>
      <c r="F1830" s="15">
        <v>19997</v>
      </c>
    </row>
    <row r="1831" spans="1:6" x14ac:dyDescent="0.3">
      <c r="A1831" s="7">
        <v>2017</v>
      </c>
      <c r="B1831" s="8" t="s">
        <v>59</v>
      </c>
      <c r="C1831" s="8" t="s">
        <v>8</v>
      </c>
      <c r="D1831" s="14">
        <v>55396</v>
      </c>
      <c r="E1831" s="14">
        <v>1198478</v>
      </c>
      <c r="F1831" s="15">
        <v>24953</v>
      </c>
    </row>
    <row r="1832" spans="1:6" x14ac:dyDescent="0.3">
      <c r="A1832" s="7">
        <v>2017</v>
      </c>
      <c r="B1832" s="8" t="s">
        <v>59</v>
      </c>
      <c r="C1832" s="8" t="s">
        <v>9</v>
      </c>
      <c r="D1832" s="14">
        <v>23538</v>
      </c>
      <c r="E1832" s="14">
        <v>476035</v>
      </c>
      <c r="F1832" s="15">
        <v>20142</v>
      </c>
    </row>
    <row r="1833" spans="1:6" x14ac:dyDescent="0.3">
      <c r="A1833" s="7">
        <v>2017</v>
      </c>
      <c r="B1833" s="8" t="s">
        <v>59</v>
      </c>
      <c r="C1833" s="8" t="s">
        <v>10</v>
      </c>
      <c r="D1833" s="14">
        <v>4906</v>
      </c>
      <c r="E1833" s="14">
        <v>74928</v>
      </c>
      <c r="F1833" s="15">
        <v>16382</v>
      </c>
    </row>
    <row r="1834" spans="1:6" x14ac:dyDescent="0.3">
      <c r="A1834" s="7">
        <v>2017</v>
      </c>
      <c r="B1834" s="8" t="s">
        <v>59</v>
      </c>
      <c r="C1834" s="8" t="s">
        <v>11</v>
      </c>
      <c r="D1834" s="14">
        <v>32076</v>
      </c>
      <c r="E1834" s="14">
        <v>610100</v>
      </c>
      <c r="F1834" s="15">
        <v>22930</v>
      </c>
    </row>
    <row r="1835" spans="1:6" x14ac:dyDescent="0.3">
      <c r="A1835" s="7">
        <v>2017</v>
      </c>
      <c r="B1835" s="8" t="s">
        <v>59</v>
      </c>
      <c r="C1835" s="8" t="s">
        <v>12</v>
      </c>
      <c r="D1835" s="14">
        <v>15273</v>
      </c>
      <c r="E1835" s="14">
        <v>308506</v>
      </c>
      <c r="F1835" s="15">
        <v>18223</v>
      </c>
    </row>
    <row r="1836" spans="1:6" x14ac:dyDescent="0.3">
      <c r="A1836" s="7">
        <v>2017</v>
      </c>
      <c r="B1836" s="8" t="s">
        <v>59</v>
      </c>
      <c r="C1836" s="8" t="s">
        <v>13</v>
      </c>
      <c r="D1836" s="14">
        <v>8532</v>
      </c>
      <c r="E1836" s="14">
        <v>143101</v>
      </c>
      <c r="F1836" s="15">
        <v>16280</v>
      </c>
    </row>
    <row r="1837" spans="1:6" x14ac:dyDescent="0.3">
      <c r="A1837" s="7">
        <v>2017</v>
      </c>
      <c r="B1837" s="8" t="s">
        <v>59</v>
      </c>
      <c r="C1837" s="8" t="s">
        <v>14</v>
      </c>
      <c r="D1837" s="14">
        <v>6839</v>
      </c>
      <c r="E1837" s="14">
        <v>128449</v>
      </c>
      <c r="F1837" s="15">
        <v>16257</v>
      </c>
    </row>
    <row r="1838" spans="1:6" x14ac:dyDescent="0.3">
      <c r="A1838" s="7">
        <v>2017</v>
      </c>
      <c r="B1838" s="8" t="s">
        <v>59</v>
      </c>
      <c r="C1838" s="8" t="s">
        <v>15</v>
      </c>
      <c r="D1838" s="14">
        <v>10063</v>
      </c>
      <c r="E1838" s="14">
        <v>196846</v>
      </c>
      <c r="F1838" s="15">
        <v>17160</v>
      </c>
    </row>
    <row r="1839" spans="1:6" x14ac:dyDescent="0.3">
      <c r="A1839" s="7">
        <v>2017</v>
      </c>
      <c r="B1839" s="8" t="s">
        <v>59</v>
      </c>
      <c r="C1839" s="8" t="s">
        <v>16</v>
      </c>
      <c r="D1839" s="14">
        <v>12015</v>
      </c>
      <c r="E1839" s="14">
        <v>233109</v>
      </c>
      <c r="F1839" s="15">
        <v>20623</v>
      </c>
    </row>
    <row r="1840" spans="1:6" x14ac:dyDescent="0.3">
      <c r="A1840" s="7">
        <v>2017</v>
      </c>
      <c r="B1840" s="8" t="s">
        <v>59</v>
      </c>
      <c r="C1840" s="8" t="s">
        <v>17</v>
      </c>
      <c r="D1840" s="14">
        <v>5119</v>
      </c>
      <c r="E1840" s="14">
        <v>67354</v>
      </c>
      <c r="F1840" s="15">
        <v>21119</v>
      </c>
    </row>
    <row r="1841" spans="1:6" x14ac:dyDescent="0.3">
      <c r="A1841" s="7">
        <v>2017</v>
      </c>
      <c r="B1841" s="8" t="s">
        <v>59</v>
      </c>
      <c r="C1841" s="8" t="s">
        <v>18</v>
      </c>
      <c r="D1841" s="14">
        <v>14733</v>
      </c>
      <c r="E1841" s="14">
        <v>280195</v>
      </c>
      <c r="F1841" s="15">
        <v>23436</v>
      </c>
    </row>
    <row r="1842" spans="1:6" x14ac:dyDescent="0.3">
      <c r="A1842" s="7">
        <v>2017</v>
      </c>
      <c r="B1842" s="8" t="s">
        <v>59</v>
      </c>
      <c r="C1842" s="8" t="s">
        <v>19</v>
      </c>
      <c r="D1842" s="14">
        <v>20695</v>
      </c>
      <c r="E1842" s="14">
        <v>369350</v>
      </c>
      <c r="F1842" s="15">
        <v>26779</v>
      </c>
    </row>
    <row r="1843" spans="1:6" x14ac:dyDescent="0.3">
      <c r="A1843" s="7">
        <v>2017</v>
      </c>
      <c r="B1843" s="8" t="s">
        <v>59</v>
      </c>
      <c r="C1843" s="8" t="s">
        <v>20</v>
      </c>
      <c r="D1843" s="14">
        <v>21783</v>
      </c>
      <c r="E1843" s="14">
        <v>431316</v>
      </c>
      <c r="F1843" s="15">
        <v>19834</v>
      </c>
    </row>
    <row r="1844" spans="1:6" x14ac:dyDescent="0.3">
      <c r="A1844" s="7">
        <v>2017</v>
      </c>
      <c r="B1844" s="8" t="s">
        <v>59</v>
      </c>
      <c r="C1844" s="8" t="s">
        <v>21</v>
      </c>
      <c r="D1844" s="14">
        <v>14729</v>
      </c>
      <c r="E1844" s="14">
        <v>270490</v>
      </c>
      <c r="F1844" s="15">
        <v>21386</v>
      </c>
    </row>
    <row r="1845" spans="1:6" x14ac:dyDescent="0.3">
      <c r="A1845" s="7">
        <v>2017</v>
      </c>
      <c r="B1845" s="8" t="s">
        <v>59</v>
      </c>
      <c r="C1845" s="8" t="s">
        <v>22</v>
      </c>
      <c r="D1845" s="14">
        <v>6381</v>
      </c>
      <c r="E1845" s="14">
        <v>134613</v>
      </c>
      <c r="F1845" s="15">
        <v>17011</v>
      </c>
    </row>
    <row r="1846" spans="1:6" x14ac:dyDescent="0.3">
      <c r="A1846" s="7">
        <v>2017</v>
      </c>
      <c r="B1846" s="8" t="s">
        <v>59</v>
      </c>
      <c r="C1846" s="8" t="s">
        <v>23</v>
      </c>
      <c r="D1846" s="14">
        <v>14797</v>
      </c>
      <c r="E1846" s="14">
        <v>303022</v>
      </c>
      <c r="F1846" s="15">
        <v>20276</v>
      </c>
    </row>
    <row r="1847" spans="1:6" x14ac:dyDescent="0.3">
      <c r="A1847" s="7">
        <v>2017</v>
      </c>
      <c r="B1847" s="8" t="s">
        <v>59</v>
      </c>
      <c r="C1847" s="8" t="s">
        <v>24</v>
      </c>
      <c r="D1847" s="14">
        <v>4978</v>
      </c>
      <c r="E1847" s="14">
        <v>64958</v>
      </c>
      <c r="F1847" s="15">
        <v>18625</v>
      </c>
    </row>
    <row r="1848" spans="1:6" x14ac:dyDescent="0.3">
      <c r="A1848" s="7">
        <v>2017</v>
      </c>
      <c r="B1848" s="8" t="s">
        <v>59</v>
      </c>
      <c r="C1848" s="8" t="s">
        <v>25</v>
      </c>
      <c r="D1848" s="14">
        <v>5508</v>
      </c>
      <c r="E1848" s="14">
        <v>91776</v>
      </c>
      <c r="F1848" s="15">
        <v>16253</v>
      </c>
    </row>
    <row r="1849" spans="1:6" x14ac:dyDescent="0.3">
      <c r="A1849" s="7">
        <v>2017</v>
      </c>
      <c r="B1849" s="8" t="s">
        <v>59</v>
      </c>
      <c r="C1849" s="8" t="s">
        <v>26</v>
      </c>
      <c r="D1849" s="14">
        <v>8246</v>
      </c>
      <c r="E1849" s="14">
        <v>348888</v>
      </c>
      <c r="F1849" s="15">
        <v>33048</v>
      </c>
    </row>
    <row r="1850" spans="1:6" x14ac:dyDescent="0.3">
      <c r="A1850" s="7">
        <v>2017</v>
      </c>
      <c r="B1850" s="8" t="s">
        <v>59</v>
      </c>
      <c r="C1850" s="8" t="s">
        <v>27</v>
      </c>
      <c r="D1850" s="14">
        <v>4512</v>
      </c>
      <c r="E1850" s="14">
        <v>70729</v>
      </c>
      <c r="F1850" s="15">
        <v>21058</v>
      </c>
    </row>
    <row r="1851" spans="1:6" x14ac:dyDescent="0.3">
      <c r="A1851" s="7">
        <v>2017</v>
      </c>
      <c r="B1851" s="8" t="s">
        <v>59</v>
      </c>
      <c r="C1851" s="8" t="s">
        <v>28</v>
      </c>
      <c r="D1851" s="14">
        <v>23501</v>
      </c>
      <c r="E1851" s="14">
        <v>372798</v>
      </c>
      <c r="F1851" s="15">
        <v>24851</v>
      </c>
    </row>
    <row r="1852" spans="1:6" x14ac:dyDescent="0.3">
      <c r="A1852" s="7">
        <v>2017</v>
      </c>
      <c r="B1852" s="8" t="s">
        <v>59</v>
      </c>
      <c r="C1852" s="8" t="s">
        <v>29</v>
      </c>
      <c r="D1852" s="14">
        <v>4929</v>
      </c>
      <c r="E1852" s="14">
        <v>96321</v>
      </c>
      <c r="F1852" s="15">
        <v>17901</v>
      </c>
    </row>
    <row r="1853" spans="1:6" x14ac:dyDescent="0.3">
      <c r="A1853" s="7">
        <v>2017</v>
      </c>
      <c r="B1853" s="8" t="s">
        <v>59</v>
      </c>
      <c r="C1853" s="8" t="s">
        <v>30</v>
      </c>
      <c r="D1853" s="14">
        <v>66166</v>
      </c>
      <c r="E1853" s="14">
        <v>944545</v>
      </c>
      <c r="F1853" s="15">
        <v>32365</v>
      </c>
    </row>
    <row r="1854" spans="1:6" x14ac:dyDescent="0.3">
      <c r="A1854" s="7">
        <v>2017</v>
      </c>
      <c r="B1854" s="8" t="s">
        <v>59</v>
      </c>
      <c r="C1854" s="8" t="s">
        <v>31</v>
      </c>
      <c r="D1854" s="14">
        <v>25235</v>
      </c>
      <c r="E1854" s="14">
        <v>493758</v>
      </c>
      <c r="F1854" s="15">
        <v>19111</v>
      </c>
    </row>
    <row r="1855" spans="1:6" x14ac:dyDescent="0.3">
      <c r="A1855" s="7">
        <v>2017</v>
      </c>
      <c r="B1855" s="8" t="s">
        <v>59</v>
      </c>
      <c r="C1855" s="8" t="s">
        <v>32</v>
      </c>
      <c r="D1855" s="14">
        <v>2600</v>
      </c>
      <c r="E1855" s="14">
        <v>39316</v>
      </c>
      <c r="F1855" s="15">
        <v>17400</v>
      </c>
    </row>
    <row r="1856" spans="1:6" x14ac:dyDescent="0.3">
      <c r="A1856" s="7">
        <v>2017</v>
      </c>
      <c r="B1856" s="8" t="s">
        <v>59</v>
      </c>
      <c r="C1856" s="8" t="s">
        <v>33</v>
      </c>
      <c r="D1856" s="14">
        <v>28218</v>
      </c>
      <c r="E1856" s="14">
        <v>560257</v>
      </c>
      <c r="F1856" s="15">
        <v>18856</v>
      </c>
    </row>
    <row r="1857" spans="1:6" x14ac:dyDescent="0.3">
      <c r="A1857" s="7">
        <v>2017</v>
      </c>
      <c r="B1857" s="8" t="s">
        <v>59</v>
      </c>
      <c r="C1857" s="8" t="s">
        <v>34</v>
      </c>
      <c r="D1857" s="14">
        <v>8969</v>
      </c>
      <c r="E1857" s="14">
        <v>167540</v>
      </c>
      <c r="F1857" s="15">
        <v>17729</v>
      </c>
    </row>
    <row r="1858" spans="1:6" x14ac:dyDescent="0.3">
      <c r="A1858" s="7">
        <v>2017</v>
      </c>
      <c r="B1858" s="8" t="s">
        <v>59</v>
      </c>
      <c r="C1858" s="8" t="s">
        <v>35</v>
      </c>
      <c r="D1858" s="14">
        <v>13588</v>
      </c>
      <c r="E1858" s="14">
        <v>205823</v>
      </c>
      <c r="F1858" s="15">
        <v>21379</v>
      </c>
    </row>
    <row r="1859" spans="1:6" x14ac:dyDescent="0.3">
      <c r="A1859" s="7">
        <v>2017</v>
      </c>
      <c r="B1859" s="8" t="s">
        <v>59</v>
      </c>
      <c r="C1859" s="8" t="s">
        <v>36</v>
      </c>
      <c r="D1859" s="14">
        <v>33146</v>
      </c>
      <c r="E1859" s="14">
        <v>566779</v>
      </c>
      <c r="F1859" s="15">
        <v>20389</v>
      </c>
    </row>
    <row r="1860" spans="1:6" x14ac:dyDescent="0.3">
      <c r="A1860" s="7">
        <v>2017</v>
      </c>
      <c r="B1860" s="8" t="s">
        <v>59</v>
      </c>
      <c r="C1860" s="8" t="s">
        <v>37</v>
      </c>
      <c r="D1860" s="14">
        <v>3683</v>
      </c>
      <c r="E1860" s="14">
        <v>58183</v>
      </c>
      <c r="F1860" s="15">
        <v>22353</v>
      </c>
    </row>
    <row r="1861" spans="1:6" x14ac:dyDescent="0.3">
      <c r="A1861" s="7">
        <v>2017</v>
      </c>
      <c r="B1861" s="8" t="s">
        <v>59</v>
      </c>
      <c r="C1861" s="8" t="s">
        <v>38</v>
      </c>
      <c r="D1861" s="14">
        <v>12337</v>
      </c>
      <c r="E1861" s="14">
        <v>254069</v>
      </c>
      <c r="F1861" s="15">
        <v>17885</v>
      </c>
    </row>
    <row r="1862" spans="1:6" x14ac:dyDescent="0.3">
      <c r="A1862" s="7">
        <v>2017</v>
      </c>
      <c r="B1862" s="8" t="s">
        <v>59</v>
      </c>
      <c r="C1862" s="8" t="s">
        <v>39</v>
      </c>
      <c r="D1862" s="14">
        <v>3109</v>
      </c>
      <c r="E1862" s="14">
        <v>46967</v>
      </c>
      <c r="F1862" s="15">
        <v>16460</v>
      </c>
    </row>
    <row r="1863" spans="1:6" x14ac:dyDescent="0.3">
      <c r="A1863" s="7">
        <v>2017</v>
      </c>
      <c r="B1863" s="8" t="s">
        <v>59</v>
      </c>
      <c r="C1863" s="8" t="s">
        <v>40</v>
      </c>
      <c r="D1863" s="14">
        <v>15932</v>
      </c>
      <c r="E1863" s="14">
        <v>328856</v>
      </c>
      <c r="F1863" s="15">
        <v>22398</v>
      </c>
    </row>
    <row r="1864" spans="1:6" x14ac:dyDescent="0.3">
      <c r="A1864" s="7">
        <v>2017</v>
      </c>
      <c r="B1864" s="8" t="s">
        <v>59</v>
      </c>
      <c r="C1864" s="8" t="s">
        <v>41</v>
      </c>
      <c r="D1864" s="14">
        <v>60744</v>
      </c>
      <c r="E1864" s="14">
        <v>1317762</v>
      </c>
      <c r="F1864" s="15">
        <v>21234</v>
      </c>
    </row>
    <row r="1865" spans="1:6" x14ac:dyDescent="0.3">
      <c r="A1865" s="7">
        <v>2017</v>
      </c>
      <c r="B1865" s="8" t="s">
        <v>59</v>
      </c>
      <c r="C1865" s="8" t="s">
        <v>42</v>
      </c>
      <c r="D1865" s="14">
        <v>7068</v>
      </c>
      <c r="E1865" s="14">
        <v>142985</v>
      </c>
      <c r="F1865" s="15">
        <v>19510</v>
      </c>
    </row>
    <row r="1866" spans="1:6" x14ac:dyDescent="0.3">
      <c r="A1866" s="7">
        <v>2017</v>
      </c>
      <c r="B1866" s="8" t="s">
        <v>59</v>
      </c>
      <c r="C1866" s="8" t="s">
        <v>43</v>
      </c>
      <c r="D1866" s="14">
        <v>2266</v>
      </c>
      <c r="E1866" s="14">
        <v>37337</v>
      </c>
      <c r="F1866" s="15">
        <v>22375</v>
      </c>
    </row>
    <row r="1867" spans="1:6" x14ac:dyDescent="0.3">
      <c r="A1867" s="7">
        <v>2017</v>
      </c>
      <c r="B1867" s="8" t="s">
        <v>59</v>
      </c>
      <c r="C1867" s="8" t="s">
        <v>44</v>
      </c>
      <c r="D1867" s="14">
        <v>20269</v>
      </c>
      <c r="E1867" s="14">
        <v>402475</v>
      </c>
      <c r="F1867" s="15">
        <v>20078</v>
      </c>
    </row>
    <row r="1868" spans="1:6" x14ac:dyDescent="0.3">
      <c r="A1868" s="7">
        <v>2017</v>
      </c>
      <c r="B1868" s="8" t="s">
        <v>59</v>
      </c>
      <c r="C1868" s="8" t="s">
        <v>45</v>
      </c>
      <c r="D1868" s="14">
        <v>20065</v>
      </c>
      <c r="E1868" s="14">
        <v>325141</v>
      </c>
      <c r="F1868" s="15">
        <v>24250</v>
      </c>
    </row>
    <row r="1869" spans="1:6" x14ac:dyDescent="0.3">
      <c r="A1869" s="7">
        <v>2017</v>
      </c>
      <c r="B1869" s="8" t="s">
        <v>59</v>
      </c>
      <c r="C1869" s="8" t="s">
        <v>46</v>
      </c>
      <c r="D1869" s="14">
        <v>4646</v>
      </c>
      <c r="E1869" s="14">
        <v>74275</v>
      </c>
      <c r="F1869" s="15">
        <v>17335</v>
      </c>
    </row>
    <row r="1870" spans="1:6" x14ac:dyDescent="0.3">
      <c r="A1870" s="7">
        <v>2017</v>
      </c>
      <c r="B1870" s="8" t="s">
        <v>59</v>
      </c>
      <c r="C1870" s="8" t="s">
        <v>47</v>
      </c>
      <c r="D1870" s="14">
        <v>16599</v>
      </c>
      <c r="E1870" s="14">
        <v>279749</v>
      </c>
      <c r="F1870" s="15">
        <v>17248</v>
      </c>
    </row>
    <row r="1871" spans="1:6" x14ac:dyDescent="0.3">
      <c r="A1871" s="7">
        <v>2017</v>
      </c>
      <c r="B1871" s="8" t="s">
        <v>59</v>
      </c>
      <c r="C1871" s="8" t="s">
        <v>48</v>
      </c>
      <c r="D1871" s="14">
        <v>2355</v>
      </c>
      <c r="E1871" s="14">
        <v>36297</v>
      </c>
      <c r="F1871" s="15">
        <v>19867</v>
      </c>
    </row>
    <row r="1872" spans="1:6" x14ac:dyDescent="0.3">
      <c r="A1872" s="7">
        <v>2017</v>
      </c>
      <c r="B1872" s="8" t="s">
        <v>60</v>
      </c>
      <c r="C1872" s="8" t="s">
        <v>1</v>
      </c>
      <c r="D1872" s="14">
        <v>9603</v>
      </c>
      <c r="E1872" s="14">
        <v>45296</v>
      </c>
      <c r="F1872" s="15">
        <v>36539</v>
      </c>
    </row>
    <row r="1873" spans="1:6" x14ac:dyDescent="0.3">
      <c r="A1873" s="7">
        <v>2017</v>
      </c>
      <c r="B1873" s="8" t="s">
        <v>60</v>
      </c>
      <c r="C1873" s="8" t="s">
        <v>2</v>
      </c>
      <c r="D1873" s="14">
        <v>10297</v>
      </c>
      <c r="E1873" s="14">
        <v>71320</v>
      </c>
      <c r="F1873" s="15">
        <v>37061</v>
      </c>
    </row>
    <row r="1874" spans="1:6" x14ac:dyDescent="0.3">
      <c r="A1874" s="7">
        <v>2017</v>
      </c>
      <c r="B1874" s="8" t="s">
        <v>60</v>
      </c>
      <c r="C1874" s="8" t="s">
        <v>3</v>
      </c>
      <c r="D1874" s="14">
        <v>5315</v>
      </c>
      <c r="E1874" s="14">
        <v>24804</v>
      </c>
      <c r="F1874" s="15">
        <v>33179</v>
      </c>
    </row>
    <row r="1875" spans="1:6" x14ac:dyDescent="0.3">
      <c r="A1875" s="7">
        <v>2017</v>
      </c>
      <c r="B1875" s="8" t="s">
        <v>60</v>
      </c>
      <c r="C1875" s="8" t="s">
        <v>4</v>
      </c>
      <c r="D1875" s="14">
        <v>88470</v>
      </c>
      <c r="E1875" s="14">
        <v>527915</v>
      </c>
      <c r="F1875" s="15">
        <v>40412</v>
      </c>
    </row>
    <row r="1876" spans="1:6" x14ac:dyDescent="0.3">
      <c r="A1876" s="7">
        <v>2017</v>
      </c>
      <c r="B1876" s="8" t="s">
        <v>60</v>
      </c>
      <c r="C1876" s="8" t="s">
        <v>5</v>
      </c>
      <c r="D1876" s="14">
        <v>15777</v>
      </c>
      <c r="E1876" s="14">
        <v>80034</v>
      </c>
      <c r="F1876" s="15">
        <v>39558</v>
      </c>
    </row>
    <row r="1877" spans="1:6" x14ac:dyDescent="0.3">
      <c r="A1877" s="7">
        <v>2017</v>
      </c>
      <c r="B1877" s="8" t="s">
        <v>60</v>
      </c>
      <c r="C1877" s="8" t="s">
        <v>6</v>
      </c>
      <c r="D1877" s="14">
        <v>16529</v>
      </c>
      <c r="E1877" s="14">
        <v>64279</v>
      </c>
      <c r="F1877" s="15">
        <v>33397</v>
      </c>
    </row>
    <row r="1878" spans="1:6" x14ac:dyDescent="0.3">
      <c r="A1878" s="7">
        <v>2017</v>
      </c>
      <c r="B1878" s="8" t="s">
        <v>60</v>
      </c>
      <c r="C1878" s="8" t="s">
        <v>7</v>
      </c>
      <c r="D1878" s="14">
        <v>2003</v>
      </c>
      <c r="E1878" s="14">
        <v>11881</v>
      </c>
      <c r="F1878" s="15">
        <v>33610</v>
      </c>
    </row>
    <row r="1879" spans="1:6" x14ac:dyDescent="0.3">
      <c r="A1879" s="7">
        <v>2017</v>
      </c>
      <c r="B1879" s="8" t="s">
        <v>60</v>
      </c>
      <c r="C1879" s="8" t="s">
        <v>8</v>
      </c>
      <c r="D1879" s="14">
        <v>54928</v>
      </c>
      <c r="E1879" s="14">
        <v>273903</v>
      </c>
      <c r="F1879" s="15">
        <v>35319</v>
      </c>
    </row>
    <row r="1880" spans="1:6" x14ac:dyDescent="0.3">
      <c r="A1880" s="7">
        <v>2017</v>
      </c>
      <c r="B1880" s="8" t="s">
        <v>60</v>
      </c>
      <c r="C1880" s="8" t="s">
        <v>9</v>
      </c>
      <c r="D1880" s="14">
        <v>18097</v>
      </c>
      <c r="E1880" s="14">
        <v>106445</v>
      </c>
      <c r="F1880" s="15">
        <v>35520</v>
      </c>
    </row>
    <row r="1881" spans="1:6" x14ac:dyDescent="0.3">
      <c r="A1881" s="7">
        <v>2017</v>
      </c>
      <c r="B1881" s="8" t="s">
        <v>60</v>
      </c>
      <c r="C1881" s="8" t="s">
        <v>10</v>
      </c>
      <c r="D1881" s="14">
        <v>3888</v>
      </c>
      <c r="E1881" s="14">
        <v>17915</v>
      </c>
      <c r="F1881" s="15">
        <v>30056</v>
      </c>
    </row>
    <row r="1882" spans="1:6" x14ac:dyDescent="0.3">
      <c r="A1882" s="7">
        <v>2017</v>
      </c>
      <c r="B1882" s="8" t="s">
        <v>60</v>
      </c>
      <c r="C1882" s="8" t="s">
        <v>11</v>
      </c>
      <c r="D1882" s="14">
        <v>39500</v>
      </c>
      <c r="E1882" s="14">
        <v>206494</v>
      </c>
      <c r="F1882" s="15">
        <v>41240</v>
      </c>
    </row>
    <row r="1883" spans="1:6" x14ac:dyDescent="0.3">
      <c r="A1883" s="7">
        <v>2017</v>
      </c>
      <c r="B1883" s="8" t="s">
        <v>60</v>
      </c>
      <c r="C1883" s="8" t="s">
        <v>12</v>
      </c>
      <c r="D1883" s="14">
        <v>13113</v>
      </c>
      <c r="E1883" s="14">
        <v>86944</v>
      </c>
      <c r="F1883" s="15">
        <v>31882</v>
      </c>
    </row>
    <row r="1884" spans="1:6" x14ac:dyDescent="0.3">
      <c r="A1884" s="7">
        <v>2017</v>
      </c>
      <c r="B1884" s="8" t="s">
        <v>60</v>
      </c>
      <c r="C1884" s="8" t="s">
        <v>13</v>
      </c>
      <c r="D1884" s="14">
        <v>8710</v>
      </c>
      <c r="E1884" s="14">
        <v>42498</v>
      </c>
      <c r="F1884" s="15">
        <v>33069</v>
      </c>
    </row>
    <row r="1885" spans="1:6" x14ac:dyDescent="0.3">
      <c r="A1885" s="7">
        <v>2017</v>
      </c>
      <c r="B1885" s="8" t="s">
        <v>60</v>
      </c>
      <c r="C1885" s="8" t="s">
        <v>14</v>
      </c>
      <c r="D1885" s="14">
        <v>6031</v>
      </c>
      <c r="E1885" s="14">
        <v>33578</v>
      </c>
      <c r="F1885" s="15">
        <v>33575</v>
      </c>
    </row>
    <row r="1886" spans="1:6" x14ac:dyDescent="0.3">
      <c r="A1886" s="7">
        <v>2017</v>
      </c>
      <c r="B1886" s="8" t="s">
        <v>60</v>
      </c>
      <c r="C1886" s="8" t="s">
        <v>15</v>
      </c>
      <c r="D1886" s="14">
        <v>10912</v>
      </c>
      <c r="E1886" s="14">
        <v>46382</v>
      </c>
      <c r="F1886" s="15">
        <v>32330</v>
      </c>
    </row>
    <row r="1887" spans="1:6" x14ac:dyDescent="0.3">
      <c r="A1887" s="7">
        <v>2017</v>
      </c>
      <c r="B1887" s="8" t="s">
        <v>60</v>
      </c>
      <c r="C1887" s="8" t="s">
        <v>16</v>
      </c>
      <c r="D1887" s="14">
        <v>9250</v>
      </c>
      <c r="E1887" s="14">
        <v>45963</v>
      </c>
      <c r="F1887" s="15">
        <v>36468</v>
      </c>
    </row>
    <row r="1888" spans="1:6" x14ac:dyDescent="0.3">
      <c r="A1888" s="7">
        <v>2017</v>
      </c>
      <c r="B1888" s="8" t="s">
        <v>60</v>
      </c>
      <c r="C1888" s="8" t="s">
        <v>17</v>
      </c>
      <c r="D1888" s="14">
        <v>4028</v>
      </c>
      <c r="E1888" s="14">
        <v>17774</v>
      </c>
      <c r="F1888" s="15">
        <v>32993</v>
      </c>
    </row>
    <row r="1889" spans="1:6" x14ac:dyDescent="0.3">
      <c r="A1889" s="7">
        <v>2017</v>
      </c>
      <c r="B1889" s="8" t="s">
        <v>60</v>
      </c>
      <c r="C1889" s="8" t="s">
        <v>18</v>
      </c>
      <c r="D1889" s="14">
        <v>19506</v>
      </c>
      <c r="E1889" s="14">
        <v>91492</v>
      </c>
      <c r="F1889" s="15">
        <v>41793</v>
      </c>
    </row>
    <row r="1890" spans="1:6" x14ac:dyDescent="0.3">
      <c r="A1890" s="7">
        <v>2017</v>
      </c>
      <c r="B1890" s="8" t="s">
        <v>60</v>
      </c>
      <c r="C1890" s="8" t="s">
        <v>19</v>
      </c>
      <c r="D1890" s="14">
        <v>21677</v>
      </c>
      <c r="E1890" s="14">
        <v>118160</v>
      </c>
      <c r="F1890" s="15">
        <v>37032</v>
      </c>
    </row>
    <row r="1891" spans="1:6" x14ac:dyDescent="0.3">
      <c r="A1891" s="7">
        <v>2017</v>
      </c>
      <c r="B1891" s="8" t="s">
        <v>60</v>
      </c>
      <c r="C1891" s="8" t="s">
        <v>20</v>
      </c>
      <c r="D1891" s="14">
        <v>29930</v>
      </c>
      <c r="E1891" s="14">
        <v>137568</v>
      </c>
      <c r="F1891" s="15">
        <v>32157</v>
      </c>
    </row>
    <row r="1892" spans="1:6" x14ac:dyDescent="0.3">
      <c r="A1892" s="7">
        <v>2017</v>
      </c>
      <c r="B1892" s="8" t="s">
        <v>60</v>
      </c>
      <c r="C1892" s="8" t="s">
        <v>21</v>
      </c>
      <c r="D1892" s="14">
        <v>16226</v>
      </c>
      <c r="E1892" s="14">
        <v>90138</v>
      </c>
      <c r="F1892" s="15">
        <v>33237</v>
      </c>
    </row>
    <row r="1893" spans="1:6" x14ac:dyDescent="0.3">
      <c r="A1893" s="7">
        <v>2017</v>
      </c>
      <c r="B1893" s="8" t="s">
        <v>60</v>
      </c>
      <c r="C1893" s="8" t="s">
        <v>22</v>
      </c>
      <c r="D1893" s="14">
        <v>4726</v>
      </c>
      <c r="E1893" s="14">
        <v>21154</v>
      </c>
      <c r="F1893" s="15">
        <v>33958</v>
      </c>
    </row>
    <row r="1894" spans="1:6" x14ac:dyDescent="0.3">
      <c r="A1894" s="7">
        <v>2017</v>
      </c>
      <c r="B1894" s="8" t="s">
        <v>60</v>
      </c>
      <c r="C1894" s="8" t="s">
        <v>23</v>
      </c>
      <c r="D1894" s="14">
        <v>13734</v>
      </c>
      <c r="E1894" s="14">
        <v>76037</v>
      </c>
      <c r="F1894" s="15">
        <v>32705</v>
      </c>
    </row>
    <row r="1895" spans="1:6" x14ac:dyDescent="0.3">
      <c r="A1895" s="7">
        <v>2017</v>
      </c>
      <c r="B1895" s="8" t="s">
        <v>60</v>
      </c>
      <c r="C1895" s="8" t="s">
        <v>24</v>
      </c>
      <c r="D1895" s="14">
        <v>4094</v>
      </c>
      <c r="E1895" s="14">
        <v>17909</v>
      </c>
      <c r="F1895" s="15">
        <v>29177</v>
      </c>
    </row>
    <row r="1896" spans="1:6" x14ac:dyDescent="0.3">
      <c r="A1896" s="7">
        <v>2017</v>
      </c>
      <c r="B1896" s="8" t="s">
        <v>60</v>
      </c>
      <c r="C1896" s="8" t="s">
        <v>25</v>
      </c>
      <c r="D1896" s="14">
        <v>4671</v>
      </c>
      <c r="E1896" s="14">
        <v>25082</v>
      </c>
      <c r="F1896" s="15">
        <v>31310</v>
      </c>
    </row>
    <row r="1897" spans="1:6" x14ac:dyDescent="0.3">
      <c r="A1897" s="7">
        <v>2017</v>
      </c>
      <c r="B1897" s="8" t="s">
        <v>60</v>
      </c>
      <c r="C1897" s="8" t="s">
        <v>26</v>
      </c>
      <c r="D1897" s="14">
        <v>4959</v>
      </c>
      <c r="E1897" s="14">
        <v>33667</v>
      </c>
      <c r="F1897" s="15">
        <v>36336</v>
      </c>
    </row>
    <row r="1898" spans="1:6" x14ac:dyDescent="0.3">
      <c r="A1898" s="7">
        <v>2017</v>
      </c>
      <c r="B1898" s="8" t="s">
        <v>60</v>
      </c>
      <c r="C1898" s="8" t="s">
        <v>27</v>
      </c>
      <c r="D1898" s="14">
        <v>3871</v>
      </c>
      <c r="E1898" s="14">
        <v>20493</v>
      </c>
      <c r="F1898" s="15">
        <v>36646</v>
      </c>
    </row>
    <row r="1899" spans="1:6" x14ac:dyDescent="0.3">
      <c r="A1899" s="7">
        <v>2017</v>
      </c>
      <c r="B1899" s="8" t="s">
        <v>60</v>
      </c>
      <c r="C1899" s="8" t="s">
        <v>28</v>
      </c>
      <c r="D1899" s="14">
        <v>25881</v>
      </c>
      <c r="E1899" s="14">
        <v>136480</v>
      </c>
      <c r="F1899" s="15">
        <v>35059</v>
      </c>
    </row>
    <row r="1900" spans="1:6" x14ac:dyDescent="0.3">
      <c r="A1900" s="7">
        <v>2017</v>
      </c>
      <c r="B1900" s="8" t="s">
        <v>60</v>
      </c>
      <c r="C1900" s="8" t="s">
        <v>29</v>
      </c>
      <c r="D1900" s="14">
        <v>3961</v>
      </c>
      <c r="E1900" s="14">
        <v>20593</v>
      </c>
      <c r="F1900" s="15">
        <v>32578</v>
      </c>
    </row>
    <row r="1901" spans="1:6" x14ac:dyDescent="0.3">
      <c r="A1901" s="7">
        <v>2017</v>
      </c>
      <c r="B1901" s="8" t="s">
        <v>60</v>
      </c>
      <c r="C1901" s="8" t="s">
        <v>30</v>
      </c>
      <c r="D1901" s="14">
        <v>74536</v>
      </c>
      <c r="E1901" s="14">
        <v>369805</v>
      </c>
      <c r="F1901" s="15">
        <v>40436</v>
      </c>
    </row>
    <row r="1902" spans="1:6" x14ac:dyDescent="0.3">
      <c r="A1902" s="7">
        <v>2017</v>
      </c>
      <c r="B1902" s="8" t="s">
        <v>60</v>
      </c>
      <c r="C1902" s="8" t="s">
        <v>31</v>
      </c>
      <c r="D1902" s="14">
        <v>23024</v>
      </c>
      <c r="E1902" s="14">
        <v>107404</v>
      </c>
      <c r="F1902" s="15">
        <v>33978</v>
      </c>
    </row>
    <row r="1903" spans="1:6" x14ac:dyDescent="0.3">
      <c r="A1903" s="7">
        <v>2017</v>
      </c>
      <c r="B1903" s="8" t="s">
        <v>60</v>
      </c>
      <c r="C1903" s="8" t="s">
        <v>32</v>
      </c>
      <c r="D1903" s="14">
        <v>2040</v>
      </c>
      <c r="E1903" s="14">
        <v>12231</v>
      </c>
      <c r="F1903" s="15">
        <v>34167</v>
      </c>
    </row>
    <row r="1904" spans="1:6" x14ac:dyDescent="0.3">
      <c r="A1904" s="7">
        <v>2017</v>
      </c>
      <c r="B1904" s="8" t="s">
        <v>60</v>
      </c>
      <c r="C1904" s="8" t="s">
        <v>33</v>
      </c>
      <c r="D1904" s="14">
        <v>23601</v>
      </c>
      <c r="E1904" s="14">
        <v>155257</v>
      </c>
      <c r="F1904" s="15">
        <v>33039</v>
      </c>
    </row>
    <row r="1905" spans="1:6" x14ac:dyDescent="0.3">
      <c r="A1905" s="7">
        <v>2017</v>
      </c>
      <c r="B1905" s="8" t="s">
        <v>60</v>
      </c>
      <c r="C1905" s="8" t="s">
        <v>34</v>
      </c>
      <c r="D1905" s="14">
        <v>6751</v>
      </c>
      <c r="E1905" s="14">
        <v>35772</v>
      </c>
      <c r="F1905" s="15">
        <v>34306</v>
      </c>
    </row>
    <row r="1906" spans="1:6" x14ac:dyDescent="0.3">
      <c r="A1906" s="7">
        <v>2017</v>
      </c>
      <c r="B1906" s="8" t="s">
        <v>60</v>
      </c>
      <c r="C1906" s="8" t="s">
        <v>35</v>
      </c>
      <c r="D1906" s="14">
        <v>22753</v>
      </c>
      <c r="E1906" s="14">
        <v>77028</v>
      </c>
      <c r="F1906" s="15">
        <v>31901</v>
      </c>
    </row>
    <row r="1907" spans="1:6" x14ac:dyDescent="0.3">
      <c r="A1907" s="7">
        <v>2017</v>
      </c>
      <c r="B1907" s="8" t="s">
        <v>60</v>
      </c>
      <c r="C1907" s="8" t="s">
        <v>36</v>
      </c>
      <c r="D1907" s="14">
        <v>32259</v>
      </c>
      <c r="E1907" s="14">
        <v>197527</v>
      </c>
      <c r="F1907" s="15">
        <v>32593</v>
      </c>
    </row>
    <row r="1908" spans="1:6" x14ac:dyDescent="0.3">
      <c r="A1908" s="7">
        <v>2017</v>
      </c>
      <c r="B1908" s="8" t="s">
        <v>60</v>
      </c>
      <c r="C1908" s="8" t="s">
        <v>37</v>
      </c>
      <c r="D1908" s="14">
        <v>3395</v>
      </c>
      <c r="E1908" s="14">
        <v>17959</v>
      </c>
      <c r="F1908" s="15">
        <v>32566</v>
      </c>
    </row>
    <row r="1909" spans="1:6" x14ac:dyDescent="0.3">
      <c r="A1909" s="7">
        <v>2017</v>
      </c>
      <c r="B1909" s="8" t="s">
        <v>60</v>
      </c>
      <c r="C1909" s="8" t="s">
        <v>38</v>
      </c>
      <c r="D1909" s="14">
        <v>11490</v>
      </c>
      <c r="E1909" s="14">
        <v>51779</v>
      </c>
      <c r="F1909" s="15">
        <v>32842</v>
      </c>
    </row>
    <row r="1910" spans="1:6" x14ac:dyDescent="0.3">
      <c r="A1910" s="7">
        <v>2017</v>
      </c>
      <c r="B1910" s="8" t="s">
        <v>60</v>
      </c>
      <c r="C1910" s="8" t="s">
        <v>39</v>
      </c>
      <c r="D1910" s="14">
        <v>2171</v>
      </c>
      <c r="E1910" s="14">
        <v>11078</v>
      </c>
      <c r="F1910" s="15">
        <v>31403</v>
      </c>
    </row>
    <row r="1911" spans="1:6" x14ac:dyDescent="0.3">
      <c r="A1911" s="7">
        <v>2017</v>
      </c>
      <c r="B1911" s="8" t="s">
        <v>60</v>
      </c>
      <c r="C1911" s="8" t="s">
        <v>40</v>
      </c>
      <c r="D1911" s="14">
        <v>14618</v>
      </c>
      <c r="E1911" s="14">
        <v>76045</v>
      </c>
      <c r="F1911" s="15">
        <v>34443</v>
      </c>
    </row>
    <row r="1912" spans="1:6" x14ac:dyDescent="0.3">
      <c r="A1912" s="7">
        <v>2017</v>
      </c>
      <c r="B1912" s="8" t="s">
        <v>60</v>
      </c>
      <c r="C1912" s="8" t="s">
        <v>41</v>
      </c>
      <c r="D1912" s="14">
        <v>56060</v>
      </c>
      <c r="E1912" s="14">
        <v>328026</v>
      </c>
      <c r="F1912" s="15">
        <v>37841</v>
      </c>
    </row>
    <row r="1913" spans="1:6" x14ac:dyDescent="0.3">
      <c r="A1913" s="7">
        <v>2017</v>
      </c>
      <c r="B1913" s="8" t="s">
        <v>60</v>
      </c>
      <c r="C1913" s="8" t="s">
        <v>42</v>
      </c>
      <c r="D1913" s="14">
        <v>6084</v>
      </c>
      <c r="E1913" s="14">
        <v>35143</v>
      </c>
      <c r="F1913" s="15">
        <v>34421</v>
      </c>
    </row>
    <row r="1914" spans="1:6" x14ac:dyDescent="0.3">
      <c r="A1914" s="7">
        <v>2017</v>
      </c>
      <c r="B1914" s="8" t="s">
        <v>60</v>
      </c>
      <c r="C1914" s="8" t="s">
        <v>43</v>
      </c>
      <c r="D1914" s="14">
        <v>1958</v>
      </c>
      <c r="E1914" s="14">
        <v>8658</v>
      </c>
      <c r="F1914" s="15">
        <v>34757</v>
      </c>
    </row>
    <row r="1915" spans="1:6" x14ac:dyDescent="0.3">
      <c r="A1915" s="7">
        <v>2017</v>
      </c>
      <c r="B1915" s="8" t="s">
        <v>60</v>
      </c>
      <c r="C1915" s="8" t="s">
        <v>44</v>
      </c>
      <c r="D1915" s="14">
        <v>32154</v>
      </c>
      <c r="E1915" s="14">
        <v>141985</v>
      </c>
      <c r="F1915" s="15">
        <v>42290</v>
      </c>
    </row>
    <row r="1916" spans="1:6" x14ac:dyDescent="0.3">
      <c r="A1916" s="7">
        <v>2017</v>
      </c>
      <c r="B1916" s="8" t="s">
        <v>60</v>
      </c>
      <c r="C1916" s="8" t="s">
        <v>45</v>
      </c>
      <c r="D1916" s="14">
        <v>19701</v>
      </c>
      <c r="E1916" s="14">
        <v>97492</v>
      </c>
      <c r="F1916" s="15">
        <v>38822</v>
      </c>
    </row>
    <row r="1917" spans="1:6" x14ac:dyDescent="0.3">
      <c r="A1917" s="7">
        <v>2017</v>
      </c>
      <c r="B1917" s="8" t="s">
        <v>60</v>
      </c>
      <c r="C1917" s="8" t="s">
        <v>46</v>
      </c>
      <c r="D1917" s="14">
        <v>5237</v>
      </c>
      <c r="E1917" s="14">
        <v>19979</v>
      </c>
      <c r="F1917" s="15">
        <v>29927</v>
      </c>
    </row>
    <row r="1918" spans="1:6" x14ac:dyDescent="0.3">
      <c r="A1918" s="7">
        <v>2017</v>
      </c>
      <c r="B1918" s="8" t="s">
        <v>60</v>
      </c>
      <c r="C1918" s="8" t="s">
        <v>47</v>
      </c>
      <c r="D1918" s="14">
        <v>14001</v>
      </c>
      <c r="E1918" s="14">
        <v>84153</v>
      </c>
      <c r="F1918" s="15">
        <v>29242</v>
      </c>
    </row>
    <row r="1919" spans="1:6" x14ac:dyDescent="0.3">
      <c r="A1919" s="9">
        <v>2017</v>
      </c>
      <c r="B1919" s="10" t="s">
        <v>60</v>
      </c>
      <c r="C1919" s="10" t="s">
        <v>48</v>
      </c>
      <c r="D1919" s="16">
        <v>1656</v>
      </c>
      <c r="E1919" s="16">
        <v>7231</v>
      </c>
      <c r="F1919" s="17">
        <v>35035</v>
      </c>
    </row>
  </sheetData>
  <sheetProtection algorithmName="SHA-512" hashValue="MOLS7HT6GgWT013Cez21cwtJmj3z100cTuiq90vEhRrjOE94SUevYK8ceOn94hOPnNts/mBYFkV5uCBI9tg0sQ==" saltValue="9kT+A8T8TE9Ge83hrwMsWQ==" spinCount="100000" sheet="1" objects="1" scenarios="1"/>
  <customSheetViews>
    <customSheetView guid="{A1F01C08-243B-48FC-94A8-F102AEB1706D}">
      <selection activeCell="F150" sqref="F150"/>
      <pageMargins left="0.7" right="0.7" top="0.75" bottom="0.75" header="0.3" footer="0.3"/>
      <pageSetup orientation="portrait" r:id="rId1"/>
    </customSheetView>
    <customSheetView guid="{948164EF-B902-4A6C-8E3C-A935061C5153}" state="hidden">
      <selection activeCell="F150" sqref="F150"/>
      <pageMargins left="0.7" right="0.7" top="0.75" bottom="0.75" header="0.3" footer="0.3"/>
      <pageSetup orientation="portrait" r:id="rId2"/>
    </customSheetView>
  </customSheetView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5AB44-CCDD-497E-8259-3EC8098A604D}">
  <dimension ref="A1:B49"/>
  <sheetViews>
    <sheetView workbookViewId="0">
      <selection activeCell="B30" sqref="B30"/>
    </sheetView>
  </sheetViews>
  <sheetFormatPr defaultRowHeight="14.4" x14ac:dyDescent="0.3"/>
  <cols>
    <col min="1" max="1" width="14" bestFit="1" customWidth="1"/>
    <col min="2" max="2" width="10" bestFit="1" customWidth="1"/>
  </cols>
  <sheetData>
    <row r="1" spans="1:2" x14ac:dyDescent="0.3">
      <c r="A1" s="19" t="s">
        <v>0</v>
      </c>
      <c r="B1" s="20" t="s">
        <v>75</v>
      </c>
    </row>
    <row r="2" spans="1:2" x14ac:dyDescent="0.3">
      <c r="A2" t="s">
        <v>1</v>
      </c>
      <c r="B2">
        <v>4887871</v>
      </c>
    </row>
    <row r="3" spans="1:2" x14ac:dyDescent="0.3">
      <c r="A3" t="s">
        <v>2</v>
      </c>
      <c r="B3">
        <v>7171646</v>
      </c>
    </row>
    <row r="4" spans="1:2" x14ac:dyDescent="0.3">
      <c r="A4" t="s">
        <v>3</v>
      </c>
      <c r="B4">
        <v>3013825</v>
      </c>
    </row>
    <row r="5" spans="1:2" x14ac:dyDescent="0.3">
      <c r="A5" t="s">
        <v>4</v>
      </c>
      <c r="B5">
        <v>39557045</v>
      </c>
    </row>
    <row r="6" spans="1:2" x14ac:dyDescent="0.3">
      <c r="A6" t="s">
        <v>5</v>
      </c>
      <c r="B6">
        <v>5695564</v>
      </c>
    </row>
    <row r="7" spans="1:2" x14ac:dyDescent="0.3">
      <c r="A7" t="s">
        <v>6</v>
      </c>
      <c r="B7">
        <v>3572665</v>
      </c>
    </row>
    <row r="8" spans="1:2" x14ac:dyDescent="0.3">
      <c r="A8" t="s">
        <v>7</v>
      </c>
      <c r="B8">
        <v>967171</v>
      </c>
    </row>
    <row r="9" spans="1:2" x14ac:dyDescent="0.3">
      <c r="A9" t="s">
        <v>8</v>
      </c>
      <c r="B9">
        <v>21670000</v>
      </c>
    </row>
    <row r="10" spans="1:2" x14ac:dyDescent="0.3">
      <c r="A10" t="s">
        <v>9</v>
      </c>
      <c r="B10">
        <v>10519475</v>
      </c>
    </row>
    <row r="11" spans="1:2" x14ac:dyDescent="0.3">
      <c r="A11" t="s">
        <v>10</v>
      </c>
      <c r="B11">
        <v>1754208</v>
      </c>
    </row>
    <row r="12" spans="1:2" x14ac:dyDescent="0.3">
      <c r="A12" t="s">
        <v>11</v>
      </c>
      <c r="B12">
        <v>12741080</v>
      </c>
    </row>
    <row r="13" spans="1:2" x14ac:dyDescent="0.3">
      <c r="A13" t="s">
        <v>12</v>
      </c>
      <c r="B13">
        <v>6691878</v>
      </c>
    </row>
    <row r="14" spans="1:2" x14ac:dyDescent="0.3">
      <c r="A14" t="s">
        <v>13</v>
      </c>
      <c r="B14">
        <v>3156145</v>
      </c>
    </row>
    <row r="15" spans="1:2" x14ac:dyDescent="0.3">
      <c r="A15" t="s">
        <v>14</v>
      </c>
      <c r="B15">
        <v>2911505</v>
      </c>
    </row>
    <row r="16" spans="1:2" x14ac:dyDescent="0.3">
      <c r="A16" t="s">
        <v>15</v>
      </c>
      <c r="B16">
        <v>4468402</v>
      </c>
    </row>
    <row r="17" spans="1:2" x14ac:dyDescent="0.3">
      <c r="A17" t="s">
        <v>16</v>
      </c>
      <c r="B17">
        <v>4659978</v>
      </c>
    </row>
    <row r="18" spans="1:2" x14ac:dyDescent="0.3">
      <c r="A18" t="s">
        <v>17</v>
      </c>
      <c r="B18">
        <v>1338404</v>
      </c>
    </row>
    <row r="19" spans="1:2" x14ac:dyDescent="0.3">
      <c r="A19" t="s">
        <v>18</v>
      </c>
      <c r="B19">
        <v>6042718</v>
      </c>
    </row>
    <row r="20" spans="1:2" x14ac:dyDescent="0.3">
      <c r="A20" t="s">
        <v>19</v>
      </c>
      <c r="B20">
        <v>6902149</v>
      </c>
    </row>
    <row r="21" spans="1:2" x14ac:dyDescent="0.3">
      <c r="A21" t="s">
        <v>20</v>
      </c>
      <c r="B21">
        <v>9995915</v>
      </c>
    </row>
    <row r="22" spans="1:2" x14ac:dyDescent="0.3">
      <c r="A22" t="s">
        <v>21</v>
      </c>
      <c r="B22">
        <v>5611179</v>
      </c>
    </row>
    <row r="23" spans="1:2" x14ac:dyDescent="0.3">
      <c r="A23" t="s">
        <v>22</v>
      </c>
      <c r="B23">
        <v>2963914</v>
      </c>
    </row>
    <row r="24" spans="1:2" x14ac:dyDescent="0.3">
      <c r="A24" t="s">
        <v>23</v>
      </c>
      <c r="B24">
        <v>6126452</v>
      </c>
    </row>
    <row r="25" spans="1:2" x14ac:dyDescent="0.3">
      <c r="A25" t="s">
        <v>24</v>
      </c>
      <c r="B25">
        <v>1062305</v>
      </c>
    </row>
    <row r="26" spans="1:2" x14ac:dyDescent="0.3">
      <c r="A26" t="s">
        <v>25</v>
      </c>
      <c r="B26">
        <v>1929268</v>
      </c>
    </row>
    <row r="27" spans="1:2" x14ac:dyDescent="0.3">
      <c r="A27" t="s">
        <v>26</v>
      </c>
      <c r="B27">
        <v>3034392</v>
      </c>
    </row>
    <row r="28" spans="1:2" x14ac:dyDescent="0.3">
      <c r="A28" t="s">
        <v>27</v>
      </c>
      <c r="B28">
        <v>1356458</v>
      </c>
    </row>
    <row r="29" spans="1:2" x14ac:dyDescent="0.3">
      <c r="A29" t="s">
        <v>28</v>
      </c>
      <c r="B29">
        <v>8908520</v>
      </c>
    </row>
    <row r="30" spans="1:2" x14ac:dyDescent="0.3">
      <c r="A30" t="s">
        <v>29</v>
      </c>
      <c r="B30">
        <v>2095428</v>
      </c>
    </row>
    <row r="31" spans="1:2" x14ac:dyDescent="0.3">
      <c r="A31" t="s">
        <v>30</v>
      </c>
      <c r="B31">
        <v>19542209</v>
      </c>
    </row>
    <row r="32" spans="1:2" x14ac:dyDescent="0.3">
      <c r="A32" t="s">
        <v>31</v>
      </c>
      <c r="B32">
        <v>10383620</v>
      </c>
    </row>
    <row r="33" spans="1:2" x14ac:dyDescent="0.3">
      <c r="A33" t="s">
        <v>32</v>
      </c>
      <c r="B33">
        <v>760077</v>
      </c>
    </row>
    <row r="34" spans="1:2" x14ac:dyDescent="0.3">
      <c r="A34" t="s">
        <v>33</v>
      </c>
      <c r="B34">
        <v>11689442</v>
      </c>
    </row>
    <row r="35" spans="1:2" x14ac:dyDescent="0.3">
      <c r="A35" t="s">
        <v>34</v>
      </c>
      <c r="B35">
        <v>3943079</v>
      </c>
    </row>
    <row r="36" spans="1:2" x14ac:dyDescent="0.3">
      <c r="A36" t="s">
        <v>35</v>
      </c>
      <c r="B36">
        <v>4190713</v>
      </c>
    </row>
    <row r="37" spans="1:2" x14ac:dyDescent="0.3">
      <c r="A37" t="s">
        <v>36</v>
      </c>
      <c r="B37">
        <v>12807060</v>
      </c>
    </row>
    <row r="38" spans="1:2" x14ac:dyDescent="0.3">
      <c r="A38" t="s">
        <v>37</v>
      </c>
      <c r="B38">
        <v>1057315</v>
      </c>
    </row>
    <row r="39" spans="1:2" x14ac:dyDescent="0.3">
      <c r="A39" t="s">
        <v>38</v>
      </c>
      <c r="B39">
        <v>5084127</v>
      </c>
    </row>
    <row r="40" spans="1:2" x14ac:dyDescent="0.3">
      <c r="A40" t="s">
        <v>39</v>
      </c>
      <c r="B40">
        <v>882235</v>
      </c>
    </row>
    <row r="41" spans="1:2" x14ac:dyDescent="0.3">
      <c r="A41" t="s">
        <v>40</v>
      </c>
      <c r="B41">
        <v>6770010</v>
      </c>
    </row>
    <row r="42" spans="1:2" x14ac:dyDescent="0.3">
      <c r="A42" t="s">
        <v>41</v>
      </c>
      <c r="B42">
        <v>28701845</v>
      </c>
    </row>
    <row r="43" spans="1:2" x14ac:dyDescent="0.3">
      <c r="A43" t="s">
        <v>42</v>
      </c>
      <c r="B43">
        <v>3161105</v>
      </c>
    </row>
    <row r="44" spans="1:2" x14ac:dyDescent="0.3">
      <c r="A44" t="s">
        <v>43</v>
      </c>
      <c r="B44">
        <v>626299</v>
      </c>
    </row>
    <row r="45" spans="1:2" x14ac:dyDescent="0.3">
      <c r="A45" t="s">
        <v>44</v>
      </c>
      <c r="B45">
        <v>8517685</v>
      </c>
    </row>
    <row r="46" spans="1:2" x14ac:dyDescent="0.3">
      <c r="A46" t="s">
        <v>45</v>
      </c>
      <c r="B46">
        <v>7614893</v>
      </c>
    </row>
    <row r="47" spans="1:2" x14ac:dyDescent="0.3">
      <c r="A47" t="s">
        <v>46</v>
      </c>
      <c r="B47">
        <v>1805832</v>
      </c>
    </row>
    <row r="48" spans="1:2" x14ac:dyDescent="0.3">
      <c r="A48" t="s">
        <v>47</v>
      </c>
      <c r="B48">
        <v>5813568</v>
      </c>
    </row>
    <row r="49" spans="1:2" x14ac:dyDescent="0.3">
      <c r="A49" t="s">
        <v>48</v>
      </c>
      <c r="B49">
        <v>577737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9FD3C-AA88-4F46-8355-33F93A809F2F}">
  <dimension ref="A1:W50"/>
  <sheetViews>
    <sheetView tabSelected="1" zoomScale="87" zoomScaleNormal="87" workbookViewId="0">
      <selection activeCell="B20" sqref="B20"/>
    </sheetView>
  </sheetViews>
  <sheetFormatPr defaultRowHeight="14.4" x14ac:dyDescent="0.3"/>
  <cols>
    <col min="1" max="1" width="20.5546875" bestFit="1" customWidth="1"/>
    <col min="2" max="2" width="23.44140625" bestFit="1" customWidth="1"/>
    <col min="4" max="4" width="20.5546875" bestFit="1" customWidth="1"/>
    <col min="5" max="6" width="16.109375" customWidth="1"/>
    <col min="8" max="8" width="20.5546875" bestFit="1" customWidth="1"/>
    <col min="9" max="9" width="16.109375" customWidth="1"/>
    <col min="10" max="10" width="8.88671875" customWidth="1"/>
    <col min="12" max="12" width="8.77734375" customWidth="1"/>
    <col min="13" max="13" width="10.5546875" customWidth="1"/>
    <col min="14" max="14" width="10.77734375" customWidth="1"/>
    <col min="19" max="19" width="14.21875" bestFit="1" customWidth="1"/>
    <col min="20" max="20" width="9.21875" bestFit="1" customWidth="1"/>
    <col min="21" max="21" width="22.77734375" bestFit="1" customWidth="1"/>
    <col min="22" max="22" width="10.5546875" bestFit="1" customWidth="1"/>
    <col min="23" max="23" width="23.77734375" bestFit="1" customWidth="1"/>
  </cols>
  <sheetData>
    <row r="1" spans="1:23" x14ac:dyDescent="0.3">
      <c r="A1" s="29" t="s">
        <v>64</v>
      </c>
      <c r="B1" s="4"/>
      <c r="D1" s="30" t="s">
        <v>67</v>
      </c>
      <c r="E1" s="5"/>
      <c r="F1" s="5"/>
      <c r="H1" s="30" t="s">
        <v>67</v>
      </c>
      <c r="I1" s="5"/>
      <c r="L1" s="30" t="s">
        <v>73</v>
      </c>
      <c r="M1" s="5"/>
      <c r="N1" s="5"/>
      <c r="S1" s="30" t="s">
        <v>74</v>
      </c>
      <c r="T1" s="5"/>
      <c r="U1" s="5"/>
      <c r="V1" s="5"/>
      <c r="W1" s="5"/>
    </row>
    <row r="2" spans="1:23" x14ac:dyDescent="0.3">
      <c r="A2" s="3" t="s">
        <v>49</v>
      </c>
      <c r="B2" s="3" t="s">
        <v>65</v>
      </c>
      <c r="D2" s="6" t="s">
        <v>49</v>
      </c>
      <c r="E2" s="6" t="s">
        <v>68</v>
      </c>
      <c r="F2" s="6" t="s">
        <v>65</v>
      </c>
      <c r="H2" s="6" t="s">
        <v>49</v>
      </c>
      <c r="I2" s="6" t="s">
        <v>68</v>
      </c>
      <c r="L2" s="6" t="s">
        <v>50</v>
      </c>
      <c r="M2" s="6" t="s">
        <v>71</v>
      </c>
      <c r="N2" s="6" t="s">
        <v>72</v>
      </c>
      <c r="S2" s="6" t="s">
        <v>0</v>
      </c>
      <c r="T2" s="6" t="s">
        <v>72</v>
      </c>
      <c r="U2" s="6" t="s">
        <v>76</v>
      </c>
      <c r="V2" s="6" t="s">
        <v>77</v>
      </c>
      <c r="W2" s="6" t="str">
        <f>B19</f>
        <v>Avg. Wages</v>
      </c>
    </row>
    <row r="3" spans="1:23" x14ac:dyDescent="0.3">
      <c r="A3" t="s">
        <v>57</v>
      </c>
      <c r="B3" s="22" t="str">
        <f>Dashboard!B5</f>
        <v>Business Services</v>
      </c>
      <c r="D3" t="s">
        <v>53</v>
      </c>
      <c r="E3" s="2">
        <f>AVERAGEIFS(Data!F:F,Data!B:B,D3,Data!A:A,'Data Prep'!$B$16)</f>
        <v>93586.333333333328</v>
      </c>
      <c r="F3" s="2">
        <f>IF(D3=$B$3,E3,0)</f>
        <v>0</v>
      </c>
      <c r="H3" t="s">
        <v>54</v>
      </c>
      <c r="I3" s="1">
        <f>SUMIFS(Data!E:E,Data!B:B,H3,Data!A:A,'Data Prep'!$B$16)</f>
        <v>26277342</v>
      </c>
      <c r="L3">
        <v>2017</v>
      </c>
      <c r="M3" s="2">
        <f>AVERAGEIFS(Data!F:F,Data!B:B,$B$3,Data!A:A,'Data Prep'!L3)</f>
        <v>64714.4375</v>
      </c>
      <c r="N3" s="1">
        <f>SUMIFS(Data!E:E,Data!B:B,$B$3,Data!A:A,'Data Prep'!L3)</f>
        <v>20063464</v>
      </c>
      <c r="S3" s="8" t="s">
        <v>1</v>
      </c>
      <c r="T3" s="1">
        <f>SUMIFS(Data!E:E,Data!B:B,$B$3,Data!A:A,$B$16,Data!C:C,'Data Prep'!S3)</f>
        <v>242419</v>
      </c>
      <c r="U3" s="18">
        <f>T3/Populations!$B2 * 1000</f>
        <v>49.596030664475393</v>
      </c>
      <c r="V3" s="2">
        <f>AVERAGEIFS(Data!F:F,Data!B:B,'Data Prep'!$B$3,Data!A:A,'Data Prep'!$B$16,Data!C:C,'Data Prep'!S3)</f>
        <v>62111</v>
      </c>
      <c r="W3" s="21">
        <f>IF($W$2=$V$2,-V3,U3)</f>
        <v>-62111</v>
      </c>
    </row>
    <row r="4" spans="1:23" x14ac:dyDescent="0.3">
      <c r="A4" t="s">
        <v>51</v>
      </c>
      <c r="D4" t="s">
        <v>56</v>
      </c>
      <c r="E4" s="2">
        <f>AVERAGEIFS(Data!F:F,Data!B:B,D4,Data!A:A,'Data Prep'!$B$16)</f>
        <v>90040.666666666672</v>
      </c>
      <c r="F4" s="2">
        <f t="shared" ref="F4:F12" si="0">IF(D4=$B$3,E4,0)</f>
        <v>0</v>
      </c>
      <c r="H4" t="s">
        <v>58</v>
      </c>
      <c r="I4" s="1">
        <f>SUMIFS(Data!E:E,Data!B:B,H4,Data!A:A,'Data Prep'!$B$16)</f>
        <v>22035033</v>
      </c>
      <c r="L4">
        <v>2018</v>
      </c>
      <c r="M4" s="2">
        <f>AVERAGEIFS(Data!F:F,Data!B:B,$B$3,Data!A:A,'Data Prep'!L4)</f>
        <v>66836.25</v>
      </c>
      <c r="N4" s="1">
        <f>SUMIFS(Data!E:E,Data!B:B,$B$3,Data!A:A,'Data Prep'!L4)</f>
        <v>20594171</v>
      </c>
      <c r="S4" s="8" t="s">
        <v>2</v>
      </c>
      <c r="T4" s="1">
        <f>SUMIFS(Data!E:E,Data!B:B,$B$3,Data!A:A,$B$16,Data!C:C,'Data Prep'!S4)</f>
        <v>431379</v>
      </c>
      <c r="U4" s="18">
        <f>T4/Populations!$B3 * 1000</f>
        <v>60.150626508893495</v>
      </c>
      <c r="V4" s="2">
        <f>AVERAGEIFS(Data!F:F,Data!B:B,'Data Prep'!$B$3,Data!A:A,'Data Prep'!$B$16,Data!C:C,'Data Prep'!S4)</f>
        <v>63180</v>
      </c>
      <c r="W4" s="21">
        <f t="shared" ref="W4:W50" si="1">IF($W$2=$V$2,-V4,U4)</f>
        <v>-63180</v>
      </c>
    </row>
    <row r="5" spans="1:23" x14ac:dyDescent="0.3">
      <c r="A5" t="s">
        <v>58</v>
      </c>
      <c r="D5" t="s">
        <v>57</v>
      </c>
      <c r="E5" s="2">
        <f>AVERAGEIFS(Data!F:F,Data!B:B,D5,Data!A:A,'Data Prep'!$B$16)</f>
        <v>74713.0625</v>
      </c>
      <c r="F5" s="2">
        <f t="shared" si="0"/>
        <v>74713.0625</v>
      </c>
      <c r="H5" t="s">
        <v>57</v>
      </c>
      <c r="I5" s="1">
        <f>SUMIFS(Data!E:E,Data!B:B,H5,Data!A:A,'Data Prep'!$B$16)</f>
        <v>20065896</v>
      </c>
      <c r="L5">
        <v>2019</v>
      </c>
      <c r="M5" s="2">
        <f>AVERAGEIFS(Data!F:F,Data!B:B,$B$3,Data!A:A,'Data Prep'!L5)</f>
        <v>69592.166666666672</v>
      </c>
      <c r="N5" s="1">
        <f>SUMIFS(Data!E:E,Data!B:B,$B$3,Data!A:A,'Data Prep'!L5)</f>
        <v>20961286</v>
      </c>
      <c r="S5" s="8" t="s">
        <v>3</v>
      </c>
      <c r="T5" s="1">
        <f>SUMIFS(Data!E:E,Data!B:B,$B$3,Data!A:A,$B$16,Data!C:C,'Data Prep'!S5)</f>
        <v>139300</v>
      </c>
      <c r="U5" s="18">
        <f>T5/Populations!$B4 * 1000</f>
        <v>46.220334624604945</v>
      </c>
      <c r="V5" s="2">
        <f>AVERAGEIFS(Data!F:F,Data!B:B,'Data Prep'!$B$3,Data!A:A,'Data Prep'!$B$16,Data!C:C,'Data Prep'!S5)</f>
        <v>68067</v>
      </c>
      <c r="W5" s="21">
        <f t="shared" si="1"/>
        <v>-68067</v>
      </c>
    </row>
    <row r="6" spans="1:23" x14ac:dyDescent="0.3">
      <c r="A6" t="s">
        <v>56</v>
      </c>
      <c r="D6" t="s">
        <v>52</v>
      </c>
      <c r="E6" s="2">
        <f>AVERAGEIFS(Data!F:F,Data!B:B,D6,Data!A:A,'Data Prep'!$B$16)</f>
        <v>68427.875</v>
      </c>
      <c r="F6" s="2">
        <f t="shared" si="0"/>
        <v>0</v>
      </c>
      <c r="H6" t="s">
        <v>59</v>
      </c>
      <c r="I6" s="1">
        <f>SUMIFS(Data!E:E,Data!B:B,H6,Data!A:A,'Data Prep'!$B$16)</f>
        <v>12649500</v>
      </c>
      <c r="L6">
        <v>2020</v>
      </c>
      <c r="M6" s="2">
        <f>AVERAGEIFS(Data!F:F,Data!B:B,$B$3,Data!A:A,'Data Prep'!L6)</f>
        <v>74713.0625</v>
      </c>
      <c r="N6" s="1">
        <f>SUMIFS(Data!E:E,Data!B:B,$B$3,Data!A:A,'Data Prep'!L6)</f>
        <v>20065896</v>
      </c>
      <c r="S6" s="8" t="s">
        <v>4</v>
      </c>
      <c r="T6" s="1">
        <f>SUMIFS(Data!E:E,Data!B:B,$B$3,Data!A:A,$B$16,Data!C:C,'Data Prep'!S6)</f>
        <v>2600604</v>
      </c>
      <c r="U6" s="18">
        <f>T6/Populations!$B5 * 1000</f>
        <v>65.74313121720796</v>
      </c>
      <c r="V6" s="2">
        <f>AVERAGEIFS(Data!F:F,Data!B:B,'Data Prep'!$B$3,Data!A:A,'Data Prep'!$B$16,Data!C:C,'Data Prep'!S6)</f>
        <v>106486</v>
      </c>
      <c r="W6" s="21">
        <f t="shared" si="1"/>
        <v>-106486</v>
      </c>
    </row>
    <row r="7" spans="1:23" x14ac:dyDescent="0.3">
      <c r="A7" t="s">
        <v>53</v>
      </c>
      <c r="D7" t="s">
        <v>51</v>
      </c>
      <c r="E7" s="2">
        <f>AVERAGEIFS(Data!F:F,Data!B:B,D7,Data!A:A,'Data Prep'!$B$16)</f>
        <v>63896.895833333336</v>
      </c>
      <c r="F7" s="2">
        <f t="shared" si="0"/>
        <v>0</v>
      </c>
      <c r="H7" t="s">
        <v>52</v>
      </c>
      <c r="I7" s="1">
        <f>SUMIFS(Data!E:E,Data!B:B,H7,Data!A:A,'Data Prep'!$B$16)</f>
        <v>12058694</v>
      </c>
      <c r="S7" s="8" t="s">
        <v>5</v>
      </c>
      <c r="T7" s="1">
        <f>SUMIFS(Data!E:E,Data!B:B,$B$3,Data!A:A,$B$16,Data!C:C,'Data Prep'!S7)</f>
        <v>430367</v>
      </c>
      <c r="U7" s="18">
        <f>T7/Populations!$B6 * 1000</f>
        <v>75.561788086307175</v>
      </c>
      <c r="V7" s="2">
        <f>AVERAGEIFS(Data!F:F,Data!B:B,'Data Prep'!$B$3,Data!A:A,'Data Prep'!$B$16,Data!C:C,'Data Prep'!S7)</f>
        <v>90744</v>
      </c>
      <c r="W7" s="21">
        <f t="shared" si="1"/>
        <v>-90744</v>
      </c>
    </row>
    <row r="8" spans="1:23" x14ac:dyDescent="0.3">
      <c r="A8" t="s">
        <v>59</v>
      </c>
      <c r="D8" t="s">
        <v>55</v>
      </c>
      <c r="E8" s="2">
        <f>AVERAGEIFS(Data!F:F,Data!B:B,D8,Data!A:A,'Data Prep'!$B$16)</f>
        <v>55605.9375</v>
      </c>
      <c r="F8" s="2">
        <f t="shared" si="0"/>
        <v>0</v>
      </c>
      <c r="H8" t="s">
        <v>56</v>
      </c>
      <c r="I8" s="1">
        <f>SUMIFS(Data!E:E,Data!B:B,H8,Data!A:A,'Data Prep'!$B$16)</f>
        <v>8142043</v>
      </c>
      <c r="S8" s="8" t="s">
        <v>6</v>
      </c>
      <c r="T8" s="1">
        <f>SUMIFS(Data!E:E,Data!B:B,$B$3,Data!A:A,$B$16,Data!C:C,'Data Prep'!S8)</f>
        <v>206629</v>
      </c>
      <c r="U8" s="18">
        <f>T8/Populations!$B7 * 1000</f>
        <v>57.836097143169034</v>
      </c>
      <c r="V8" s="2">
        <f>AVERAGEIFS(Data!F:F,Data!B:B,'Data Prep'!$B$3,Data!A:A,'Data Prep'!$B$16,Data!C:C,'Data Prep'!S8)</f>
        <v>95714</v>
      </c>
      <c r="W8" s="21">
        <f t="shared" si="1"/>
        <v>-95714</v>
      </c>
    </row>
    <row r="9" spans="1:23" x14ac:dyDescent="0.3">
      <c r="A9" t="s">
        <v>52</v>
      </c>
      <c r="D9" t="s">
        <v>58</v>
      </c>
      <c r="E9" s="2">
        <f>AVERAGEIFS(Data!F:F,Data!B:B,D9,Data!A:A,'Data Prep'!$B$16)</f>
        <v>53607.208333333336</v>
      </c>
      <c r="F9" s="2">
        <f t="shared" si="0"/>
        <v>0</v>
      </c>
      <c r="H9" t="s">
        <v>51</v>
      </c>
      <c r="I9" s="1">
        <f>SUMIFS(Data!E:E,Data!B:B,H9,Data!A:A,'Data Prep'!$B$16)</f>
        <v>7136444</v>
      </c>
      <c r="S9" s="8" t="s">
        <v>7</v>
      </c>
      <c r="T9" s="1">
        <f>SUMIFS(Data!E:E,Data!B:B,$B$3,Data!A:A,$B$16,Data!C:C,'Data Prep'!S9)</f>
        <v>61669</v>
      </c>
      <c r="U9" s="18">
        <f>T9/Populations!$B8 * 1000</f>
        <v>63.762250935977193</v>
      </c>
      <c r="V9" s="2">
        <f>AVERAGEIFS(Data!F:F,Data!B:B,'Data Prep'!$B$3,Data!A:A,'Data Prep'!$B$16,Data!C:C,'Data Prep'!S9)</f>
        <v>85651</v>
      </c>
      <c r="W9" s="21">
        <f t="shared" si="1"/>
        <v>-85651</v>
      </c>
    </row>
    <row r="10" spans="1:23" x14ac:dyDescent="0.3">
      <c r="A10" t="s">
        <v>55</v>
      </c>
      <c r="D10" t="s">
        <v>54</v>
      </c>
      <c r="E10" s="2">
        <f>AVERAGEIFS(Data!F:F,Data!B:B,D10,Data!A:A,'Data Prep'!$B$16)</f>
        <v>49366.8125</v>
      </c>
      <c r="F10" s="2">
        <f t="shared" si="0"/>
        <v>0</v>
      </c>
      <c r="H10" t="s">
        <v>60</v>
      </c>
      <c r="I10" s="1">
        <f>SUMIFS(Data!E:E,Data!B:B,H10,Data!A:A,'Data Prep'!$B$16)</f>
        <v>3843699</v>
      </c>
      <c r="S10" s="8" t="s">
        <v>8</v>
      </c>
      <c r="T10" s="1">
        <f>SUMIFS(Data!E:E,Data!B:B,$B$3,Data!A:A,$B$16,Data!C:C,'Data Prep'!S10)</f>
        <v>1358317</v>
      </c>
      <c r="U10" s="18">
        <f>T10/Populations!$B9 * 1000</f>
        <v>62.68191047531149</v>
      </c>
      <c r="V10" s="2">
        <f>AVERAGEIFS(Data!F:F,Data!B:B,'Data Prep'!$B$3,Data!A:A,'Data Prep'!$B$16,Data!C:C,'Data Prep'!S10)</f>
        <v>68223</v>
      </c>
      <c r="W10" s="21">
        <f t="shared" si="1"/>
        <v>-68223</v>
      </c>
    </row>
    <row r="11" spans="1:23" x14ac:dyDescent="0.3">
      <c r="A11" t="s">
        <v>60</v>
      </c>
      <c r="D11" t="s">
        <v>60</v>
      </c>
      <c r="E11" s="2">
        <f>AVERAGEIFS(Data!F:F,Data!B:B,D11,Data!A:A,'Data Prep'!$B$16)</f>
        <v>40790.1875</v>
      </c>
      <c r="F11" s="2">
        <f t="shared" si="0"/>
        <v>0</v>
      </c>
      <c r="H11" t="s">
        <v>53</v>
      </c>
      <c r="I11" s="1">
        <f>SUMIFS(Data!E:E,Data!B:B,H11,Data!A:A,'Data Prep'!$B$16)</f>
        <v>2677815</v>
      </c>
      <c r="S11" s="8" t="s">
        <v>9</v>
      </c>
      <c r="T11" s="1">
        <f>SUMIFS(Data!E:E,Data!B:B,$B$3,Data!A:A,$B$16,Data!C:C,'Data Prep'!S11)</f>
        <v>692452</v>
      </c>
      <c r="U11" s="18">
        <f>T11/Populations!$B10 * 1000</f>
        <v>65.825718488802906</v>
      </c>
      <c r="V11" s="2">
        <f>AVERAGEIFS(Data!F:F,Data!B:B,'Data Prep'!$B$3,Data!A:A,'Data Prep'!$B$16,Data!C:C,'Data Prep'!S11)</f>
        <v>76331</v>
      </c>
      <c r="W11" s="21">
        <f t="shared" si="1"/>
        <v>-76331</v>
      </c>
    </row>
    <row r="12" spans="1:23" x14ac:dyDescent="0.3">
      <c r="A12" t="s">
        <v>54</v>
      </c>
      <c r="D12" t="s">
        <v>59</v>
      </c>
      <c r="E12" s="2">
        <f>AVERAGEIFS(Data!F:F,Data!B:B,D12,Data!A:A,'Data Prep'!$B$16)</f>
        <v>23286.416666666668</v>
      </c>
      <c r="F12" s="2">
        <f t="shared" si="0"/>
        <v>0</v>
      </c>
      <c r="H12" t="s">
        <v>55</v>
      </c>
      <c r="I12" s="1">
        <f>SUMIFS(Data!E:E,Data!B:B,H12,Data!A:A,'Data Prep'!$B$16)</f>
        <v>1762873</v>
      </c>
      <c r="S12" s="8" t="s">
        <v>10</v>
      </c>
      <c r="T12" s="1">
        <f>SUMIFS(Data!E:E,Data!B:B,$B$3,Data!A:A,$B$16,Data!C:C,'Data Prep'!S12)</f>
        <v>97097</v>
      </c>
      <c r="U12" s="18">
        <f>T12/Populations!$B11 * 1000</f>
        <v>55.350904795782483</v>
      </c>
      <c r="V12" s="2">
        <f>AVERAGEIFS(Data!F:F,Data!B:B,'Data Prep'!$B$3,Data!A:A,'Data Prep'!$B$16,Data!C:C,'Data Prep'!S12)</f>
        <v>59743</v>
      </c>
      <c r="W12" s="21">
        <f t="shared" si="1"/>
        <v>-59743</v>
      </c>
    </row>
    <row r="13" spans="1:23" x14ac:dyDescent="0.3">
      <c r="S13" s="8" t="s">
        <v>11</v>
      </c>
      <c r="T13" s="1">
        <f>SUMIFS(Data!E:E,Data!B:B,$B$3,Data!A:A,$B$16,Data!C:C,'Data Prep'!S13)</f>
        <v>892150</v>
      </c>
      <c r="U13" s="18">
        <f>T13/Populations!$B12 * 1000</f>
        <v>70.021536635826791</v>
      </c>
      <c r="V13" s="2">
        <f>AVERAGEIFS(Data!F:F,Data!B:B,'Data Prep'!$B$3,Data!A:A,'Data Prep'!$B$16,Data!C:C,'Data Prep'!S13)</f>
        <v>83889</v>
      </c>
      <c r="W13" s="21">
        <f t="shared" si="1"/>
        <v>-83889</v>
      </c>
    </row>
    <row r="14" spans="1:23" x14ac:dyDescent="0.3">
      <c r="S14" s="8" t="s">
        <v>12</v>
      </c>
      <c r="T14" s="1">
        <f>SUMIFS(Data!E:E,Data!B:B,$B$3,Data!A:A,$B$16,Data!C:C,'Data Prep'!S14)</f>
        <v>326745</v>
      </c>
      <c r="U14" s="18">
        <f>T14/Populations!$B13 * 1000</f>
        <v>48.827100553835557</v>
      </c>
      <c r="V14" s="2">
        <f>AVERAGEIFS(Data!F:F,Data!B:B,'Data Prep'!$B$3,Data!A:A,'Data Prep'!$B$16,Data!C:C,'Data Prep'!S14)</f>
        <v>58578</v>
      </c>
      <c r="W14" s="21">
        <f t="shared" si="1"/>
        <v>-58578</v>
      </c>
    </row>
    <row r="15" spans="1:23" x14ac:dyDescent="0.3">
      <c r="A15" s="29" t="s">
        <v>66</v>
      </c>
      <c r="B15" s="4"/>
      <c r="H15" s="30" t="s">
        <v>69</v>
      </c>
      <c r="I15" s="5"/>
      <c r="S15" s="8" t="s">
        <v>13</v>
      </c>
      <c r="T15" s="1">
        <f>SUMIFS(Data!E:E,Data!B:B,$B$3,Data!A:A,$B$16,Data!C:C,'Data Prep'!S15)</f>
        <v>134822</v>
      </c>
      <c r="U15" s="18">
        <f>T15/Populations!$B14 * 1000</f>
        <v>42.717302278570855</v>
      </c>
      <c r="V15" s="2">
        <f>AVERAGEIFS(Data!F:F,Data!B:B,'Data Prep'!$B$3,Data!A:A,'Data Prep'!$B$16,Data!C:C,'Data Prep'!S15)</f>
        <v>61793</v>
      </c>
      <c r="W15" s="21">
        <f t="shared" si="1"/>
        <v>-61793</v>
      </c>
    </row>
    <row r="16" spans="1:23" x14ac:dyDescent="0.3">
      <c r="A16" s="25" t="s">
        <v>78</v>
      </c>
      <c r="B16" s="26">
        <v>2020</v>
      </c>
      <c r="H16" s="6" t="s">
        <v>49</v>
      </c>
      <c r="I16" s="6" t="s">
        <v>62</v>
      </c>
      <c r="S16" s="8" t="s">
        <v>14</v>
      </c>
      <c r="T16" s="1">
        <f>SUMIFS(Data!E:E,Data!B:B,$B$3,Data!A:A,$B$16,Data!C:C,'Data Prep'!S16)</f>
        <v>168813</v>
      </c>
      <c r="U16" s="18">
        <f>T16/Populations!$B15 * 1000</f>
        <v>57.981353286358775</v>
      </c>
      <c r="V16" s="2">
        <f>AVERAGEIFS(Data!F:F,Data!B:B,'Data Prep'!$B$3,Data!A:A,'Data Prep'!$B$16,Data!C:C,'Data Prep'!S16)</f>
        <v>69538</v>
      </c>
      <c r="W16" s="21">
        <f t="shared" si="1"/>
        <v>-69538</v>
      </c>
    </row>
    <row r="17" spans="1:23" x14ac:dyDescent="0.3">
      <c r="H17" t="str">
        <f>B3</f>
        <v>Business Services</v>
      </c>
      <c r="I17" s="1">
        <f>VLOOKUP(B3,H2:I12,2,0)</f>
        <v>20065896</v>
      </c>
      <c r="S17" s="8" t="s">
        <v>15</v>
      </c>
      <c r="T17" s="1">
        <f>SUMIFS(Data!E:E,Data!B:B,$B$3,Data!A:A,$B$16,Data!C:C,'Data Prep'!S17)</f>
        <v>207575</v>
      </c>
      <c r="U17" s="18">
        <f>T17/Populations!$B16 * 1000</f>
        <v>46.4539672124397</v>
      </c>
      <c r="V17" s="2">
        <f>AVERAGEIFS(Data!F:F,Data!B:B,'Data Prep'!$B$3,Data!A:A,'Data Prep'!$B$16,Data!C:C,'Data Prep'!S17)</f>
        <v>55987</v>
      </c>
      <c r="W17" s="21">
        <f t="shared" si="1"/>
        <v>-55987</v>
      </c>
    </row>
    <row r="18" spans="1:23" x14ac:dyDescent="0.3">
      <c r="A18" s="29" t="s">
        <v>79</v>
      </c>
      <c r="B18" s="4"/>
      <c r="H18" t="s">
        <v>70</v>
      </c>
      <c r="I18" s="1">
        <f>SUM(I3:I12)-I17</f>
        <v>96583443</v>
      </c>
      <c r="S18" s="8" t="s">
        <v>16</v>
      </c>
      <c r="T18" s="1">
        <f>SUMIFS(Data!E:E,Data!B:B,$B$3,Data!A:A,$B$16,Data!C:C,'Data Prep'!S18)</f>
        <v>204729</v>
      </c>
      <c r="U18" s="18">
        <f>T18/Populations!$B17 * 1000</f>
        <v>43.933469213803157</v>
      </c>
      <c r="V18" s="2">
        <f>AVERAGEIFS(Data!F:F,Data!B:B,'Data Prep'!$B$3,Data!A:A,'Data Prep'!$B$16,Data!C:C,'Data Prep'!S18)</f>
        <v>60136</v>
      </c>
      <c r="W18" s="21">
        <f t="shared" si="1"/>
        <v>-60136</v>
      </c>
    </row>
    <row r="19" spans="1:23" x14ac:dyDescent="0.3">
      <c r="A19" s="25" t="s">
        <v>80</v>
      </c>
      <c r="B19" s="22" t="str">
        <f>IF(Dashboard!A2=1,'Data Prep'!V2,'Data Prep'!U2)</f>
        <v>Avg. Wages</v>
      </c>
      <c r="S19" s="8" t="s">
        <v>17</v>
      </c>
      <c r="T19" s="1">
        <f>SUMIFS(Data!E:E,Data!B:B,$B$3,Data!A:A,$B$16,Data!C:C,'Data Prep'!S19)</f>
        <v>68952</v>
      </c>
      <c r="U19" s="18">
        <f>T19/Populations!$B18 * 1000</f>
        <v>51.518076754104143</v>
      </c>
      <c r="V19" s="2">
        <f>AVERAGEIFS(Data!F:F,Data!B:B,'Data Prep'!$B$3,Data!A:A,'Data Prep'!$B$16,Data!C:C,'Data Prep'!S19)</f>
        <v>66178</v>
      </c>
      <c r="W19" s="21">
        <f t="shared" si="1"/>
        <v>-66178</v>
      </c>
    </row>
    <row r="20" spans="1:23" x14ac:dyDescent="0.3">
      <c r="H20" s="22" t="s">
        <v>81</v>
      </c>
      <c r="I20" s="27">
        <f>I17/SUM(I17:I18)</f>
        <v>0.17201894303061588</v>
      </c>
      <c r="S20" s="8" t="s">
        <v>18</v>
      </c>
      <c r="T20" s="1">
        <f>SUMIFS(Data!E:E,Data!B:B,$B$3,Data!A:A,$B$16,Data!C:C,'Data Prep'!S20)</f>
        <v>441860</v>
      </c>
      <c r="U20" s="18">
        <f>T20/Populations!$B19 * 1000</f>
        <v>73.122723913311859</v>
      </c>
      <c r="V20" s="2">
        <f>AVERAGEIFS(Data!F:F,Data!B:B,'Data Prep'!$B$3,Data!A:A,'Data Prep'!$B$16,Data!C:C,'Data Prep'!S20)</f>
        <v>88391</v>
      </c>
      <c r="W20" s="21">
        <f t="shared" si="1"/>
        <v>-88391</v>
      </c>
    </row>
    <row r="21" spans="1:23" x14ac:dyDescent="0.3">
      <c r="S21" s="8" t="s">
        <v>19</v>
      </c>
      <c r="T21" s="1">
        <f>SUMIFS(Data!E:E,Data!B:B,$B$3,Data!A:A,$B$16,Data!C:C,'Data Prep'!S21)</f>
        <v>583792</v>
      </c>
      <c r="U21" s="18">
        <f>T21/Populations!$B20 * 1000</f>
        <v>84.581193480465288</v>
      </c>
      <c r="V21" s="2">
        <f>AVERAGEIFS(Data!F:F,Data!B:B,'Data Prep'!$B$3,Data!A:A,'Data Prep'!$B$16,Data!C:C,'Data Prep'!S21)</f>
        <v>124638</v>
      </c>
      <c r="W21" s="21">
        <f t="shared" si="1"/>
        <v>-124638</v>
      </c>
    </row>
    <row r="22" spans="1:23" x14ac:dyDescent="0.3">
      <c r="S22" s="8" t="s">
        <v>20</v>
      </c>
      <c r="T22" s="1">
        <f>SUMIFS(Data!E:E,Data!B:B,$B$3,Data!A:A,$B$16,Data!C:C,'Data Prep'!S22)</f>
        <v>599657</v>
      </c>
      <c r="U22" s="18">
        <f>T22/Populations!$B21 * 1000</f>
        <v>59.990205999150653</v>
      </c>
      <c r="V22" s="2">
        <f>AVERAGEIFS(Data!F:F,Data!B:B,'Data Prep'!$B$3,Data!A:A,'Data Prep'!$B$16,Data!C:C,'Data Prep'!S22)</f>
        <v>76432</v>
      </c>
      <c r="W22" s="21">
        <f t="shared" si="1"/>
        <v>-76432</v>
      </c>
    </row>
    <row r="23" spans="1:23" x14ac:dyDescent="0.3">
      <c r="S23" s="8" t="s">
        <v>21</v>
      </c>
      <c r="T23" s="1">
        <f>SUMIFS(Data!E:E,Data!B:B,$B$3,Data!A:A,$B$16,Data!C:C,'Data Prep'!S23)</f>
        <v>361183</v>
      </c>
      <c r="U23" s="18">
        <f>T23/Populations!$B22 * 1000</f>
        <v>64.368468730011998</v>
      </c>
      <c r="V23" s="2">
        <f>AVERAGEIFS(Data!F:F,Data!B:B,'Data Prep'!$B$3,Data!A:A,'Data Prep'!$B$16,Data!C:C,'Data Prep'!S23)</f>
        <v>91033</v>
      </c>
      <c r="W23" s="21">
        <f t="shared" si="1"/>
        <v>-91033</v>
      </c>
    </row>
    <row r="24" spans="1:23" x14ac:dyDescent="0.3">
      <c r="S24" s="8" t="s">
        <v>22</v>
      </c>
      <c r="T24" s="1">
        <f>SUMIFS(Data!E:E,Data!B:B,$B$3,Data!A:A,$B$16,Data!C:C,'Data Prep'!S24)</f>
        <v>107758</v>
      </c>
      <c r="U24" s="18">
        <f>T24/Populations!$B23 * 1000</f>
        <v>36.356655422525755</v>
      </c>
      <c r="V24" s="2">
        <f>AVERAGEIFS(Data!F:F,Data!B:B,'Data Prep'!$B$3,Data!A:A,'Data Prep'!$B$16,Data!C:C,'Data Prep'!S24)</f>
        <v>45573</v>
      </c>
      <c r="W24" s="21">
        <f t="shared" si="1"/>
        <v>-45573</v>
      </c>
    </row>
    <row r="25" spans="1:23" x14ac:dyDescent="0.3">
      <c r="S25" s="8" t="s">
        <v>23</v>
      </c>
      <c r="T25" s="1">
        <f>SUMIFS(Data!E:E,Data!B:B,$B$3,Data!A:A,$B$16,Data!C:C,'Data Prep'!S25)</f>
        <v>365657</v>
      </c>
      <c r="U25" s="18">
        <f>T25/Populations!$B24 * 1000</f>
        <v>59.684953052762026</v>
      </c>
      <c r="V25" s="2">
        <f>AVERAGEIFS(Data!F:F,Data!B:B,'Data Prep'!$B$3,Data!A:A,'Data Prep'!$B$16,Data!C:C,'Data Prep'!S25)</f>
        <v>72666</v>
      </c>
      <c r="W25" s="21">
        <f t="shared" si="1"/>
        <v>-72666</v>
      </c>
    </row>
    <row r="26" spans="1:23" x14ac:dyDescent="0.3">
      <c r="S26" s="8" t="s">
        <v>24</v>
      </c>
      <c r="T26" s="1">
        <f>SUMIFS(Data!E:E,Data!B:B,$B$3,Data!A:A,$B$16,Data!C:C,'Data Prep'!S26)</f>
        <v>43549</v>
      </c>
      <c r="U26" s="18">
        <f>T26/Populations!$B25 * 1000</f>
        <v>40.994817872456586</v>
      </c>
      <c r="V26" s="2">
        <f>AVERAGEIFS(Data!F:F,Data!B:B,'Data Prep'!$B$3,Data!A:A,'Data Prep'!$B$16,Data!C:C,'Data Prep'!S26)</f>
        <v>59785</v>
      </c>
      <c r="W26" s="21">
        <f t="shared" si="1"/>
        <v>-59785</v>
      </c>
    </row>
    <row r="27" spans="1:23" x14ac:dyDescent="0.3">
      <c r="S27" s="8" t="s">
        <v>25</v>
      </c>
      <c r="T27" s="1">
        <f>SUMIFS(Data!E:E,Data!B:B,$B$3,Data!A:A,$B$16,Data!C:C,'Data Prep'!S27)</f>
        <v>117288</v>
      </c>
      <c r="U27" s="18">
        <f>T27/Populations!$B26 * 1000</f>
        <v>60.79404209264861</v>
      </c>
      <c r="V27" s="2">
        <f>AVERAGEIFS(Data!F:F,Data!B:B,'Data Prep'!$B$3,Data!A:A,'Data Prep'!$B$16,Data!C:C,'Data Prep'!S27)</f>
        <v>65292</v>
      </c>
      <c r="W27" s="21">
        <f t="shared" si="1"/>
        <v>-65292</v>
      </c>
    </row>
    <row r="28" spans="1:23" x14ac:dyDescent="0.3">
      <c r="S28" s="8" t="s">
        <v>26</v>
      </c>
      <c r="T28" s="1">
        <f>SUMIFS(Data!E:E,Data!B:B,$B$3,Data!A:A,$B$16,Data!C:C,'Data Prep'!S28)</f>
        <v>179092</v>
      </c>
      <c r="U28" s="18">
        <f>T28/Populations!$B27 * 1000</f>
        <v>59.020719801528607</v>
      </c>
      <c r="V28" s="2">
        <f>AVERAGEIFS(Data!F:F,Data!B:B,'Data Prep'!$B$3,Data!A:A,'Data Prep'!$B$16,Data!C:C,'Data Prep'!S28)</f>
        <v>67081</v>
      </c>
      <c r="W28" s="21">
        <f t="shared" si="1"/>
        <v>-67081</v>
      </c>
    </row>
    <row r="29" spans="1:23" x14ac:dyDescent="0.3">
      <c r="S29" s="8" t="s">
        <v>27</v>
      </c>
      <c r="T29" s="1">
        <f>SUMIFS(Data!E:E,Data!B:B,$B$3,Data!A:A,$B$16,Data!C:C,'Data Prep'!S29)</f>
        <v>81639</v>
      </c>
      <c r="U29" s="18">
        <f>T29/Populations!$B28 * 1000</f>
        <v>60.185424097170717</v>
      </c>
      <c r="V29" s="2">
        <f>AVERAGEIFS(Data!F:F,Data!B:B,'Data Prep'!$B$3,Data!A:A,'Data Prep'!$B$16,Data!C:C,'Data Prep'!S29)</f>
        <v>88167</v>
      </c>
      <c r="W29" s="21">
        <f t="shared" si="1"/>
        <v>-88167</v>
      </c>
    </row>
    <row r="30" spans="1:23" x14ac:dyDescent="0.3">
      <c r="S30" s="8" t="s">
        <v>28</v>
      </c>
      <c r="T30" s="1">
        <f>SUMIFS(Data!E:E,Data!B:B,$B$3,Data!A:A,$B$16,Data!C:C,'Data Prep'!S30)</f>
        <v>643507</v>
      </c>
      <c r="U30" s="18">
        <f>T30/Populations!$B29 * 1000</f>
        <v>72.235006488170868</v>
      </c>
      <c r="V30" s="2">
        <f>AVERAGEIFS(Data!F:F,Data!B:B,'Data Prep'!$B$3,Data!A:A,'Data Prep'!$B$16,Data!C:C,'Data Prep'!S30)</f>
        <v>102666</v>
      </c>
      <c r="W30" s="21">
        <f t="shared" si="1"/>
        <v>-102666</v>
      </c>
    </row>
    <row r="31" spans="1:23" x14ac:dyDescent="0.3">
      <c r="S31" s="8" t="s">
        <v>29</v>
      </c>
      <c r="T31" s="1">
        <f>SUMIFS(Data!E:E,Data!B:B,$B$3,Data!A:A,$B$16,Data!C:C,'Data Prep'!S31)</f>
        <v>107707</v>
      </c>
      <c r="U31" s="18">
        <f>T31/Populations!$B30 * 1000</f>
        <v>51.400954840729433</v>
      </c>
      <c r="V31" s="2">
        <f>AVERAGEIFS(Data!F:F,Data!B:B,'Data Prep'!$B$3,Data!A:A,'Data Prep'!$B$16,Data!C:C,'Data Prep'!S31)</f>
        <v>69938</v>
      </c>
      <c r="W31" s="21">
        <f t="shared" si="1"/>
        <v>-69938</v>
      </c>
    </row>
    <row r="32" spans="1:23" x14ac:dyDescent="0.3">
      <c r="S32" s="8" t="s">
        <v>30</v>
      </c>
      <c r="T32" s="1">
        <f>SUMIFS(Data!E:E,Data!B:B,$B$3,Data!A:A,$B$16,Data!C:C,'Data Prep'!S32)</f>
        <v>1242471</v>
      </c>
      <c r="U32" s="18">
        <f>T32/Populations!$B31 * 1000</f>
        <v>63.578841061417371</v>
      </c>
      <c r="V32" s="2">
        <f>AVERAGEIFS(Data!F:F,Data!B:B,'Data Prep'!$B$3,Data!A:A,'Data Prep'!$B$16,Data!C:C,'Data Prep'!S32)</f>
        <v>109413</v>
      </c>
      <c r="W32" s="21">
        <f t="shared" si="1"/>
        <v>-109413</v>
      </c>
    </row>
    <row r="33" spans="19:23" x14ac:dyDescent="0.3">
      <c r="S33" s="8" t="s">
        <v>31</v>
      </c>
      <c r="T33" s="1">
        <f>SUMIFS(Data!E:E,Data!B:B,$B$3,Data!A:A,$B$16,Data!C:C,'Data Prep'!S33)</f>
        <v>637719</v>
      </c>
      <c r="U33" s="18">
        <f>T33/Populations!$B32 * 1000</f>
        <v>61.415864602132977</v>
      </c>
      <c r="V33" s="2">
        <f>AVERAGEIFS(Data!F:F,Data!B:B,'Data Prep'!$B$3,Data!A:A,'Data Prep'!$B$16,Data!C:C,'Data Prep'!S33)</f>
        <v>72078</v>
      </c>
      <c r="W33" s="21">
        <f t="shared" si="1"/>
        <v>-72078</v>
      </c>
    </row>
    <row r="34" spans="19:23" x14ac:dyDescent="0.3">
      <c r="S34" s="8" t="s">
        <v>32</v>
      </c>
      <c r="T34" s="1">
        <f>SUMIFS(Data!E:E,Data!B:B,$B$3,Data!A:A,$B$16,Data!C:C,'Data Prep'!S34)</f>
        <v>31642</v>
      </c>
      <c r="U34" s="18">
        <f>T34/Populations!$B33 * 1000</f>
        <v>41.629992750734466</v>
      </c>
      <c r="V34" s="2">
        <f>AVERAGEIFS(Data!F:F,Data!B:B,'Data Prep'!$B$3,Data!A:A,'Data Prep'!$B$16,Data!C:C,'Data Prep'!S34)</f>
        <v>65877</v>
      </c>
      <c r="W34" s="21">
        <f t="shared" si="1"/>
        <v>-65877</v>
      </c>
    </row>
    <row r="35" spans="19:23" x14ac:dyDescent="0.3">
      <c r="S35" s="8" t="s">
        <v>33</v>
      </c>
      <c r="T35" s="1">
        <f>SUMIFS(Data!E:E,Data!B:B,$B$3,Data!A:A,$B$16,Data!C:C,'Data Prep'!S35)</f>
        <v>697244</v>
      </c>
      <c r="U35" s="18">
        <f>T35/Populations!$B34 * 1000</f>
        <v>59.647329615904681</v>
      </c>
      <c r="V35" s="2">
        <f>AVERAGEIFS(Data!F:F,Data!B:B,'Data Prep'!$B$3,Data!A:A,'Data Prep'!$B$16,Data!C:C,'Data Prep'!S35)</f>
        <v>71920</v>
      </c>
      <c r="W35" s="21">
        <f t="shared" si="1"/>
        <v>-71920</v>
      </c>
    </row>
    <row r="36" spans="19:23" x14ac:dyDescent="0.3">
      <c r="S36" s="8" t="s">
        <v>34</v>
      </c>
      <c r="T36" s="1">
        <f>SUMIFS(Data!E:E,Data!B:B,$B$3,Data!A:A,$B$16,Data!C:C,'Data Prep'!S36)</f>
        <v>185307</v>
      </c>
      <c r="U36" s="18">
        <f>T36/Populations!$B35 * 1000</f>
        <v>46.995507825229978</v>
      </c>
      <c r="V36" s="2">
        <f>AVERAGEIFS(Data!F:F,Data!B:B,'Data Prep'!$B$3,Data!A:A,'Data Prep'!$B$16,Data!C:C,'Data Prep'!S36)</f>
        <v>58539</v>
      </c>
      <c r="W36" s="21">
        <f t="shared" si="1"/>
        <v>-58539</v>
      </c>
    </row>
    <row r="37" spans="19:23" x14ac:dyDescent="0.3">
      <c r="S37" s="8" t="s">
        <v>35</v>
      </c>
      <c r="T37" s="1">
        <f>SUMIFS(Data!E:E,Data!B:B,$B$3,Data!A:A,$B$16,Data!C:C,'Data Prep'!S37)</f>
        <v>242218</v>
      </c>
      <c r="U37" s="18">
        <f>T37/Populations!$B36 * 1000</f>
        <v>57.798756440729775</v>
      </c>
      <c r="V37" s="2">
        <f>AVERAGEIFS(Data!F:F,Data!B:B,'Data Prep'!$B$3,Data!A:A,'Data Prep'!$B$16,Data!C:C,'Data Prep'!S37)</f>
        <v>81224</v>
      </c>
      <c r="W37" s="21">
        <f t="shared" si="1"/>
        <v>-81224</v>
      </c>
    </row>
    <row r="38" spans="19:23" x14ac:dyDescent="0.3">
      <c r="S38" s="8" t="s">
        <v>36</v>
      </c>
      <c r="T38" s="1">
        <f>SUMIFS(Data!E:E,Data!B:B,$B$3,Data!A:A,$B$16,Data!C:C,'Data Prep'!S38)</f>
        <v>766122</v>
      </c>
      <c r="U38" s="18">
        <f>T38/Populations!$B37 * 1000</f>
        <v>59.820286623159411</v>
      </c>
      <c r="V38" s="2">
        <f>AVERAGEIFS(Data!F:F,Data!B:B,'Data Prep'!$B$3,Data!A:A,'Data Prep'!$B$16,Data!C:C,'Data Prep'!S38)</f>
        <v>86971</v>
      </c>
      <c r="W38" s="21">
        <f t="shared" si="1"/>
        <v>-86971</v>
      </c>
    </row>
    <row r="39" spans="19:23" x14ac:dyDescent="0.3">
      <c r="S39" s="8" t="s">
        <v>37</v>
      </c>
      <c r="T39" s="1">
        <f>SUMIFS(Data!E:E,Data!B:B,$B$3,Data!A:A,$B$16,Data!C:C,'Data Prep'!S39)</f>
        <v>65232</v>
      </c>
      <c r="U39" s="18">
        <f>T39/Populations!$B38 * 1000</f>
        <v>61.695899519064803</v>
      </c>
      <c r="V39" s="2">
        <f>AVERAGEIFS(Data!F:F,Data!B:B,'Data Prep'!$B$3,Data!A:A,'Data Prep'!$B$16,Data!C:C,'Data Prep'!S39)</f>
        <v>75829</v>
      </c>
      <c r="W39" s="21">
        <f t="shared" si="1"/>
        <v>-75829</v>
      </c>
    </row>
    <row r="40" spans="19:23" x14ac:dyDescent="0.3">
      <c r="S40" s="8" t="s">
        <v>38</v>
      </c>
      <c r="T40" s="1">
        <f>SUMIFS(Data!E:E,Data!B:B,$B$3,Data!A:A,$B$16,Data!C:C,'Data Prep'!S40)</f>
        <v>281874</v>
      </c>
      <c r="U40" s="18">
        <f>T40/Populations!$B39 * 1000</f>
        <v>55.441966732931732</v>
      </c>
      <c r="V40" s="2">
        <f>AVERAGEIFS(Data!F:F,Data!B:B,'Data Prep'!$B$3,Data!A:A,'Data Prep'!$B$16,Data!C:C,'Data Prep'!S40)</f>
        <v>56907</v>
      </c>
      <c r="W40" s="21">
        <f t="shared" si="1"/>
        <v>-56907</v>
      </c>
    </row>
    <row r="41" spans="19:23" x14ac:dyDescent="0.3">
      <c r="S41" s="8" t="s">
        <v>39</v>
      </c>
      <c r="T41" s="1">
        <f>SUMIFS(Data!E:E,Data!B:B,$B$3,Data!A:A,$B$16,Data!C:C,'Data Prep'!S41)</f>
        <v>32771</v>
      </c>
      <c r="U41" s="18">
        <f>T41/Populations!$B40 * 1000</f>
        <v>37.145431772713621</v>
      </c>
      <c r="V41" s="2">
        <f>AVERAGEIFS(Data!F:F,Data!B:B,'Data Prep'!$B$3,Data!A:A,'Data Prep'!$B$16,Data!C:C,'Data Prep'!S41)</f>
        <v>63709</v>
      </c>
      <c r="W41" s="21">
        <f t="shared" si="1"/>
        <v>-63709</v>
      </c>
    </row>
    <row r="42" spans="19:23" x14ac:dyDescent="0.3">
      <c r="S42" s="8" t="s">
        <v>40</v>
      </c>
      <c r="T42" s="1">
        <f>SUMIFS(Data!E:E,Data!B:B,$B$3,Data!A:A,$B$16,Data!C:C,'Data Prep'!S42)</f>
        <v>414644</v>
      </c>
      <c r="U42" s="18">
        <f>T42/Populations!$B41 * 1000</f>
        <v>61.247176887478751</v>
      </c>
      <c r="V42" s="2">
        <f>AVERAGEIFS(Data!F:F,Data!B:B,'Data Prep'!$B$3,Data!A:A,'Data Prep'!$B$16,Data!C:C,'Data Prep'!S42)</f>
        <v>66460</v>
      </c>
      <c r="W42" s="21">
        <f t="shared" si="1"/>
        <v>-66460</v>
      </c>
    </row>
    <row r="43" spans="19:23" x14ac:dyDescent="0.3">
      <c r="S43" s="8" t="s">
        <v>41</v>
      </c>
      <c r="T43" s="1">
        <f>SUMIFS(Data!E:E,Data!B:B,$B$3,Data!A:A,$B$16,Data!C:C,'Data Prep'!S43)</f>
        <v>1758991</v>
      </c>
      <c r="U43" s="18">
        <f>T43/Populations!$B42 * 1000</f>
        <v>61.2849452709399</v>
      </c>
      <c r="V43" s="2">
        <f>AVERAGEIFS(Data!F:F,Data!B:B,'Data Prep'!$B$3,Data!A:A,'Data Prep'!$B$16,Data!C:C,'Data Prep'!S43)</f>
        <v>81123</v>
      </c>
      <c r="W43" s="21">
        <f t="shared" si="1"/>
        <v>-81123</v>
      </c>
    </row>
    <row r="44" spans="19:23" x14ac:dyDescent="0.3">
      <c r="S44" s="8" t="s">
        <v>42</v>
      </c>
      <c r="T44" s="1">
        <f>SUMIFS(Data!E:E,Data!B:B,$B$3,Data!A:A,$B$16,Data!C:C,'Data Prep'!S44)</f>
        <v>223284</v>
      </c>
      <c r="U44" s="18">
        <f>T44/Populations!$B43 * 1000</f>
        <v>70.634793845822898</v>
      </c>
      <c r="V44" s="2">
        <f>AVERAGEIFS(Data!F:F,Data!B:B,'Data Prep'!$B$3,Data!A:A,'Data Prep'!$B$16,Data!C:C,'Data Prep'!S44)</f>
        <v>68355</v>
      </c>
      <c r="W44" s="21">
        <f t="shared" si="1"/>
        <v>-68355</v>
      </c>
    </row>
    <row r="45" spans="19:23" x14ac:dyDescent="0.3">
      <c r="S45" s="8" t="s">
        <v>43</v>
      </c>
      <c r="T45" s="1">
        <f>SUMIFS(Data!E:E,Data!B:B,$B$3,Data!A:A,$B$16,Data!C:C,'Data Prep'!S45)</f>
        <v>28512</v>
      </c>
      <c r="U45" s="18">
        <f>T45/Populations!$B44 * 1000</f>
        <v>45.524581709375234</v>
      </c>
      <c r="V45" s="2">
        <f>AVERAGEIFS(Data!F:F,Data!B:B,'Data Prep'!$B$3,Data!A:A,'Data Prep'!$B$16,Data!C:C,'Data Prep'!S45)</f>
        <v>74442</v>
      </c>
      <c r="W45" s="21">
        <f t="shared" si="1"/>
        <v>-74442</v>
      </c>
    </row>
    <row r="46" spans="19:23" x14ac:dyDescent="0.3">
      <c r="S46" s="8" t="s">
        <v>44</v>
      </c>
      <c r="T46" s="1">
        <f>SUMIFS(Data!E:E,Data!B:B,$B$3,Data!A:A,$B$16,Data!C:C,'Data Prep'!S46)</f>
        <v>752090</v>
      </c>
      <c r="U46" s="18">
        <f>T46/Populations!$B45 * 1000</f>
        <v>88.297465802034239</v>
      </c>
      <c r="V46" s="2">
        <f>AVERAGEIFS(Data!F:F,Data!B:B,'Data Prep'!$B$3,Data!A:A,'Data Prep'!$B$16,Data!C:C,'Data Prep'!S46)</f>
        <v>96046</v>
      </c>
      <c r="W46" s="21">
        <f t="shared" si="1"/>
        <v>-96046</v>
      </c>
    </row>
    <row r="47" spans="19:23" x14ac:dyDescent="0.3">
      <c r="S47" s="8" t="s">
        <v>45</v>
      </c>
      <c r="T47" s="1">
        <f>SUMIFS(Data!E:E,Data!B:B,$B$3,Data!A:A,$B$16,Data!C:C,'Data Prep'!S47)</f>
        <v>415190</v>
      </c>
      <c r="U47" s="18">
        <f>T47/Populations!$B46 * 1000</f>
        <v>54.523418779489091</v>
      </c>
      <c r="V47" s="2">
        <f>AVERAGEIFS(Data!F:F,Data!B:B,'Data Prep'!$B$3,Data!A:A,'Data Prep'!$B$16,Data!C:C,'Data Prep'!S47)</f>
        <v>92279</v>
      </c>
      <c r="W47" s="21">
        <f t="shared" si="1"/>
        <v>-92279</v>
      </c>
    </row>
    <row r="48" spans="19:23" x14ac:dyDescent="0.3">
      <c r="S48" s="8" t="s">
        <v>46</v>
      </c>
      <c r="T48" s="1">
        <f>SUMIFS(Data!E:E,Data!B:B,$B$3,Data!A:A,$B$16,Data!C:C,'Data Prep'!S48)</f>
        <v>65715</v>
      </c>
      <c r="U48" s="18">
        <f>T48/Populations!$B47 * 1000</f>
        <v>36.390428345493937</v>
      </c>
      <c r="V48" s="2">
        <f>AVERAGEIFS(Data!F:F,Data!B:B,'Data Prep'!$B$3,Data!A:A,'Data Prep'!$B$16,Data!C:C,'Data Prep'!S48)</f>
        <v>53557</v>
      </c>
      <c r="W48" s="21">
        <f t="shared" si="1"/>
        <v>-53557</v>
      </c>
    </row>
    <row r="49" spans="19:23" x14ac:dyDescent="0.3">
      <c r="S49" s="8" t="s">
        <v>47</v>
      </c>
      <c r="T49" s="1">
        <f>SUMIFS(Data!E:E,Data!B:B,$B$3,Data!A:A,$B$16,Data!C:C,'Data Prep'!S49)</f>
        <v>309780</v>
      </c>
      <c r="U49" s="18">
        <f>T49/Populations!$B48 * 1000</f>
        <v>53.285693054592294</v>
      </c>
      <c r="V49" s="2">
        <f>AVERAGEIFS(Data!F:F,Data!B:B,'Data Prep'!$B$3,Data!A:A,'Data Prep'!$B$16,Data!C:C,'Data Prep'!S49)</f>
        <v>67254</v>
      </c>
      <c r="W49" s="21">
        <f t="shared" si="1"/>
        <v>-67254</v>
      </c>
    </row>
    <row r="50" spans="19:23" x14ac:dyDescent="0.3">
      <c r="S50" s="8" t="s">
        <v>48</v>
      </c>
      <c r="T50" s="1">
        <f>SUMIFS(Data!E:E,Data!B:B,$B$3,Data!A:A,$B$16,Data!C:C,'Data Prep'!S50)</f>
        <v>18382</v>
      </c>
      <c r="U50" s="18">
        <f>T50/Populations!$B49 * 1000</f>
        <v>31.817245563292644</v>
      </c>
      <c r="V50" s="2">
        <f>AVERAGEIFS(Data!F:F,Data!B:B,'Data Prep'!$B$3,Data!A:A,'Data Prep'!$B$16,Data!C:C,'Data Prep'!S50)</f>
        <v>60233</v>
      </c>
      <c r="W50" s="21">
        <f t="shared" si="1"/>
        <v>-60233</v>
      </c>
    </row>
  </sheetData>
  <sheetProtection algorithmName="SHA-512" hashValue="lNSOZZnYeH3tpbOZYmcXs57zeD+yRDRXAqi4reC8hFEo6xuOmicZUJGI+plTxdDI2dj308fXIZ+A5limbBv5eQ==" saltValue="whjl3hiVAJTsuAlK6jgykw==" spinCount="100000" sheet="1" objects="1" scenarios="1"/>
  <sortState xmlns:xlrd2="http://schemas.microsoft.com/office/spreadsheetml/2017/richdata2" ref="H2:I12">
    <sortCondition descending="1" ref="I3:I12"/>
  </sortState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D54E1-CB62-49A9-BC13-DA30AF2FF4A2}">
  <dimension ref="A1:L49"/>
  <sheetViews>
    <sheetView showGridLines="0" zoomScale="90" zoomScaleNormal="90" workbookViewId="0">
      <selection activeCell="F7" sqref="F7"/>
    </sheetView>
  </sheetViews>
  <sheetFormatPr defaultColWidth="0" defaultRowHeight="14.4" zeroHeight="1" x14ac:dyDescent="0.3"/>
  <cols>
    <col min="1" max="1" width="5.88671875" customWidth="1"/>
    <col min="2" max="2" width="37.5546875" customWidth="1"/>
    <col min="3" max="3" width="8.77734375" customWidth="1"/>
    <col min="4" max="4" width="42.44140625" bestFit="1" customWidth="1"/>
    <col min="5" max="7" width="8.77734375" customWidth="1"/>
    <col min="8" max="8" width="38.33203125" customWidth="1"/>
    <col min="9" max="12" width="8.77734375" customWidth="1"/>
    <col min="13" max="16384" width="8.77734375" hidden="1"/>
  </cols>
  <sheetData>
    <row r="1" spans="1:8" x14ac:dyDescent="0.3">
      <c r="A1" s="24">
        <v>8</v>
      </c>
    </row>
    <row r="2" spans="1:8" x14ac:dyDescent="0.3">
      <c r="A2" s="24">
        <v>1</v>
      </c>
    </row>
    <row r="3" spans="1:8" x14ac:dyDescent="0.3"/>
    <row r="4" spans="1:8" x14ac:dyDescent="0.3"/>
    <row r="5" spans="1:8" ht="25.8" x14ac:dyDescent="0.5">
      <c r="B5" s="28" t="str" cm="1">
        <f t="array" ref="B5">INDEX('Data Prep'!D3:D12,11-Dashboard!A1)</f>
        <v>Business Services</v>
      </c>
    </row>
    <row r="6" spans="1:8" x14ac:dyDescent="0.3"/>
    <row r="7" spans="1:8" ht="21" x14ac:dyDescent="0.4">
      <c r="D7" t="s">
        <v>82</v>
      </c>
      <c r="H7" s="23"/>
    </row>
    <row r="8" spans="1:8" x14ac:dyDescent="0.3"/>
    <row r="9" spans="1:8" x14ac:dyDescent="0.3"/>
    <row r="10" spans="1:8" x14ac:dyDescent="0.3"/>
    <row r="11" spans="1:8" x14ac:dyDescent="0.3"/>
    <row r="12" spans="1:8" x14ac:dyDescent="0.3"/>
    <row r="13" spans="1:8" x14ac:dyDescent="0.3"/>
    <row r="14" spans="1:8" x14ac:dyDescent="0.3"/>
    <row r="15" spans="1:8" x14ac:dyDescent="0.3"/>
    <row r="16" spans="1:8" x14ac:dyDescent="0.3"/>
    <row r="17" customFormat="1" x14ac:dyDescent="0.3"/>
    <row r="18" customFormat="1" x14ac:dyDescent="0.3"/>
    <row r="19" customFormat="1" x14ac:dyDescent="0.3"/>
    <row r="20" customFormat="1" x14ac:dyDescent="0.3"/>
    <row r="21" customFormat="1" x14ac:dyDescent="0.3"/>
    <row r="22" customFormat="1" x14ac:dyDescent="0.3"/>
    <row r="23" customFormat="1" x14ac:dyDescent="0.3"/>
    <row r="24" customFormat="1" x14ac:dyDescent="0.3"/>
    <row r="25" customFormat="1" x14ac:dyDescent="0.3"/>
    <row r="26" customFormat="1" x14ac:dyDescent="0.3"/>
    <row r="27" customFormat="1" x14ac:dyDescent="0.3"/>
    <row r="28" customFormat="1" x14ac:dyDescent="0.3"/>
    <row r="29" customFormat="1" x14ac:dyDescent="0.3"/>
    <row r="30" customFormat="1" x14ac:dyDescent="0.3"/>
    <row r="31" customFormat="1" x14ac:dyDescent="0.3"/>
    <row r="32" customFormat="1" x14ac:dyDescent="0.3"/>
    <row r="33" customFormat="1" x14ac:dyDescent="0.3"/>
    <row r="34" customFormat="1" x14ac:dyDescent="0.3"/>
    <row r="35" customFormat="1" x14ac:dyDescent="0.3"/>
    <row r="36" customFormat="1" x14ac:dyDescent="0.3"/>
    <row r="37" customFormat="1" x14ac:dyDescent="0.3"/>
    <row r="38" customFormat="1" x14ac:dyDescent="0.3"/>
    <row r="39" customFormat="1" hidden="1" x14ac:dyDescent="0.3"/>
    <row r="40" customFormat="1" hidden="1" x14ac:dyDescent="0.3"/>
    <row r="41" customFormat="1" hidden="1" x14ac:dyDescent="0.3"/>
    <row r="42" customFormat="1" hidden="1" x14ac:dyDescent="0.3"/>
    <row r="43" customFormat="1" hidden="1" x14ac:dyDescent="0.3"/>
    <row r="44" customFormat="1" hidden="1" x14ac:dyDescent="0.3"/>
    <row r="45" customFormat="1" hidden="1" x14ac:dyDescent="0.3"/>
    <row r="46" customFormat="1" hidden="1" x14ac:dyDescent="0.3"/>
    <row r="47" customFormat="1" hidden="1" x14ac:dyDescent="0.3"/>
    <row r="48" customFormat="1" hidden="1" x14ac:dyDescent="0.3"/>
    <row r="49" customFormat="1" hidden="1" x14ac:dyDescent="0.3"/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0" r:id="rId4" name="Spinner 2">
              <controlPr defaultSize="0" autoPict="0">
                <anchor moveWithCells="1" sizeWithCells="1">
                  <from>
                    <xdr:col>2</xdr:col>
                    <xdr:colOff>60960</xdr:colOff>
                    <xdr:row>3</xdr:row>
                    <xdr:rowOff>182880</xdr:rowOff>
                  </from>
                  <to>
                    <xdr:col>2</xdr:col>
                    <xdr:colOff>403860</xdr:colOff>
                    <xdr:row>4</xdr:row>
                    <xdr:rowOff>327660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" r:id="rId5" name="Option Button 3">
              <controlPr defaultSize="0" autoFill="0" autoLine="0" autoPict="0">
                <anchor moveWithCells="1">
                  <from>
                    <xdr:col>7</xdr:col>
                    <xdr:colOff>22860</xdr:colOff>
                    <xdr:row>6</xdr:row>
                    <xdr:rowOff>114300</xdr:rowOff>
                  </from>
                  <to>
                    <xdr:col>7</xdr:col>
                    <xdr:colOff>960120</xdr:colOff>
                    <xdr:row>7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2" r:id="rId6" name="Option Button 4">
              <controlPr defaultSize="0" autoFill="0" autoLine="0" autoPict="0">
                <anchor moveWithCells="1">
                  <from>
                    <xdr:col>7</xdr:col>
                    <xdr:colOff>1905000</xdr:colOff>
                    <xdr:row>6</xdr:row>
                    <xdr:rowOff>114300</xdr:rowOff>
                  </from>
                  <to>
                    <xdr:col>9</xdr:col>
                    <xdr:colOff>274320</xdr:colOff>
                    <xdr:row>7</xdr:row>
                    <xdr:rowOff>60960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</vt:lpstr>
      <vt:lpstr>Populations</vt:lpstr>
      <vt:lpstr>Data Prep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Enrique Ruiz</dc:creator>
  <cp:lastModifiedBy>Admin</cp:lastModifiedBy>
  <dcterms:created xsi:type="dcterms:W3CDTF">2021-09-21T20:47:02Z</dcterms:created>
  <dcterms:modified xsi:type="dcterms:W3CDTF">2026-05-17T03:37:30Z</dcterms:modified>
</cp:coreProperties>
</file>