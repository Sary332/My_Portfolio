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defaultThemeVersion="166925"/>
  <mc:AlternateContent xmlns:mc="http://schemas.openxmlformats.org/markup-compatibility/2006">
    <mc:Choice Requires="x15">
      <x15ac:absPath xmlns:x15ac="http://schemas.microsoft.com/office/spreadsheetml/2010/11/ac" url="D:\Maven Analytics\Statistic For Data Analysis\StatisticsforDataAnalysis-221118-112009\Projects\"/>
    </mc:Choice>
  </mc:AlternateContent>
  <xr:revisionPtr revIDLastSave="0" documentId="13_ncr:1_{6E6AED9A-A6E7-49AA-B09F-66C82EEDF6D4}" xr6:coauthVersionLast="47" xr6:coauthVersionMax="47" xr10:uidLastSave="{00000000-0000-0000-0000-000000000000}"/>
  <bookViews>
    <workbookView xWindow="-108" yWindow="-108" windowWidth="23256" windowHeight="12456" activeTab="3" xr2:uid="{0E4CE17A-2A24-46D2-A636-177A1F161D3F}"/>
  </bookViews>
  <sheets>
    <sheet name="README" sheetId="2" r:id="rId1"/>
    <sheet name="Raw Data" sheetId="3" r:id="rId2"/>
    <sheet name="Analysis" sheetId="5" r:id="rId3"/>
    <sheet name="Summary" sheetId="4" r:id="rId4"/>
  </sheets>
  <calcPr calcId="191029"/>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43" i="5" l="1"/>
  <c r="B46" i="5"/>
  <c r="B45" i="5"/>
  <c r="B44" i="5"/>
  <c r="B42" i="5"/>
  <c r="B27" i="5"/>
  <c r="B26" i="5"/>
  <c r="B25" i="5"/>
  <c r="B24" i="5"/>
  <c r="C8" i="5"/>
  <c r="D8" i="5"/>
  <c r="C6" i="5"/>
  <c r="D6" i="5"/>
  <c r="B6" i="5"/>
  <c r="C5" i="5"/>
  <c r="D5" i="5"/>
  <c r="B5" i="5"/>
  <c r="C4" i="5"/>
  <c r="C7" i="5" s="1"/>
  <c r="D4" i="5"/>
  <c r="D7" i="5" s="1"/>
  <c r="B4" i="5"/>
  <c r="B7" i="5" s="1"/>
  <c r="B8" i="5" l="1"/>
  <c r="B23" i="5"/>
</calcChain>
</file>

<file path=xl/sharedStrings.xml><?xml version="1.0" encoding="utf-8"?>
<sst xmlns="http://schemas.openxmlformats.org/spreadsheetml/2006/main" count="109" uniqueCount="91">
  <si>
    <t>Before</t>
  </si>
  <si>
    <t>Shortly After</t>
  </si>
  <si>
    <t>After</t>
  </si>
  <si>
    <t>MAVEN SAFETY COUNCIL - Warning Sign Effectiveness Analysis</t>
  </si>
  <si>
    <t>Project Overview</t>
  </si>
  <si>
    <t>Role:</t>
  </si>
  <si>
    <t>Freelance Data Scientist for Maven Safety Council</t>
  </si>
  <si>
    <t>Requested by:</t>
  </si>
  <si>
    <t>Stuart Stop, Council President</t>
  </si>
  <si>
    <t>Subject:</t>
  </si>
  <si>
    <t>Evaluate if a warning sign significantly reduced car speeds</t>
  </si>
  <si>
    <t>Dataset:</t>
  </si>
  <si>
    <t>300 speed measurements (100 per group: Before, Shortly After, After)</t>
  </si>
  <si>
    <t>Tools:</t>
  </si>
  <si>
    <t>Microsoft Excel (T.DIST, T.INV, hypothesis testing)</t>
  </si>
  <si>
    <t>Key Objectives</t>
  </si>
  <si>
    <t>1. Identify the appropriate type of hypothesis test</t>
  </si>
  <si>
    <t>2. Perform hypothesis tests (Before vs Shortly After, Before vs After)</t>
  </si>
  <si>
    <t>3. Draw conclusions about the sign's effectiveness over time</t>
  </si>
  <si>
    <t>Tab Descriptions</t>
  </si>
  <si>
    <t>README</t>
  </si>
  <si>
    <t>Project overview, objectives, methodology</t>
  </si>
  <si>
    <t>Raw Data</t>
  </si>
  <si>
    <t>Original 300 speed measurements (untouched)</t>
  </si>
  <si>
    <t>Analysis</t>
  </si>
  <si>
    <t>Hypothesis tests, sample statistics, conclusions</t>
  </si>
  <si>
    <t>Summary</t>
  </si>
  <si>
    <t>Key findings and recommendations</t>
  </si>
  <si>
    <t>Statistical Methods Used</t>
  </si>
  <si>
    <t>KEY FINDINGS &amp; CONCLUSIONS</t>
  </si>
  <si>
    <t>Answers to Key Objectives</t>
  </si>
  <si>
    <t>1. What type of test is needed?</t>
  </si>
  <si>
    <t>An independent two-sample t-test (one-tailed, left) using Welch's method to account for unequal variances. We test whether the mean speed After is significantly lower than Before.</t>
  </si>
  <si>
    <t>2. Did the sign reduce speed short-term?</t>
  </si>
  <si>
    <t>YES — The sign reduced average speed by 2.11 mph shortly after installation (p=0.000105). This is statistically significant at the 90% confidence level.</t>
  </si>
  <si>
    <t>3. Did the sign reduce speed long-term?</t>
  </si>
  <si>
    <t>NO — After a longer period, speeds returned to pre-sign levels (mean difference: 0.05 mph, p=0.4628). The effect completely wore off.</t>
  </si>
  <si>
    <t>Overall Conclusion</t>
  </si>
  <si>
    <t>The warning sign is effective in the short term but its effect diminishes over time. Drivers initially respond to the new sign by slowing down, but eventually become accustomed to it and return to their original speeds. A static sign alone is not sufficient for sustained speed reduction.</t>
  </si>
  <si>
    <t>Recommendations</t>
  </si>
  <si>
    <t>Rotate or change the sign design periodically to prevent habituation.</t>
  </si>
  <si>
    <t>Consider additional measures: speed bumps, electronic speed displays, or enforcement cameras.</t>
  </si>
  <si>
    <t>Conduct follow-up measurements at regular intervals (weekly/monthly) to track exactly when the effect starts to fade.</t>
  </si>
  <si>
    <t>Test different sign designs or messages to find the most durable impact.</t>
  </si>
  <si>
    <t>1. SAMPLE STATISTICS</t>
  </si>
  <si>
    <t>Metric</t>
  </si>
  <si>
    <t>Sample Size (n)</t>
  </si>
  <si>
    <t>Mean Speed (mph)</t>
  </si>
  <si>
    <t>Variance</t>
  </si>
  <si>
    <t>Interpretation:</t>
  </si>
  <si>
    <t>Shortly After the sign was placed, mean speed dropped from 29.86 to 27.75 mph (a 2.11 mph reduction). However, After a longer period, the mean speed returned to 29.81 mph — nearly identical to the Before measurement. This suggests the sign's effect may be temporary.</t>
  </si>
  <si>
    <t>2. HYPOTHESIS TEST 1: Before vs Shortly After</t>
  </si>
  <si>
    <t>Parameter</t>
  </si>
  <si>
    <t>Value</t>
  </si>
  <si>
    <t>Ho (Null Hypothesis)</t>
  </si>
  <si>
    <t>Mean difference &gt;= 0 (no reduction)</t>
  </si>
  <si>
    <t>Ha (Alternative)</t>
  </si>
  <si>
    <t>Mean difference &lt; 0 (speed reduced)</t>
  </si>
  <si>
    <t>Significance Level (Alpha)</t>
  </si>
  <si>
    <t>0.10 (90% confidence)</t>
  </si>
  <si>
    <t>Point Estimate (x̄1 - x̄2)</t>
  </si>
  <si>
    <t>Standard Error</t>
  </si>
  <si>
    <t>Test Statistic (t)</t>
  </si>
  <si>
    <t>Degrees of Freedom</t>
  </si>
  <si>
    <t>P-Value</t>
  </si>
  <si>
    <t>Decision</t>
  </si>
  <si>
    <t>Reject Ho (P-Value &lt; Alpha)</t>
  </si>
  <si>
    <t>n - 1</t>
  </si>
  <si>
    <r>
      <t>S</t>
    </r>
    <r>
      <rPr>
        <b/>
        <sz val="10"/>
        <color rgb="FF1E293B"/>
        <rFont val="Calibri"/>
        <family val="2"/>
      </rPr>
      <t>² / n</t>
    </r>
  </si>
  <si>
    <t>With a p-value of 0.000105 (far below alpha 0.10), we REJECT the null hypothesis. There is statistically significant evidence that the warning sign reduced average car speed shortly after being installed. The 2.11 mph reduction is both statistically significant and practically meaningful.</t>
  </si>
  <si>
    <t>3. HYPOTHESIS TEST 2: Before vs After (Longer Period)</t>
  </si>
  <si>
    <t>0.05 (95% confidence)</t>
  </si>
  <si>
    <t>Fail to Reject Ho (P-Value &gt; Alpha)</t>
  </si>
  <si>
    <t>With a p-value of 0.4628 (far above alpha 0.05), we FAIL TO REJECT the null hypothesis. There is NO statistically significant evidence that the sign reduced speeds over the longer period. The mean difference is only 0.05 mph — essentially zero. The warning sign's effect has completely worn off.</t>
  </si>
  <si>
    <t>T.DIST.RT(t, df)</t>
  </si>
  <si>
    <t>Returns the right-tail probability of the t-distribution — used to calculate one-tailed p-values</t>
  </si>
  <si>
    <t>T.INV(probability, df)</t>
  </si>
  <si>
    <t>Returns the t-value for a given probability and degrees of freedom — used to find critical values</t>
  </si>
  <si>
    <t>AVERAGE(range)</t>
  </si>
  <si>
    <t>Calculates the mean speed for each group (Before, Shortly After, After)</t>
  </si>
  <si>
    <t>VAR.S(range)</t>
  </si>
  <si>
    <t>Calculates sample variance — used in standard error and t-statistic formulas</t>
  </si>
  <si>
    <t>COUNT(range)</t>
  </si>
  <si>
    <t>Counts the number of observations per group (n = 100 each)</t>
  </si>
  <si>
    <t>Standard Error Formula</t>
  </si>
  <si>
    <t>SE = SQRT((s1^2/n1) + (s2^2/n2)) — measures precision of the mean difference estimate</t>
  </si>
  <si>
    <t>Welch's t-Statistic</t>
  </si>
  <si>
    <t>t = (x̄1 - x̄2) / SE — tests whether the mean difference is statistically significant</t>
  </si>
  <si>
    <t>Welch's Degrees of Freedom</t>
  </si>
  <si>
    <t>Adjusted df formula accounting for unequal variances between groups</t>
  </si>
  <si>
    <r>
      <rPr>
        <b/>
        <i/>
        <sz val="11"/>
        <color theme="2" tint="-0.749992370372631"/>
        <rFont val="Times New Roman"/>
        <family val="1"/>
      </rPr>
      <t xml:space="preserve">Note: </t>
    </r>
    <r>
      <rPr>
        <i/>
        <sz val="11"/>
        <color theme="2" tint="-0.749992370372631"/>
        <rFont val="Times New Roman"/>
        <family val="1"/>
      </rPr>
      <t>All hypothesis tests use the independent two-sample t-test (one-tailed, left) with Welch's correction for unequal variances.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</si>
</sst>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30">
    <font>
      <sz val="11"/>
      <color theme="1"/>
      <name val="Calibri"/>
      <family val="2"/>
      <scheme val="minor"/>
    </font>
    <font>
      <b/>
      <sz val="18"/>
      <color rgb="FF0F1B3D"/>
      <name val="Times New Roman"/>
      <family val="1"/>
    </font>
    <font>
      <b/>
      <sz val="16"/>
      <color rgb="FF16697A"/>
      <name val="Times New Roman"/>
      <family val="1"/>
    </font>
    <font>
      <sz val="16"/>
      <color theme="1"/>
      <name val="Times New Roman"/>
      <family val="1"/>
    </font>
    <font>
      <b/>
      <sz val="12"/>
      <color rgb="FF1E293B"/>
      <name val="Times New Roman"/>
      <family val="1"/>
    </font>
    <font>
      <sz val="12"/>
      <color rgb="FF1E293B"/>
      <name val="Times New Roman"/>
      <family val="1"/>
    </font>
    <font>
      <sz val="11"/>
      <color theme="1"/>
      <name val="Times New Roman"/>
      <family val="1"/>
    </font>
    <font>
      <sz val="12"/>
      <color theme="1"/>
      <name val="Times New Roman"/>
      <family val="1"/>
    </font>
    <font>
      <b/>
      <sz val="12"/>
      <color rgb="FFFFFFFF"/>
      <name val="Times New Roman"/>
      <family val="1"/>
    </font>
    <font>
      <b/>
      <sz val="14"/>
      <color rgb="FF0F1B3D"/>
      <name val="Arial"/>
      <family val="2"/>
    </font>
    <font>
      <b/>
      <sz val="11"/>
      <color rgb="FFFFFFFF"/>
      <name val="Arial"/>
      <family val="2"/>
    </font>
    <font>
      <b/>
      <sz val="10"/>
      <color rgb="FF1E293B"/>
      <name val="Arial"/>
      <family val="2"/>
    </font>
    <font>
      <sz val="10"/>
      <color rgb="FF1E293B"/>
      <name val="Arial"/>
      <family val="2"/>
    </font>
    <font>
      <i/>
      <sz val="10"/>
      <color theme="2" tint="-0.749992370372631"/>
      <name val="Arial"/>
      <family val="2"/>
    </font>
    <font>
      <b/>
      <sz val="10"/>
      <color rgb="FF27AE60"/>
      <name val="Arial"/>
      <family val="2"/>
    </font>
    <font>
      <b/>
      <sz val="10"/>
      <color rgb="FF1E293B"/>
      <name val="Calibri"/>
      <family val="2"/>
    </font>
    <font>
      <b/>
      <sz val="10"/>
      <color rgb="FFC00000"/>
      <name val="Arial"/>
      <family val="2"/>
    </font>
    <font>
      <sz val="11"/>
      <color theme="2" tint="-0.749992370372631"/>
      <name val="Calibri"/>
      <family val="2"/>
      <scheme val="minor"/>
    </font>
    <font>
      <sz val="11"/>
      <color theme="2" tint="-0.749992370372631"/>
      <name val="Times New Roman"/>
      <family val="1"/>
    </font>
    <font>
      <sz val="12"/>
      <color theme="1"/>
      <name val="Calibri "/>
    </font>
    <font>
      <sz val="11"/>
      <color theme="1"/>
      <name val="Calibri "/>
    </font>
    <font>
      <b/>
      <sz val="16"/>
      <color rgb="FF0F1B3D"/>
      <name val="Calibri "/>
    </font>
    <font>
      <b/>
      <sz val="16"/>
      <color rgb="FF16697A"/>
      <name val="Calibri "/>
    </font>
    <font>
      <sz val="16"/>
      <color theme="1"/>
      <name val="Calibri "/>
    </font>
    <font>
      <b/>
      <sz val="14"/>
      <color rgb="FF1E293B"/>
      <name val="Calibri "/>
    </font>
    <font>
      <sz val="14"/>
      <color theme="1"/>
      <name val="Calibri "/>
    </font>
    <font>
      <i/>
      <sz val="11"/>
      <color theme="2" tint="-0.749992370372631"/>
      <name val="Times New Roman"/>
      <family val="1"/>
    </font>
    <font>
      <b/>
      <i/>
      <sz val="11"/>
      <color theme="2" tint="-0.749992370372631"/>
      <name val="Times New Roman"/>
      <family val="1"/>
    </font>
    <font>
      <sz val="12"/>
      <color rgb="FF1E293B"/>
      <name val="Arial"/>
      <family val="2"/>
    </font>
    <font>
      <sz val="12"/>
      <color theme="1"/>
      <name val="Arial"/>
      <family val="2"/>
    </font>
  </fonts>
  <fills count="3">
    <fill>
      <patternFill patternType="none"/>
    </fill>
    <fill>
      <patternFill patternType="gray125"/>
    </fill>
    <fill>
      <patternFill patternType="solid">
        <fgColor rgb="FF0F1B3D"/>
      </patternFill>
    </fill>
  </fills>
  <borders count="11">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54">
    <xf numFmtId="0" fontId="0" fillId="0" borderId="0" xfId="0"/>
    <xf numFmtId="0" fontId="0" fillId="0" borderId="1" xfId="0" applyBorder="1"/>
    <xf numFmtId="0" fontId="4" fillId="0" borderId="0" xfId="0" applyFont="1"/>
    <xf numFmtId="0" fontId="5" fillId="0" borderId="0" xfId="0" applyFont="1"/>
    <xf numFmtId="0" fontId="6" fillId="0" borderId="0" xfId="0" applyFont="1"/>
    <xf numFmtId="0" fontId="8" fillId="2" borderId="0" xfId="0" applyFont="1" applyFill="1"/>
    <xf numFmtId="0" fontId="11" fillId="0" borderId="1" xfId="0" applyFont="1" applyBorder="1"/>
    <xf numFmtId="0" fontId="11" fillId="0" borderId="4" xfId="0" applyFont="1" applyBorder="1"/>
    <xf numFmtId="0" fontId="10" fillId="2" borderId="1" xfId="0" applyFont="1" applyFill="1" applyBorder="1"/>
    <xf numFmtId="2" fontId="0" fillId="0" borderId="1" xfId="0" applyNumberFormat="1" applyBorder="1"/>
    <xf numFmtId="1" fontId="0" fillId="0" borderId="1" xfId="0" applyNumberFormat="1" applyBorder="1"/>
    <xf numFmtId="0" fontId="19" fillId="0" borderId="0" xfId="0" applyFont="1" applyAlignment="1">
      <alignment horizontal="center" vertical="center"/>
    </xf>
    <xf numFmtId="0" fontId="20" fillId="0" borderId="0" xfId="0" applyFont="1"/>
    <xf numFmtId="0" fontId="22" fillId="0" borderId="0" xfId="0" applyFont="1"/>
    <xf numFmtId="0" fontId="23" fillId="0" borderId="0" xfId="0" applyFont="1"/>
    <xf numFmtId="0" fontId="24" fillId="0" borderId="0" xfId="0" applyFont="1"/>
    <xf numFmtId="0" fontId="25" fillId="0" borderId="0" xfId="0" applyFont="1"/>
    <xf numFmtId="0" fontId="4" fillId="0" borderId="1" xfId="0" applyFont="1" applyBorder="1"/>
    <xf numFmtId="0" fontId="5" fillId="0" borderId="1" xfId="0" applyFont="1" applyBorder="1" applyAlignment="1">
      <alignment wrapText="1"/>
    </xf>
    <xf numFmtId="0" fontId="26" fillId="0" borderId="9" xfId="0" applyFont="1" applyBorder="1" applyAlignment="1">
      <alignment wrapText="1"/>
    </xf>
    <xf numFmtId="0" fontId="18" fillId="0" borderId="10" xfId="0" applyFont="1" applyBorder="1"/>
    <xf numFmtId="0" fontId="2" fillId="0" borderId="0" xfId="0" applyFont="1"/>
    <xf numFmtId="0" fontId="3" fillId="0" borderId="0" xfId="0" applyFont="1"/>
    <xf numFmtId="0" fontId="1" fillId="0" borderId="0" xfId="0" applyFont="1"/>
    <xf numFmtId="0" fontId="0" fillId="0" borderId="0" xfId="0"/>
    <xf numFmtId="0" fontId="5" fillId="0" borderId="0" xfId="0" applyFont="1"/>
    <xf numFmtId="0" fontId="7" fillId="0" borderId="0" xfId="0" applyFont="1"/>
    <xf numFmtId="164" fontId="0" fillId="0" borderId="1" xfId="0" applyNumberFormat="1" applyBorder="1" applyAlignment="1">
      <alignment horizontal="right"/>
    </xf>
    <xf numFmtId="2" fontId="0" fillId="0" borderId="1" xfId="0" applyNumberFormat="1" applyBorder="1" applyAlignment="1">
      <alignment horizontal="right"/>
    </xf>
    <xf numFmtId="0" fontId="16" fillId="0" borderId="1" xfId="0" applyFont="1" applyBorder="1" applyAlignment="1">
      <alignment horizontal="right"/>
    </xf>
    <xf numFmtId="0" fontId="13" fillId="0" borderId="5" xfId="0" applyFont="1" applyBorder="1" applyAlignment="1">
      <alignment vertical="top" wrapText="1"/>
    </xf>
    <xf numFmtId="0" fontId="17" fillId="0" borderId="2" xfId="0" applyFont="1" applyBorder="1"/>
    <xf numFmtId="0" fontId="17" fillId="0" borderId="6" xfId="0" applyFont="1" applyBorder="1"/>
    <xf numFmtId="0" fontId="17" fillId="0" borderId="7" xfId="0" applyFont="1" applyBorder="1"/>
    <xf numFmtId="0" fontId="17" fillId="0" borderId="3" xfId="0" applyFont="1" applyBorder="1"/>
    <xf numFmtId="0" fontId="17" fillId="0" borderId="8" xfId="0" applyFont="1" applyBorder="1"/>
    <xf numFmtId="0" fontId="10" fillId="2" borderId="1" xfId="0" applyFont="1" applyFill="1" applyBorder="1" applyAlignment="1">
      <alignment horizontal="center"/>
    </xf>
    <xf numFmtId="0" fontId="12" fillId="0" borderId="1" xfId="0" applyFont="1" applyBorder="1" applyAlignment="1">
      <alignment horizontal="right"/>
    </xf>
    <xf numFmtId="0" fontId="0" fillId="0" borderId="1" xfId="0" applyBorder="1" applyAlignment="1">
      <alignment horizontal="right"/>
    </xf>
    <xf numFmtId="0" fontId="14" fillId="0" borderId="1" xfId="0" applyFont="1" applyBorder="1" applyAlignment="1">
      <alignment horizontal="right"/>
    </xf>
    <xf numFmtId="0" fontId="9" fillId="0" borderId="0" xfId="0" applyFont="1"/>
    <xf numFmtId="0" fontId="13" fillId="0" borderId="5" xfId="0" applyFont="1" applyBorder="1" applyAlignment="1">
      <alignment horizontal="left" vertical="top" wrapText="1"/>
    </xf>
    <xf numFmtId="0" fontId="13" fillId="0" borderId="2" xfId="0" applyFont="1" applyBorder="1" applyAlignment="1">
      <alignment horizontal="left" vertical="top" wrapText="1"/>
    </xf>
    <xf numFmtId="0" fontId="13" fillId="0" borderId="6" xfId="0" applyFont="1" applyBorder="1" applyAlignment="1">
      <alignment horizontal="left" vertical="top" wrapText="1"/>
    </xf>
    <xf numFmtId="0" fontId="13" fillId="0" borderId="7" xfId="0" applyFont="1" applyBorder="1" applyAlignment="1">
      <alignment horizontal="left" vertical="top" wrapText="1"/>
    </xf>
    <xf numFmtId="0" fontId="13" fillId="0" borderId="3" xfId="0" applyFont="1" applyBorder="1" applyAlignment="1">
      <alignment horizontal="left" vertical="top" wrapText="1"/>
    </xf>
    <xf numFmtId="0" fontId="13" fillId="0" borderId="8" xfId="0" applyFont="1" applyBorder="1" applyAlignment="1">
      <alignment horizontal="left" vertical="top" wrapText="1"/>
    </xf>
    <xf numFmtId="0" fontId="22" fillId="0" borderId="0" xfId="0" applyFont="1"/>
    <xf numFmtId="0" fontId="23" fillId="0" borderId="0" xfId="0" applyFont="1"/>
    <xf numFmtId="0" fontId="21" fillId="0" borderId="0" xfId="0" applyFont="1"/>
    <xf numFmtId="0" fontId="20" fillId="0" borderId="0" xfId="0" applyFont="1"/>
    <xf numFmtId="0" fontId="28" fillId="0" borderId="0" xfId="0" applyFont="1" applyAlignment="1">
      <alignment wrapText="1"/>
    </xf>
    <xf numFmtId="0" fontId="29" fillId="0" borderId="0" xfId="0" applyFont="1"/>
    <xf numFmtId="0" fontId="29" fillId="0" borderId="0" xfId="0" applyFont="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E069A7-3068-4945-BB9D-38B7607136CC}">
  <sheetPr>
    <tabColor theme="5" tint="0.39997558519241921"/>
  </sheetPr>
  <dimension ref="B2:C37"/>
  <sheetViews>
    <sheetView workbookViewId="0">
      <selection activeCell="D28" sqref="D28"/>
    </sheetView>
  </sheetViews>
  <sheetFormatPr defaultRowHeight="14.4"/>
  <cols>
    <col min="1" max="1" width="3.21875" customWidth="1"/>
    <col min="2" max="2" width="37" customWidth="1"/>
    <col min="3" max="3" width="64.109375" bestFit="1" customWidth="1"/>
  </cols>
  <sheetData>
    <row r="2" spans="2:3" ht="22.8">
      <c r="B2" s="23" t="s">
        <v>3</v>
      </c>
      <c r="C2" s="24"/>
    </row>
    <row r="4" spans="2:3" ht="21">
      <c r="B4" s="21" t="s">
        <v>4</v>
      </c>
      <c r="C4" s="22"/>
    </row>
    <row r="5" spans="2:3" ht="15.6">
      <c r="B5" s="2" t="s">
        <v>5</v>
      </c>
      <c r="C5" s="3" t="s">
        <v>6</v>
      </c>
    </row>
    <row r="6" spans="2:3" ht="15.6">
      <c r="B6" s="2" t="s">
        <v>7</v>
      </c>
      <c r="C6" s="3" t="s">
        <v>8</v>
      </c>
    </row>
    <row r="7" spans="2:3" ht="15.6">
      <c r="B7" s="2" t="s">
        <v>9</v>
      </c>
      <c r="C7" s="3" t="s">
        <v>10</v>
      </c>
    </row>
    <row r="8" spans="2:3" ht="15.6">
      <c r="B8" s="2" t="s">
        <v>11</v>
      </c>
      <c r="C8" s="3" t="s">
        <v>12</v>
      </c>
    </row>
    <row r="9" spans="2:3" ht="15.6">
      <c r="B9" s="2" t="s">
        <v>13</v>
      </c>
      <c r="C9" s="3" t="s">
        <v>14</v>
      </c>
    </row>
    <row r="10" spans="2:3">
      <c r="B10" s="4"/>
      <c r="C10" s="4"/>
    </row>
    <row r="11" spans="2:3">
      <c r="B11" s="4"/>
      <c r="C11" s="4"/>
    </row>
    <row r="12" spans="2:3" ht="21">
      <c r="B12" s="21" t="s">
        <v>15</v>
      </c>
      <c r="C12" s="22"/>
    </row>
    <row r="13" spans="2:3" ht="15.6">
      <c r="B13" s="25" t="s">
        <v>16</v>
      </c>
      <c r="C13" s="26"/>
    </row>
    <row r="14" spans="2:3" ht="15.6">
      <c r="B14" s="25" t="s">
        <v>17</v>
      </c>
      <c r="C14" s="26"/>
    </row>
    <row r="15" spans="2:3" ht="15.6">
      <c r="B15" s="25" t="s">
        <v>18</v>
      </c>
      <c r="C15" s="26"/>
    </row>
    <row r="16" spans="2:3">
      <c r="B16" s="4"/>
      <c r="C16" s="4"/>
    </row>
    <row r="17" spans="2:3">
      <c r="B17" s="4"/>
      <c r="C17" s="4"/>
    </row>
    <row r="18" spans="2:3" ht="21">
      <c r="B18" s="21" t="s">
        <v>19</v>
      </c>
      <c r="C18" s="22"/>
    </row>
    <row r="19" spans="2:3" ht="15.6">
      <c r="B19" s="2" t="s">
        <v>20</v>
      </c>
      <c r="C19" s="3" t="s">
        <v>21</v>
      </c>
    </row>
    <row r="20" spans="2:3" ht="15.6">
      <c r="B20" s="2" t="s">
        <v>22</v>
      </c>
      <c r="C20" s="3" t="s">
        <v>23</v>
      </c>
    </row>
    <row r="21" spans="2:3" ht="15.6">
      <c r="B21" s="2" t="s">
        <v>24</v>
      </c>
      <c r="C21" s="3" t="s">
        <v>25</v>
      </c>
    </row>
    <row r="22" spans="2:3" ht="15.6">
      <c r="B22" s="2" t="s">
        <v>26</v>
      </c>
      <c r="C22" s="3" t="s">
        <v>27</v>
      </c>
    </row>
    <row r="23" spans="2:3">
      <c r="B23" s="4"/>
      <c r="C23" s="4"/>
    </row>
    <row r="24" spans="2:3">
      <c r="B24" s="4"/>
      <c r="C24" s="4"/>
    </row>
    <row r="25" spans="2:3" ht="21">
      <c r="B25" s="21" t="s">
        <v>28</v>
      </c>
      <c r="C25" s="22"/>
    </row>
    <row r="26" spans="2:3" ht="36.6" customHeight="1">
      <c r="B26" s="17" t="s">
        <v>74</v>
      </c>
      <c r="C26" s="18" t="s">
        <v>75</v>
      </c>
    </row>
    <row r="27" spans="2:3" ht="40.799999999999997" customHeight="1">
      <c r="B27" s="17" t="s">
        <v>76</v>
      </c>
      <c r="C27" s="18" t="s">
        <v>77</v>
      </c>
    </row>
    <row r="28" spans="2:3" ht="24.6" customHeight="1">
      <c r="B28" s="17" t="s">
        <v>78</v>
      </c>
      <c r="C28" s="18" t="s">
        <v>79</v>
      </c>
    </row>
    <row r="29" spans="2:3" ht="39.6" customHeight="1">
      <c r="B29" s="17" t="s">
        <v>80</v>
      </c>
      <c r="C29" s="18" t="s">
        <v>81</v>
      </c>
    </row>
    <row r="30" spans="2:3" ht="15.6">
      <c r="B30" s="17" t="s">
        <v>82</v>
      </c>
      <c r="C30" s="18" t="s">
        <v>83</v>
      </c>
    </row>
    <row r="31" spans="2:3" ht="40.799999999999997" customHeight="1">
      <c r="B31" s="17" t="s">
        <v>84</v>
      </c>
      <c r="C31" s="18" t="s">
        <v>85</v>
      </c>
    </row>
    <row r="32" spans="2:3" ht="41.4" customHeight="1">
      <c r="B32" s="17" t="s">
        <v>86</v>
      </c>
      <c r="C32" s="18" t="s">
        <v>87</v>
      </c>
    </row>
    <row r="33" spans="2:3" ht="27" customHeight="1">
      <c r="B33" s="17" t="s">
        <v>88</v>
      </c>
      <c r="C33" s="18" t="s">
        <v>89</v>
      </c>
    </row>
    <row r="34" spans="2:3">
      <c r="B34" s="4"/>
      <c r="C34" s="4"/>
    </row>
    <row r="37" spans="2:3" ht="30" customHeight="1">
      <c r="B37" s="19" t="s">
        <v>90</v>
      </c>
      <c r="C37" s="20"/>
    </row>
  </sheetData>
  <mergeCells count="9">
    <mergeCell ref="B37:C37"/>
    <mergeCell ref="B18:C18"/>
    <mergeCell ref="B25:C25"/>
    <mergeCell ref="B2:C2"/>
    <mergeCell ref="B4:C4"/>
    <mergeCell ref="B12:C12"/>
    <mergeCell ref="B13:C13"/>
    <mergeCell ref="B14:C14"/>
    <mergeCell ref="B15:C15"/>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065B9-03AF-482A-B5F9-0EF6962ACB6C}">
  <sheetPr>
    <tabColor theme="7" tint="0.39997558519241921"/>
  </sheetPr>
  <dimension ref="A1:C101"/>
  <sheetViews>
    <sheetView workbookViewId="0">
      <selection activeCell="C8" sqref="C8"/>
    </sheetView>
  </sheetViews>
  <sheetFormatPr defaultRowHeight="14.4"/>
  <cols>
    <col min="1" max="3" width="16" customWidth="1"/>
  </cols>
  <sheetData>
    <row r="1" spans="1:3" ht="15.6">
      <c r="A1" s="5" t="s">
        <v>0</v>
      </c>
      <c r="B1" s="5" t="s">
        <v>1</v>
      </c>
      <c r="C1" s="5" t="s">
        <v>2</v>
      </c>
    </row>
    <row r="2" spans="1:3" ht="15.6">
      <c r="A2" s="3">
        <v>33</v>
      </c>
      <c r="B2" s="3">
        <v>28</v>
      </c>
      <c r="C2" s="3">
        <v>30</v>
      </c>
    </row>
    <row r="3" spans="1:3" ht="15.6">
      <c r="A3" s="3">
        <v>34</v>
      </c>
      <c r="B3" s="3">
        <v>24</v>
      </c>
      <c r="C3" s="3">
        <v>30</v>
      </c>
    </row>
    <row r="4" spans="1:3" ht="15.6">
      <c r="A4" s="3">
        <v>32</v>
      </c>
      <c r="B4" s="3">
        <v>34</v>
      </c>
      <c r="C4" s="3">
        <v>27</v>
      </c>
    </row>
    <row r="5" spans="1:3" ht="15.6">
      <c r="A5" s="3">
        <v>32</v>
      </c>
      <c r="B5" s="3">
        <v>34</v>
      </c>
      <c r="C5" s="3">
        <v>30</v>
      </c>
    </row>
    <row r="6" spans="1:3" ht="15.6">
      <c r="A6" s="3">
        <v>26</v>
      </c>
      <c r="B6" s="3">
        <v>37</v>
      </c>
      <c r="C6" s="3">
        <v>25</v>
      </c>
    </row>
    <row r="7" spans="1:3" ht="15.6">
      <c r="A7" s="3">
        <v>22</v>
      </c>
      <c r="B7" s="3">
        <v>23</v>
      </c>
      <c r="C7" s="3">
        <v>28</v>
      </c>
    </row>
    <row r="8" spans="1:3" ht="15.6">
      <c r="A8" s="3">
        <v>31</v>
      </c>
      <c r="B8" s="3">
        <v>32</v>
      </c>
      <c r="C8" s="3">
        <v>28</v>
      </c>
    </row>
    <row r="9" spans="1:3" ht="15.6">
      <c r="A9" s="3">
        <v>34</v>
      </c>
      <c r="B9" s="3">
        <v>26</v>
      </c>
      <c r="C9" s="3">
        <v>28</v>
      </c>
    </row>
    <row r="10" spans="1:3" ht="15.6">
      <c r="A10" s="3">
        <v>31</v>
      </c>
      <c r="B10" s="3">
        <v>27</v>
      </c>
      <c r="C10" s="3">
        <v>36</v>
      </c>
    </row>
    <row r="11" spans="1:3" ht="15.6">
      <c r="A11" s="3">
        <v>32</v>
      </c>
      <c r="B11" s="3">
        <v>26</v>
      </c>
      <c r="C11" s="3">
        <v>28</v>
      </c>
    </row>
    <row r="12" spans="1:3" ht="15.6">
      <c r="A12" s="3">
        <v>37</v>
      </c>
      <c r="B12" s="3">
        <v>34</v>
      </c>
      <c r="C12" s="3">
        <v>36</v>
      </c>
    </row>
    <row r="13" spans="1:3" ht="15.6">
      <c r="A13" s="3">
        <v>29</v>
      </c>
      <c r="B13" s="3">
        <v>26</v>
      </c>
      <c r="C13" s="3">
        <v>25</v>
      </c>
    </row>
    <row r="14" spans="1:3" ht="15.6">
      <c r="A14" s="3">
        <v>27</v>
      </c>
      <c r="B14" s="3">
        <v>30</v>
      </c>
      <c r="C14" s="3">
        <v>29</v>
      </c>
    </row>
    <row r="15" spans="1:3" ht="15.6">
      <c r="A15" s="3">
        <v>29</v>
      </c>
      <c r="B15" s="3">
        <v>34</v>
      </c>
      <c r="C15" s="3">
        <v>35</v>
      </c>
    </row>
    <row r="16" spans="1:3" ht="15.6">
      <c r="A16" s="3">
        <v>30</v>
      </c>
      <c r="B16" s="3">
        <v>28</v>
      </c>
      <c r="C16" s="3">
        <v>35</v>
      </c>
    </row>
    <row r="17" spans="1:3" ht="15.6">
      <c r="A17" s="3">
        <v>31</v>
      </c>
      <c r="B17" s="3">
        <v>20</v>
      </c>
      <c r="C17" s="3">
        <v>29</v>
      </c>
    </row>
    <row r="18" spans="1:3" ht="15.6">
      <c r="A18" s="3">
        <v>30</v>
      </c>
      <c r="B18" s="3">
        <v>30</v>
      </c>
      <c r="C18" s="3">
        <v>32</v>
      </c>
    </row>
    <row r="19" spans="1:3" ht="15.6">
      <c r="A19" s="3">
        <v>36</v>
      </c>
      <c r="B19" s="3">
        <v>26</v>
      </c>
      <c r="C19" s="3">
        <v>27</v>
      </c>
    </row>
    <row r="20" spans="1:3" ht="15.6">
      <c r="A20" s="3">
        <v>35</v>
      </c>
      <c r="B20" s="3">
        <v>32</v>
      </c>
      <c r="C20" s="3">
        <v>30</v>
      </c>
    </row>
    <row r="21" spans="1:3" ht="15.6">
      <c r="A21" s="3">
        <v>32</v>
      </c>
      <c r="B21" s="3">
        <v>22</v>
      </c>
      <c r="C21" s="3">
        <v>25</v>
      </c>
    </row>
    <row r="22" spans="1:3" ht="15.6">
      <c r="A22" s="3">
        <v>34</v>
      </c>
      <c r="B22" s="3">
        <v>25</v>
      </c>
      <c r="C22" s="3">
        <v>28</v>
      </c>
    </row>
    <row r="23" spans="1:3" ht="15.6">
      <c r="A23" s="3">
        <v>35</v>
      </c>
      <c r="B23" s="3">
        <v>28</v>
      </c>
      <c r="C23" s="3">
        <v>29</v>
      </c>
    </row>
    <row r="24" spans="1:3" ht="15.6">
      <c r="A24" s="3">
        <v>34</v>
      </c>
      <c r="B24" s="3">
        <v>24</v>
      </c>
      <c r="C24" s="3">
        <v>36</v>
      </c>
    </row>
    <row r="25" spans="1:3" ht="15.6">
      <c r="A25" s="3">
        <v>28</v>
      </c>
      <c r="B25" s="3">
        <v>31</v>
      </c>
      <c r="C25" s="3">
        <v>26</v>
      </c>
    </row>
    <row r="26" spans="1:3" ht="15.6">
      <c r="A26" s="3">
        <v>26</v>
      </c>
      <c r="B26" s="3">
        <v>28</v>
      </c>
      <c r="C26" s="3">
        <v>29</v>
      </c>
    </row>
    <row r="27" spans="1:3" ht="15.6">
      <c r="A27" s="3">
        <v>34</v>
      </c>
      <c r="B27" s="3">
        <v>21</v>
      </c>
      <c r="C27" s="3">
        <v>30</v>
      </c>
    </row>
    <row r="28" spans="1:3" ht="15.6">
      <c r="A28" s="3">
        <v>30</v>
      </c>
      <c r="B28" s="3">
        <v>34</v>
      </c>
      <c r="C28" s="3">
        <v>33</v>
      </c>
    </row>
    <row r="29" spans="1:3" ht="15.6">
      <c r="A29" s="3">
        <v>33</v>
      </c>
      <c r="B29" s="3">
        <v>28</v>
      </c>
      <c r="C29" s="3">
        <v>34</v>
      </c>
    </row>
    <row r="30" spans="1:3" ht="15.6">
      <c r="A30" s="3">
        <v>26</v>
      </c>
      <c r="B30" s="3">
        <v>29</v>
      </c>
      <c r="C30" s="3">
        <v>32</v>
      </c>
    </row>
    <row r="31" spans="1:3" ht="15.6">
      <c r="A31" s="3">
        <v>28</v>
      </c>
      <c r="B31" s="3">
        <v>28</v>
      </c>
      <c r="C31" s="3">
        <v>24</v>
      </c>
    </row>
    <row r="32" spans="1:3" ht="15.6">
      <c r="A32" s="3">
        <v>24</v>
      </c>
      <c r="B32" s="3">
        <v>32</v>
      </c>
      <c r="C32" s="3">
        <v>28</v>
      </c>
    </row>
    <row r="33" spans="1:3" ht="15.6">
      <c r="A33" s="3">
        <v>35</v>
      </c>
      <c r="B33" s="3">
        <v>30</v>
      </c>
      <c r="C33" s="3">
        <v>32</v>
      </c>
    </row>
    <row r="34" spans="1:3" ht="15.6">
      <c r="A34" s="3">
        <v>34</v>
      </c>
      <c r="B34" s="3">
        <v>29</v>
      </c>
      <c r="C34" s="3">
        <v>34</v>
      </c>
    </row>
    <row r="35" spans="1:3" ht="15.6">
      <c r="A35" s="3">
        <v>34</v>
      </c>
      <c r="B35" s="3">
        <v>32</v>
      </c>
      <c r="C35" s="3">
        <v>31</v>
      </c>
    </row>
    <row r="36" spans="1:3" ht="15.6">
      <c r="A36" s="3">
        <v>38</v>
      </c>
      <c r="B36" s="3">
        <v>26</v>
      </c>
      <c r="C36" s="3">
        <v>20</v>
      </c>
    </row>
    <row r="37" spans="1:3" ht="15.6">
      <c r="A37" s="3">
        <v>43</v>
      </c>
      <c r="B37" s="3">
        <v>27</v>
      </c>
      <c r="C37" s="3">
        <v>32</v>
      </c>
    </row>
    <row r="38" spans="1:3" ht="15.6">
      <c r="A38" s="3">
        <v>27</v>
      </c>
      <c r="B38" s="3">
        <v>25</v>
      </c>
      <c r="C38" s="3">
        <v>27</v>
      </c>
    </row>
    <row r="39" spans="1:3" ht="15.6">
      <c r="A39" s="3">
        <v>27</v>
      </c>
      <c r="B39" s="3">
        <v>29</v>
      </c>
      <c r="C39" s="3">
        <v>26</v>
      </c>
    </row>
    <row r="40" spans="1:3" ht="15.6">
      <c r="A40" s="3">
        <v>26</v>
      </c>
      <c r="B40" s="3">
        <v>24</v>
      </c>
      <c r="C40" s="3">
        <v>32</v>
      </c>
    </row>
    <row r="41" spans="1:3" ht="15.6">
      <c r="A41" s="3">
        <v>28</v>
      </c>
      <c r="B41" s="3">
        <v>30</v>
      </c>
      <c r="C41" s="3">
        <v>26</v>
      </c>
    </row>
    <row r="42" spans="1:3" ht="15.6">
      <c r="A42" s="3">
        <v>24</v>
      </c>
      <c r="B42" s="3">
        <v>26</v>
      </c>
      <c r="C42" s="3">
        <v>27</v>
      </c>
    </row>
    <row r="43" spans="1:3" ht="15.6">
      <c r="A43" s="3">
        <v>33</v>
      </c>
      <c r="B43" s="3">
        <v>31</v>
      </c>
      <c r="C43" s="3">
        <v>34</v>
      </c>
    </row>
    <row r="44" spans="1:3" ht="15.6">
      <c r="A44" s="3">
        <v>24</v>
      </c>
      <c r="B44" s="3">
        <v>28</v>
      </c>
      <c r="C44" s="3">
        <v>29</v>
      </c>
    </row>
    <row r="45" spans="1:3" ht="15.6">
      <c r="A45" s="3">
        <v>34</v>
      </c>
      <c r="B45" s="3">
        <v>33</v>
      </c>
      <c r="C45" s="3">
        <v>34</v>
      </c>
    </row>
    <row r="46" spans="1:3" ht="15.6">
      <c r="A46" s="3">
        <v>27</v>
      </c>
      <c r="B46" s="3">
        <v>26</v>
      </c>
      <c r="C46" s="3">
        <v>29</v>
      </c>
    </row>
    <row r="47" spans="1:3" ht="15.6">
      <c r="A47" s="3">
        <v>31</v>
      </c>
      <c r="B47" s="3">
        <v>23</v>
      </c>
      <c r="C47" s="3">
        <v>27</v>
      </c>
    </row>
    <row r="48" spans="1:3" ht="15.6">
      <c r="A48" s="3">
        <v>26</v>
      </c>
      <c r="B48" s="3">
        <v>23</v>
      </c>
      <c r="C48" s="3">
        <v>28</v>
      </c>
    </row>
    <row r="49" spans="1:3" ht="15.6">
      <c r="A49" s="3">
        <v>22</v>
      </c>
      <c r="B49" s="3">
        <v>29</v>
      </c>
      <c r="C49" s="3">
        <v>26</v>
      </c>
    </row>
    <row r="50" spans="1:3" ht="15.6">
      <c r="A50" s="3">
        <v>29</v>
      </c>
      <c r="B50" s="3">
        <v>27</v>
      </c>
      <c r="C50" s="3">
        <v>33</v>
      </c>
    </row>
    <row r="51" spans="1:3" ht="15.6">
      <c r="A51" s="3">
        <v>31</v>
      </c>
      <c r="B51" s="3">
        <v>36</v>
      </c>
      <c r="C51" s="3">
        <v>26</v>
      </c>
    </row>
    <row r="52" spans="1:3" ht="15.6">
      <c r="A52" s="3">
        <v>29</v>
      </c>
      <c r="B52" s="3">
        <v>28</v>
      </c>
      <c r="C52" s="3">
        <v>28</v>
      </c>
    </row>
    <row r="53" spans="1:3" ht="15.6">
      <c r="A53" s="3">
        <v>30</v>
      </c>
      <c r="B53" s="3">
        <v>29</v>
      </c>
      <c r="C53" s="3">
        <v>33</v>
      </c>
    </row>
    <row r="54" spans="1:3" ht="15.6">
      <c r="A54" s="3">
        <v>35</v>
      </c>
      <c r="B54" s="3">
        <v>32</v>
      </c>
      <c r="C54" s="3">
        <v>27</v>
      </c>
    </row>
    <row r="55" spans="1:3" ht="15.6">
      <c r="A55" s="3">
        <v>29</v>
      </c>
      <c r="B55" s="3">
        <v>24</v>
      </c>
      <c r="C55" s="3">
        <v>38</v>
      </c>
    </row>
    <row r="56" spans="1:3" ht="15.6">
      <c r="A56" s="3">
        <v>30</v>
      </c>
      <c r="B56" s="3">
        <v>21</v>
      </c>
      <c r="C56" s="3">
        <v>36</v>
      </c>
    </row>
    <row r="57" spans="1:3" ht="15.6">
      <c r="A57" s="3">
        <v>24</v>
      </c>
      <c r="B57" s="3">
        <v>25</v>
      </c>
      <c r="C57" s="3">
        <v>27</v>
      </c>
    </row>
    <row r="58" spans="1:3" ht="15.6">
      <c r="A58" s="3">
        <v>36</v>
      </c>
      <c r="B58" s="3">
        <v>24</v>
      </c>
      <c r="C58" s="3">
        <v>24</v>
      </c>
    </row>
    <row r="59" spans="1:3" ht="15.6">
      <c r="A59" s="3">
        <v>28</v>
      </c>
      <c r="B59" s="3">
        <v>24</v>
      </c>
      <c r="C59" s="3">
        <v>29</v>
      </c>
    </row>
    <row r="60" spans="1:3" ht="15.6">
      <c r="A60" s="3">
        <v>36</v>
      </c>
      <c r="B60" s="3">
        <v>29</v>
      </c>
      <c r="C60" s="3">
        <v>28</v>
      </c>
    </row>
    <row r="61" spans="1:3" ht="15.6">
      <c r="A61" s="3">
        <v>30</v>
      </c>
      <c r="B61" s="3">
        <v>28</v>
      </c>
      <c r="C61" s="3">
        <v>26</v>
      </c>
    </row>
    <row r="62" spans="1:3" ht="15.6">
      <c r="A62" s="3">
        <v>28</v>
      </c>
      <c r="B62" s="3">
        <v>28</v>
      </c>
      <c r="C62" s="3">
        <v>28</v>
      </c>
    </row>
    <row r="63" spans="1:3" ht="15.6">
      <c r="A63" s="3">
        <v>31</v>
      </c>
      <c r="B63" s="3">
        <v>26</v>
      </c>
      <c r="C63" s="3">
        <v>35</v>
      </c>
    </row>
    <row r="64" spans="1:3" ht="15.6">
      <c r="A64" s="3">
        <v>28</v>
      </c>
      <c r="B64" s="3">
        <v>28</v>
      </c>
      <c r="C64" s="3">
        <v>35</v>
      </c>
    </row>
    <row r="65" spans="1:3" ht="15.6">
      <c r="A65" s="3">
        <v>22</v>
      </c>
      <c r="B65" s="3">
        <v>29</v>
      </c>
      <c r="C65" s="3">
        <v>24</v>
      </c>
    </row>
    <row r="66" spans="1:3" ht="15.6">
      <c r="A66" s="3">
        <v>38</v>
      </c>
      <c r="B66" s="3">
        <v>32</v>
      </c>
      <c r="C66" s="3">
        <v>31</v>
      </c>
    </row>
    <row r="67" spans="1:3" ht="15.6">
      <c r="A67" s="3">
        <v>26</v>
      </c>
      <c r="B67" s="3">
        <v>25</v>
      </c>
      <c r="C67" s="3">
        <v>33</v>
      </c>
    </row>
    <row r="68" spans="1:3" ht="15.6">
      <c r="A68" s="3">
        <v>28</v>
      </c>
      <c r="B68" s="3">
        <v>28</v>
      </c>
      <c r="C68" s="3">
        <v>27</v>
      </c>
    </row>
    <row r="69" spans="1:3" ht="15.6">
      <c r="A69" s="3">
        <v>29</v>
      </c>
      <c r="B69" s="3">
        <v>26</v>
      </c>
      <c r="C69" s="3">
        <v>29</v>
      </c>
    </row>
    <row r="70" spans="1:3" ht="15.6">
      <c r="A70" s="3">
        <v>27</v>
      </c>
      <c r="B70" s="3">
        <v>29</v>
      </c>
      <c r="C70" s="3">
        <v>33</v>
      </c>
    </row>
    <row r="71" spans="1:3" ht="15.6">
      <c r="A71" s="3">
        <v>29</v>
      </c>
      <c r="B71" s="3">
        <v>22</v>
      </c>
      <c r="C71" s="3">
        <v>35</v>
      </c>
    </row>
    <row r="72" spans="1:3" ht="15.6">
      <c r="A72" s="3">
        <v>25</v>
      </c>
      <c r="B72" s="3">
        <v>24</v>
      </c>
      <c r="C72" s="3">
        <v>30</v>
      </c>
    </row>
    <row r="73" spans="1:3" ht="15.6">
      <c r="A73" s="3">
        <v>37</v>
      </c>
      <c r="B73" s="3">
        <v>28</v>
      </c>
      <c r="C73" s="3">
        <v>32</v>
      </c>
    </row>
    <row r="74" spans="1:3" ht="15.6">
      <c r="A74" s="3">
        <v>36</v>
      </c>
      <c r="B74" s="3">
        <v>22</v>
      </c>
      <c r="C74" s="3">
        <v>29</v>
      </c>
    </row>
    <row r="75" spans="1:3" ht="15.6">
      <c r="A75" s="3">
        <v>25</v>
      </c>
      <c r="B75" s="3">
        <v>30</v>
      </c>
      <c r="C75" s="3">
        <v>26</v>
      </c>
    </row>
    <row r="76" spans="1:3" ht="15.6">
      <c r="A76" s="3">
        <v>32</v>
      </c>
      <c r="B76" s="3">
        <v>19</v>
      </c>
      <c r="C76" s="3">
        <v>30</v>
      </c>
    </row>
    <row r="77" spans="1:3" ht="15.6">
      <c r="A77" s="3">
        <v>24</v>
      </c>
      <c r="B77" s="3">
        <v>30</v>
      </c>
      <c r="C77" s="3">
        <v>25</v>
      </c>
    </row>
    <row r="78" spans="1:3" ht="15.6">
      <c r="A78" s="3">
        <v>26</v>
      </c>
      <c r="B78" s="3">
        <v>32</v>
      </c>
      <c r="C78" s="3">
        <v>31</v>
      </c>
    </row>
    <row r="79" spans="1:3" ht="15.6">
      <c r="A79" s="3">
        <v>27</v>
      </c>
      <c r="B79" s="3">
        <v>24</v>
      </c>
      <c r="C79" s="3">
        <v>30</v>
      </c>
    </row>
    <row r="80" spans="1:3" ht="15.6">
      <c r="A80" s="3">
        <v>29</v>
      </c>
      <c r="B80" s="3">
        <v>26</v>
      </c>
      <c r="C80" s="3">
        <v>33</v>
      </c>
    </row>
    <row r="81" spans="1:3" ht="15.6">
      <c r="A81" s="3">
        <v>28</v>
      </c>
      <c r="B81" s="3">
        <v>28</v>
      </c>
      <c r="C81" s="3">
        <v>29</v>
      </c>
    </row>
    <row r="82" spans="1:3" ht="15.6">
      <c r="A82" s="3">
        <v>26</v>
      </c>
      <c r="B82" s="3">
        <v>27</v>
      </c>
      <c r="C82" s="3">
        <v>32</v>
      </c>
    </row>
    <row r="83" spans="1:3" ht="15.6">
      <c r="A83" s="3">
        <v>28</v>
      </c>
      <c r="B83" s="3">
        <v>28</v>
      </c>
      <c r="C83" s="3">
        <v>28</v>
      </c>
    </row>
    <row r="84" spans="1:3" ht="15.6">
      <c r="A84" s="3">
        <v>26</v>
      </c>
      <c r="B84" s="3">
        <v>30</v>
      </c>
      <c r="C84" s="3">
        <v>34</v>
      </c>
    </row>
    <row r="85" spans="1:3" ht="15.6">
      <c r="A85" s="3">
        <v>26</v>
      </c>
      <c r="B85" s="3">
        <v>24</v>
      </c>
      <c r="C85" s="3">
        <v>33</v>
      </c>
    </row>
    <row r="86" spans="1:3" ht="15.6">
      <c r="A86" s="3">
        <v>28</v>
      </c>
      <c r="B86" s="3">
        <v>23</v>
      </c>
      <c r="C86" s="3">
        <v>29</v>
      </c>
    </row>
    <row r="87" spans="1:3" ht="15.6">
      <c r="A87" s="3">
        <v>26</v>
      </c>
      <c r="B87" s="3">
        <v>33</v>
      </c>
      <c r="C87" s="3">
        <v>30</v>
      </c>
    </row>
    <row r="88" spans="1:3" ht="15.6">
      <c r="A88" s="3">
        <v>28</v>
      </c>
      <c r="B88" s="3">
        <v>34</v>
      </c>
      <c r="C88" s="3">
        <v>26</v>
      </c>
    </row>
    <row r="89" spans="1:3" ht="15.6">
      <c r="A89" s="3">
        <v>32</v>
      </c>
      <c r="B89" s="3">
        <v>26</v>
      </c>
      <c r="C89" s="3">
        <v>28</v>
      </c>
    </row>
    <row r="90" spans="1:3" ht="15.6">
      <c r="A90" s="3">
        <v>35</v>
      </c>
      <c r="B90" s="3">
        <v>26</v>
      </c>
      <c r="C90" s="3">
        <v>31</v>
      </c>
    </row>
    <row r="91" spans="1:3" ht="15.6">
      <c r="A91" s="3">
        <v>24</v>
      </c>
      <c r="B91" s="3">
        <v>29</v>
      </c>
      <c r="C91" s="3">
        <v>30</v>
      </c>
    </row>
    <row r="92" spans="1:3" ht="15.6">
      <c r="A92" s="3">
        <v>30</v>
      </c>
      <c r="B92" s="3">
        <v>28</v>
      </c>
      <c r="C92" s="3">
        <v>26</v>
      </c>
    </row>
    <row r="93" spans="1:3" ht="15.6">
      <c r="A93" s="3">
        <v>27</v>
      </c>
      <c r="B93" s="3">
        <v>27</v>
      </c>
      <c r="C93" s="3">
        <v>30</v>
      </c>
    </row>
    <row r="94" spans="1:3" ht="15.6">
      <c r="A94" s="3">
        <v>30</v>
      </c>
      <c r="B94" s="3">
        <v>36</v>
      </c>
      <c r="C94" s="3">
        <v>29</v>
      </c>
    </row>
    <row r="95" spans="1:3" ht="15.6">
      <c r="A95" s="3">
        <v>33</v>
      </c>
      <c r="B95" s="3">
        <v>29</v>
      </c>
      <c r="C95" s="3">
        <v>28</v>
      </c>
    </row>
    <row r="96" spans="1:3" ht="15.6">
      <c r="A96" s="3">
        <v>31</v>
      </c>
      <c r="B96" s="3">
        <v>24</v>
      </c>
      <c r="C96" s="3">
        <v>35</v>
      </c>
    </row>
    <row r="97" spans="1:3" ht="15.6">
      <c r="A97" s="3">
        <v>31</v>
      </c>
      <c r="B97" s="3">
        <v>25</v>
      </c>
      <c r="C97" s="3">
        <v>34</v>
      </c>
    </row>
    <row r="98" spans="1:3" ht="15.6">
      <c r="A98" s="3">
        <v>28</v>
      </c>
      <c r="B98" s="3">
        <v>27</v>
      </c>
      <c r="C98" s="3">
        <v>33</v>
      </c>
    </row>
    <row r="99" spans="1:3" ht="15.6">
      <c r="A99" s="3">
        <v>25</v>
      </c>
      <c r="B99" s="3">
        <v>23</v>
      </c>
      <c r="C99" s="3">
        <v>25</v>
      </c>
    </row>
    <row r="100" spans="1:3" ht="15.6">
      <c r="A100" s="3">
        <v>29</v>
      </c>
      <c r="B100" s="3">
        <v>25</v>
      </c>
      <c r="C100" s="3">
        <v>31</v>
      </c>
    </row>
    <row r="101" spans="1:3" ht="15.6">
      <c r="A101" s="3">
        <v>33</v>
      </c>
      <c r="B101" s="3">
        <v>36</v>
      </c>
      <c r="C101" s="3">
        <v>33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7B0372-C68C-4595-ABCF-400EE339C32D}">
  <sheetPr>
    <tabColor theme="8" tint="0.39997558519241921"/>
  </sheetPr>
  <dimension ref="A1:F52"/>
  <sheetViews>
    <sheetView topLeftCell="A22" workbookViewId="0">
      <selection activeCell="B27" sqref="B27:C27"/>
    </sheetView>
  </sheetViews>
  <sheetFormatPr defaultRowHeight="14.4"/>
  <cols>
    <col min="1" max="1" width="25.44140625" customWidth="1"/>
    <col min="2" max="2" width="13.44140625" customWidth="1"/>
    <col min="3" max="3" width="19.5546875" customWidth="1"/>
    <col min="4" max="4" width="14.44140625" customWidth="1"/>
  </cols>
  <sheetData>
    <row r="1" spans="1:6" ht="17.399999999999999">
      <c r="A1" s="40" t="s">
        <v>44</v>
      </c>
      <c r="B1" s="24"/>
      <c r="C1" s="24"/>
      <c r="D1" s="24"/>
    </row>
    <row r="3" spans="1:6">
      <c r="A3" s="8" t="s">
        <v>45</v>
      </c>
      <c r="B3" s="8" t="s">
        <v>0</v>
      </c>
      <c r="C3" s="8" t="s">
        <v>1</v>
      </c>
      <c r="D3" s="8" t="s">
        <v>2</v>
      </c>
    </row>
    <row r="4" spans="1:6">
      <c r="A4" s="6" t="s">
        <v>46</v>
      </c>
      <c r="B4" s="1">
        <f>COUNT('Raw Data'!A2:A101)</f>
        <v>100</v>
      </c>
      <c r="C4" s="1">
        <f>COUNT('Raw Data'!B2:B101)</f>
        <v>100</v>
      </c>
      <c r="D4" s="1">
        <f>COUNT('Raw Data'!C2:C101)</f>
        <v>100</v>
      </c>
    </row>
    <row r="5" spans="1:6">
      <c r="A5" s="6" t="s">
        <v>47</v>
      </c>
      <c r="B5" s="1">
        <f>AVERAGE('Raw Data'!A2:A101)</f>
        <v>29.86</v>
      </c>
      <c r="C5" s="1">
        <f>AVERAGE('Raw Data'!B2:B101)</f>
        <v>27.75</v>
      </c>
      <c r="D5" s="1">
        <f>AVERAGE('Raw Data'!C2:C101)</f>
        <v>29.81</v>
      </c>
    </row>
    <row r="6" spans="1:6">
      <c r="A6" s="6" t="s">
        <v>48</v>
      </c>
      <c r="B6" s="9">
        <f>_xlfn.VAR.S('Raw Data'!A2:A101)</f>
        <v>16.626666666666601</v>
      </c>
      <c r="C6" s="9">
        <f>_xlfn.VAR.S('Raw Data'!B2:B101)</f>
        <v>14.593434343434344</v>
      </c>
      <c r="D6" s="9">
        <f>_xlfn.VAR.S('Raw Data'!C2:C101)</f>
        <v>11.892828282828276</v>
      </c>
    </row>
    <row r="7" spans="1:6">
      <c r="A7" s="6" t="s">
        <v>67</v>
      </c>
      <c r="B7" s="10">
        <f>B4-1</f>
        <v>99</v>
      </c>
      <c r="C7" s="10">
        <f t="shared" ref="C7:D7" si="0">C4-1</f>
        <v>99</v>
      </c>
      <c r="D7" s="10">
        <f t="shared" si="0"/>
        <v>99</v>
      </c>
    </row>
    <row r="8" spans="1:6">
      <c r="A8" s="6" t="s">
        <v>68</v>
      </c>
      <c r="B8" s="9">
        <f>B6/B7</f>
        <v>0.16794612794612729</v>
      </c>
      <c r="C8" s="9">
        <f t="shared" ref="C8:D8" si="1">C6/C7</f>
        <v>0.14740842771145801</v>
      </c>
      <c r="D8" s="9">
        <f t="shared" si="1"/>
        <v>0.12012957861442704</v>
      </c>
    </row>
    <row r="12" spans="1:6">
      <c r="A12" s="7" t="s">
        <v>49</v>
      </c>
    </row>
    <row r="13" spans="1:6" ht="14.4" customHeight="1">
      <c r="A13" s="41" t="s">
        <v>50</v>
      </c>
      <c r="B13" s="42"/>
      <c r="C13" s="42"/>
      <c r="D13" s="42"/>
      <c r="E13" s="42"/>
      <c r="F13" s="43"/>
    </row>
    <row r="14" spans="1:6" ht="32.4" customHeight="1">
      <c r="A14" s="44"/>
      <c r="B14" s="45"/>
      <c r="C14" s="45"/>
      <c r="D14" s="45"/>
      <c r="E14" s="45"/>
      <c r="F14" s="46"/>
    </row>
    <row r="17" spans="1:6" ht="17.399999999999999">
      <c r="A17" s="40" t="s">
        <v>51</v>
      </c>
      <c r="B17" s="24"/>
      <c r="C17" s="24"/>
      <c r="D17" s="24"/>
      <c r="E17" s="24"/>
      <c r="F17" s="24"/>
    </row>
    <row r="19" spans="1:6" ht="18" customHeight="1">
      <c r="A19" s="8" t="s">
        <v>52</v>
      </c>
      <c r="B19" s="36" t="s">
        <v>53</v>
      </c>
      <c r="C19" s="36"/>
    </row>
    <row r="20" spans="1:6">
      <c r="A20" s="6" t="s">
        <v>54</v>
      </c>
      <c r="B20" s="37" t="s">
        <v>55</v>
      </c>
      <c r="C20" s="37"/>
    </row>
    <row r="21" spans="1:6">
      <c r="A21" s="6" t="s">
        <v>56</v>
      </c>
      <c r="B21" s="37" t="s">
        <v>57</v>
      </c>
      <c r="C21" s="37"/>
    </row>
    <row r="22" spans="1:6">
      <c r="A22" s="6" t="s">
        <v>58</v>
      </c>
      <c r="B22" s="37" t="s">
        <v>59</v>
      </c>
      <c r="C22" s="37"/>
    </row>
    <row r="23" spans="1:6">
      <c r="A23" s="6" t="s">
        <v>60</v>
      </c>
      <c r="B23" s="38">
        <f>C5-B5</f>
        <v>-2.1099999999999994</v>
      </c>
      <c r="C23" s="38"/>
    </row>
    <row r="24" spans="1:6">
      <c r="A24" s="6" t="s">
        <v>61</v>
      </c>
      <c r="B24" s="27">
        <f>SQRT(B8+C8)</f>
        <v>0.56156438246881835</v>
      </c>
      <c r="C24" s="27"/>
    </row>
    <row r="25" spans="1:6">
      <c r="A25" s="6" t="s">
        <v>62</v>
      </c>
      <c r="B25" s="27">
        <f>(B23 - 0)/B24</f>
        <v>-3.7573608046930578</v>
      </c>
      <c r="C25" s="27"/>
    </row>
    <row r="26" spans="1:6">
      <c r="A26" s="6" t="s">
        <v>63</v>
      </c>
      <c r="B26" s="28">
        <f>(C8 + B8)^2 / (C8^2/C7 + B8^2 / B7)</f>
        <v>197.16375701427577</v>
      </c>
      <c r="C26" s="28"/>
    </row>
    <row r="27" spans="1:6">
      <c r="A27" s="6" t="s">
        <v>64</v>
      </c>
      <c r="B27" s="27">
        <f>_xlfn.T.DIST(B25,B26,TRUE)</f>
        <v>1.1306437748771014E-4</v>
      </c>
      <c r="C27" s="27"/>
    </row>
    <row r="28" spans="1:6">
      <c r="A28" s="6" t="s">
        <v>65</v>
      </c>
      <c r="B28" s="39" t="s">
        <v>66</v>
      </c>
      <c r="C28" s="39"/>
    </row>
    <row r="31" spans="1:6">
      <c r="A31" s="6" t="s">
        <v>49</v>
      </c>
    </row>
    <row r="32" spans="1:6">
      <c r="A32" s="30" t="s">
        <v>69</v>
      </c>
      <c r="B32" s="31"/>
      <c r="C32" s="31"/>
      <c r="D32" s="31"/>
      <c r="E32" s="31"/>
      <c r="F32" s="32"/>
    </row>
    <row r="33" spans="1:6" ht="30" customHeight="1">
      <c r="A33" s="33"/>
      <c r="B33" s="34"/>
      <c r="C33" s="34"/>
      <c r="D33" s="34"/>
      <c r="E33" s="34"/>
      <c r="F33" s="35"/>
    </row>
    <row r="36" spans="1:6" ht="17.399999999999999">
      <c r="A36" s="40" t="s">
        <v>70</v>
      </c>
      <c r="B36" s="24"/>
      <c r="C36" s="24"/>
      <c r="D36" s="24"/>
      <c r="E36" s="24"/>
      <c r="F36" s="24"/>
    </row>
    <row r="38" spans="1:6">
      <c r="A38" s="8" t="s">
        <v>52</v>
      </c>
      <c r="B38" s="36" t="s">
        <v>53</v>
      </c>
      <c r="C38" s="36"/>
    </row>
    <row r="39" spans="1:6">
      <c r="A39" s="6" t="s">
        <v>54</v>
      </c>
      <c r="B39" s="37" t="s">
        <v>55</v>
      </c>
      <c r="C39" s="37"/>
    </row>
    <row r="40" spans="1:6">
      <c r="A40" s="6" t="s">
        <v>56</v>
      </c>
      <c r="B40" s="37" t="s">
        <v>57</v>
      </c>
      <c r="C40" s="37"/>
    </row>
    <row r="41" spans="1:6">
      <c r="A41" s="6" t="s">
        <v>58</v>
      </c>
      <c r="B41" s="37" t="s">
        <v>71</v>
      </c>
      <c r="C41" s="37"/>
    </row>
    <row r="42" spans="1:6">
      <c r="A42" s="6" t="s">
        <v>60</v>
      </c>
      <c r="B42" s="27">
        <f>D5-B5</f>
        <v>-5.0000000000000711E-2</v>
      </c>
      <c r="C42" s="38"/>
    </row>
    <row r="43" spans="1:6">
      <c r="A43" s="6" t="s">
        <v>61</v>
      </c>
      <c r="B43" s="27">
        <f>SQRT(D8+B8)</f>
        <v>0.5367268453883729</v>
      </c>
      <c r="C43" s="27"/>
    </row>
    <row r="44" spans="1:6">
      <c r="A44" s="6" t="s">
        <v>62</v>
      </c>
      <c r="B44" s="27">
        <f>(B42 - 0)/B43</f>
        <v>-9.3157255743041803E-2</v>
      </c>
      <c r="C44" s="27"/>
    </row>
    <row r="45" spans="1:6">
      <c r="A45" s="6" t="s">
        <v>63</v>
      </c>
      <c r="B45" s="28">
        <f>(D8+B8)^2/(D8^2/D7 + B8^2/B7)</f>
        <v>192.69109638490266</v>
      </c>
      <c r="C45" s="28"/>
    </row>
    <row r="46" spans="1:6">
      <c r="A46" s="6" t="s">
        <v>64</v>
      </c>
      <c r="B46" s="27">
        <f>_xlfn.T.DIST(B44,B45,TRUE)</f>
        <v>0.46293788350479004</v>
      </c>
      <c r="C46" s="27"/>
    </row>
    <row r="47" spans="1:6">
      <c r="A47" s="6" t="s">
        <v>65</v>
      </c>
      <c r="B47" s="29" t="s">
        <v>72</v>
      </c>
      <c r="C47" s="29"/>
    </row>
    <row r="50" spans="1:6">
      <c r="A50" s="7" t="s">
        <v>49</v>
      </c>
    </row>
    <row r="51" spans="1:6">
      <c r="A51" s="30" t="s">
        <v>73</v>
      </c>
      <c r="B51" s="31"/>
      <c r="C51" s="31"/>
      <c r="D51" s="31"/>
      <c r="E51" s="31"/>
      <c r="F51" s="32"/>
    </row>
    <row r="52" spans="1:6" ht="28.8" customHeight="1">
      <c r="A52" s="33"/>
      <c r="B52" s="34"/>
      <c r="C52" s="34"/>
      <c r="D52" s="34"/>
      <c r="E52" s="34"/>
      <c r="F52" s="35"/>
    </row>
  </sheetData>
  <mergeCells count="26">
    <mergeCell ref="A1:D1"/>
    <mergeCell ref="A13:F14"/>
    <mergeCell ref="A17:F17"/>
    <mergeCell ref="B19:C19"/>
    <mergeCell ref="B20:C20"/>
    <mergeCell ref="B21:C21"/>
    <mergeCell ref="B22:C22"/>
    <mergeCell ref="B23:C23"/>
    <mergeCell ref="B24:C24"/>
    <mergeCell ref="B25:C25"/>
    <mergeCell ref="B43:C43"/>
    <mergeCell ref="B26:C26"/>
    <mergeCell ref="B27:C27"/>
    <mergeCell ref="B28:C28"/>
    <mergeCell ref="A32:F33"/>
    <mergeCell ref="A36:F36"/>
    <mergeCell ref="B38:C38"/>
    <mergeCell ref="B39:C39"/>
    <mergeCell ref="B40:C40"/>
    <mergeCell ref="B41:C41"/>
    <mergeCell ref="B42:C42"/>
    <mergeCell ref="B44:C44"/>
    <mergeCell ref="B45:C45"/>
    <mergeCell ref="B46:C46"/>
    <mergeCell ref="B47:C47"/>
    <mergeCell ref="A51:F5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4B9625-CE97-472C-8583-F911A1A57043}">
  <sheetPr>
    <tabColor theme="9" tint="0.39997558519241921"/>
  </sheetPr>
  <dimension ref="A1:C25"/>
  <sheetViews>
    <sheetView tabSelected="1" zoomScaleNormal="100" workbookViewId="0">
      <selection activeCell="B6" sqref="B6"/>
    </sheetView>
  </sheetViews>
  <sheetFormatPr defaultRowHeight="13.8"/>
  <cols>
    <col min="1" max="1" width="4.77734375" style="12" customWidth="1"/>
    <col min="2" max="2" width="47.109375" style="12" bestFit="1" customWidth="1"/>
    <col min="3" max="3" width="55.6640625" style="12" customWidth="1"/>
    <col min="4" max="16384" width="8.88671875" style="12"/>
  </cols>
  <sheetData>
    <row r="1" spans="1:3" ht="15">
      <c r="A1" s="11"/>
    </row>
    <row r="2" spans="1:3" ht="21">
      <c r="A2" s="11"/>
      <c r="B2" s="49" t="s">
        <v>29</v>
      </c>
      <c r="C2" s="50"/>
    </row>
    <row r="3" spans="1:3" ht="15">
      <c r="A3" s="11"/>
    </row>
    <row r="4" spans="1:3" ht="21">
      <c r="A4" s="11"/>
      <c r="B4" s="47" t="s">
        <v>30</v>
      </c>
      <c r="C4" s="48"/>
    </row>
    <row r="5" spans="1:3" ht="21">
      <c r="A5" s="11"/>
      <c r="B5" s="13"/>
      <c r="C5" s="14"/>
    </row>
    <row r="6" spans="1:3" ht="17.399999999999999">
      <c r="A6" s="11"/>
      <c r="B6" s="15" t="s">
        <v>31</v>
      </c>
      <c r="C6" s="16"/>
    </row>
    <row r="7" spans="1:3" ht="45.6" customHeight="1">
      <c r="A7" s="11"/>
      <c r="B7" s="51" t="s">
        <v>32</v>
      </c>
      <c r="C7" s="52"/>
    </row>
    <row r="8" spans="1:3" ht="17.399999999999999">
      <c r="A8" s="11"/>
      <c r="B8" s="16"/>
      <c r="C8" s="16"/>
    </row>
    <row r="9" spans="1:3" ht="17.399999999999999">
      <c r="A9" s="11"/>
      <c r="B9" s="15" t="s">
        <v>33</v>
      </c>
      <c r="C9" s="16"/>
    </row>
    <row r="10" spans="1:3" ht="45.6" customHeight="1">
      <c r="A10" s="11"/>
      <c r="B10" s="51" t="s">
        <v>34</v>
      </c>
      <c r="C10" s="52"/>
    </row>
    <row r="11" spans="1:3" ht="17.399999999999999">
      <c r="A11" s="11"/>
      <c r="B11" s="16"/>
      <c r="C11" s="16"/>
    </row>
    <row r="12" spans="1:3" ht="17.399999999999999">
      <c r="A12" s="11"/>
      <c r="B12" s="15" t="s">
        <v>35</v>
      </c>
      <c r="C12" s="16"/>
    </row>
    <row r="13" spans="1:3" ht="43.2" customHeight="1">
      <c r="A13" s="11"/>
      <c r="B13" s="51" t="s">
        <v>36</v>
      </c>
      <c r="C13" s="52"/>
    </row>
    <row r="14" spans="1:3" ht="15">
      <c r="A14" s="11"/>
    </row>
    <row r="15" spans="1:3" ht="15">
      <c r="A15" s="11"/>
    </row>
    <row r="16" spans="1:3" ht="21">
      <c r="A16" s="11"/>
      <c r="B16" s="47" t="s">
        <v>37</v>
      </c>
      <c r="C16" s="48"/>
    </row>
    <row r="17" spans="1:3" ht="15">
      <c r="A17" s="11"/>
      <c r="B17" s="51" t="s">
        <v>38</v>
      </c>
      <c r="C17" s="52"/>
    </row>
    <row r="18" spans="1:3" ht="48.6" customHeight="1">
      <c r="A18" s="11"/>
      <c r="B18" s="52"/>
      <c r="C18" s="52"/>
    </row>
    <row r="19" spans="1:3" ht="15">
      <c r="A19" s="11"/>
    </row>
    <row r="20" spans="1:3" ht="21">
      <c r="A20" s="11"/>
      <c r="B20" s="47" t="s">
        <v>39</v>
      </c>
      <c r="C20" s="48"/>
    </row>
    <row r="21" spans="1:3" ht="21.6" customHeight="1">
      <c r="A21" s="53">
        <v>1</v>
      </c>
      <c r="B21" s="51" t="s">
        <v>40</v>
      </c>
      <c r="C21" s="52"/>
    </row>
    <row r="22" spans="1:3" ht="38.4" customHeight="1">
      <c r="A22" s="53">
        <v>2</v>
      </c>
      <c r="B22" s="51" t="s">
        <v>41</v>
      </c>
      <c r="C22" s="52"/>
    </row>
    <row r="23" spans="1:3" ht="41.4" customHeight="1">
      <c r="A23" s="53">
        <v>3</v>
      </c>
      <c r="B23" s="51" t="s">
        <v>42</v>
      </c>
      <c r="C23" s="52"/>
    </row>
    <row r="24" spans="1:3" ht="25.2" customHeight="1">
      <c r="A24" s="53">
        <v>4</v>
      </c>
      <c r="B24" s="51" t="s">
        <v>43</v>
      </c>
      <c r="C24" s="52"/>
    </row>
    <row r="25" spans="1:3" ht="17.399999999999999">
      <c r="A25" s="11"/>
      <c r="B25" s="16"/>
      <c r="C25" s="16"/>
    </row>
  </sheetData>
  <mergeCells count="12">
    <mergeCell ref="B24:C24"/>
    <mergeCell ref="B2:C2"/>
    <mergeCell ref="B4:C4"/>
    <mergeCell ref="B7:C7"/>
    <mergeCell ref="B10:C10"/>
    <mergeCell ref="B13:C13"/>
    <mergeCell ref="B16:C16"/>
    <mergeCell ref="B17:C18"/>
    <mergeCell ref="B20:C20"/>
    <mergeCell ref="B21:C21"/>
    <mergeCell ref="B22:C22"/>
    <mergeCell ref="B23:C2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README</vt:lpstr>
      <vt:lpstr>Raw Data</vt:lpstr>
      <vt:lpstr>Analysis</vt:lpstr>
      <vt:lpstr>Summary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Enrique Ruiz</dc:creator>
  <cp:lastModifiedBy>Admin</cp:lastModifiedBy>
  <dcterms:created xsi:type="dcterms:W3CDTF">2022-11-13T18:55:07Z</dcterms:created>
  <dcterms:modified xsi:type="dcterms:W3CDTF">2026-04-10T12:51:40Z</dcterms:modified>
</cp:coreProperties>
</file>