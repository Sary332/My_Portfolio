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aven Analytics\Statistic For Data Analysis\StatisticsforDataAnalysis-221118-112009\Projects\"/>
    </mc:Choice>
  </mc:AlternateContent>
  <xr:revisionPtr revIDLastSave="0" documentId="13_ncr:1_{033A1B93-F6A0-4675-9DC5-E28456CF83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4" r:id="rId1"/>
    <sheet name="Raw Data" sheetId="15" r:id="rId2"/>
    <sheet name="Analysis Data" sheetId="8" r:id="rId3"/>
    <sheet name="Single Regression" sheetId="16" r:id="rId4"/>
    <sheet name="Multiple Regression" sheetId="12" r:id="rId5"/>
    <sheet name="Model Comparison" sheetId="18" r:id="rId6"/>
    <sheet name="Conclusions" sheetId="19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<sst xmlns="http://schemas.openxmlformats.org/spreadsheetml/2006/main" count="270" uniqueCount="177">
  <si>
    <t>Airline</t>
  </si>
  <si>
    <t>Year</t>
  </si>
  <si>
    <t>Output</t>
  </si>
  <si>
    <t>Fuel Price</t>
  </si>
  <si>
    <t>Load Factor</t>
  </si>
  <si>
    <t>Cost (thousands)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</si>
  <si>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</si>
  <si>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</si>
  <si>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</si>
  <si>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</si>
  <si>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</si>
  <si>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</si>
  <si>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</si>
  <si>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</si>
  <si>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</si>
  <si>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</si>
  <si>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</si>
  <si>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</si>
  <si>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</si>
  <si>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</si>
  <si>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</si>
  <si>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</si>
  <si>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</si>
  <si>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</si>
  <si>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</si>
  <si>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</si>
  <si>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</si>
  <si>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</si>
  <si>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RESIDUAL OUTPUT</t>
  </si>
  <si>
    <t>Observation</t>
  </si>
  <si>
    <t>Predicted Cost (thousands)</t>
  </si>
  <si>
    <t>Residuals</t>
  </si>
  <si>
    <t>Column Labels</t>
  </si>
  <si>
    <t>Lower 95.0%</t>
  </si>
  <si>
    <t>Upper 95.0%</t>
  </si>
  <si>
    <t>Correlation</t>
  </si>
  <si>
    <t xml:space="preserve">Cost (thousands) </t>
  </si>
  <si>
    <t xml:space="preserve">SUMMARY OUTPUT : </t>
  </si>
  <si>
    <t>Multiple Regression</t>
  </si>
  <si>
    <t>MAVEN AIRLINES - Cost Forecasting Regression Analysis</t>
  </si>
  <si>
    <t>Project Overview</t>
  </si>
  <si>
    <t>Role:</t>
  </si>
  <si>
    <t>BI Analyst at Maven Airlines</t>
  </si>
  <si>
    <t>Requested by:</t>
  </si>
  <si>
    <t>Peter Plane, Senior BI Analyst</t>
  </si>
  <si>
    <t>Subject:</t>
  </si>
  <si>
    <t>Build a reliable cost forecasting formula using regression analysis</t>
  </si>
  <si>
    <t>Dataset:</t>
  </si>
  <si>
    <t>6 airlines × 15 years = 90 observations (Output, Fuel Price, Load Factor, Cost)</t>
  </si>
  <si>
    <t>Tools:</t>
  </si>
  <si>
    <t>Microsoft Excel (LINEST, Data Analysis ToolPak, CORREL, regression)</t>
  </si>
  <si>
    <t>Key Objectives</t>
  </si>
  <si>
    <t>1. Check if a linear relationship exists between predictor variables and Cost</t>
  </si>
  <si>
    <t>2. Build a simple linear regression model using the best single predictor</t>
  </si>
  <si>
    <t>3. Build a multiple linear regression model using all variables</t>
  </si>
  <si>
    <t>4. Compare model performance and select the best model for forecasting</t>
  </si>
  <si>
    <t>5. Evaluate model validity and identify potential issues</t>
  </si>
  <si>
    <t>Tab Descriptions</t>
  </si>
  <si>
    <t>README</t>
  </si>
  <si>
    <t>Project overview, objectives, methodology, functions used</t>
  </si>
  <si>
    <t>Raw Data</t>
  </si>
  <si>
    <t>Original 90 observations — all 6 airlines, 15 years (untouched)</t>
  </si>
  <si>
    <t>Analysis Data</t>
  </si>
  <si>
    <t>Filtered dataset — Airlines 4-6 only (45 observations) + correlation matrix</t>
  </si>
  <si>
    <t>Simple Regression</t>
  </si>
  <si>
    <t>Single variable model: Output vs Cost (R²=93.58%)</t>
  </si>
  <si>
    <t>Three variable model: Output + Fuel Price + Load Factor (R²=96.11%)</t>
  </si>
  <si>
    <t>Model Comparison</t>
  </si>
  <si>
    <t>Side-by-side evaluation of both models</t>
  </si>
  <si>
    <t>Conclusions</t>
  </si>
  <si>
    <t>Key findings, critical discovery (time series), recommendations</t>
  </si>
  <si>
    <t>Excel Functions &amp; Methods Used</t>
  </si>
  <si>
    <t>CORREL()</t>
  </si>
  <si>
    <t>Calculate Pearson correlation coefficients between variables</t>
  </si>
  <si>
    <t>LINEST()</t>
  </si>
  <si>
    <t>Returns regression statistics (slope, intercept, R², SE)</t>
  </si>
  <si>
    <t>Data Analysis ToolPak</t>
  </si>
  <si>
    <t>Regression tool for full ANOVA output, coefficients, residuals</t>
  </si>
  <si>
    <t>TREND()</t>
  </si>
  <si>
    <t>Calculate predicted values from regression equation</t>
  </si>
  <si>
    <t>FORECAST()</t>
  </si>
  <si>
    <t>Extrapolate cost estimates for future periods</t>
  </si>
  <si>
    <t>Pivot Table</t>
  </si>
  <si>
    <t>Aggregate data by airline and year for exploratory analysis</t>
  </si>
  <si>
    <t>Scatter Plot / Charts</t>
  </si>
  <si>
    <t>Visualize relationships and residual patterns</t>
  </si>
  <si>
    <t>Key Formulas</t>
  </si>
  <si>
    <t>Cost = -121,540.66 + 3,737,684.19 × Output</t>
  </si>
  <si>
    <t>Cost = 134,549.37 + 3,250,141.87×Output + 0.268×FuelPrice - 575,903.66×LoadFactor</t>
  </si>
  <si>
    <t>R² Interpretation</t>
  </si>
  <si>
    <t>Proportion of variance in Cost explained by the model (0 to 1)</t>
  </si>
  <si>
    <t>Adjusted R²</t>
  </si>
  <si>
    <t>R² penalized for number of predictors — better for model comparison</t>
  </si>
  <si>
    <t>Average prediction error magnitude in same units as Cost</t>
  </si>
  <si>
    <t>F-statistic</t>
  </si>
  <si>
    <t>Overall model significance — higher = more significant</t>
  </si>
  <si>
    <t>Recommended Model</t>
  </si>
  <si>
    <t>Cost = a + b × Year (time trend — see Conclusions tab)</t>
  </si>
  <si>
    <t>FILTERED DATASET: Airlines 4, 5, 6 Only (45 Observations)</t>
  </si>
  <si>
    <t>Airlines 1-3 excluded due to heterogeneous cost structures (see segmentation rationale)</t>
  </si>
  <si>
    <t>SIMPLE LINEAR REGRESSION: Output vs Cost</t>
  </si>
  <si>
    <t>Metric</t>
  </si>
  <si>
    <t>Value</t>
  </si>
  <si>
    <t>Interpretation</t>
  </si>
  <si>
    <t>R²</t>
  </si>
  <si>
    <t>0.9358 (93.58%)</t>
  </si>
  <si>
    <t>Explains 93.58% of cost variance</t>
  </si>
  <si>
    <t>Minimal difference — appropriate model complexity</t>
  </si>
  <si>
    <t>Average prediction error magnitude</t>
  </si>
  <si>
    <t>Highly significant (p &lt; 0.001)</t>
  </si>
  <si>
    <t>Airlines 4-6, 15 years each</t>
  </si>
  <si>
    <t>Both intercept and slope significant (p &lt; 0.001)</t>
  </si>
  <si>
    <t>Output Coefficient</t>
  </si>
  <si>
    <t>Every 1 unit increase in Output = ~$3.74M cost increase</t>
  </si>
  <si>
    <t>Residual Assessment:</t>
  </si>
  <si>
    <t>Random scatter around zero observed. No strong systematic patterns. Some minor outliers present but not extreme. Linear regression assumptions reasonably satisfied.</t>
  </si>
  <si>
    <t>Model: Cost = -121,540.66 + 3,737,684.19 × Output</t>
  </si>
  <si>
    <t>MULTIPLE LINEAR REGRESSION: Output + Fuel Price + Load Factor</t>
  </si>
  <si>
    <t>Model: Cost = 134,549.37 + 3,250,141.87×Output + 0.268×FuelPrice - 575,903.66×LoadFactor</t>
  </si>
  <si>
    <t>0.9611 (96.11%)</t>
  </si>
  <si>
    <t>Explains 96.11% of cost variance</t>
  </si>
  <si>
    <t>Strong even after penalty for additional variables</t>
  </si>
  <si>
    <t>20% reduction in error vs simple regression</t>
  </si>
  <si>
    <t>Coefficient Analysis:</t>
  </si>
  <si>
    <t>Variable</t>
  </si>
  <si>
    <t>Coefficient</t>
  </si>
  <si>
    <t>t-stat</t>
  </si>
  <si>
    <t>p-value</t>
  </si>
  <si>
    <t>Significant?</t>
  </si>
  <si>
    <t>NO — concern</t>
  </si>
  <si>
    <t>YES — dominant</t>
  </si>
  <si>
    <t>YES</t>
  </si>
  <si>
    <t>YES — marginal</t>
  </si>
  <si>
    <t>Key Concerns:</t>
  </si>
  <si>
    <t>The intercept is NOT statistically significant (p=0.311), which is a red flag for model validity. Load Factor is only marginally significant (p=0.036). The non-significant intercept suggests the model may not have true explanatory power independent of time trends.</t>
  </si>
  <si>
    <t>`</t>
  </si>
  <si>
    <t>MODEL COMPARISON &amp; EVALUATION</t>
  </si>
  <si>
    <t>Criterion</t>
  </si>
  <si>
    <t>Advantage</t>
  </si>
  <si>
    <t>Multiple (+2.53%)</t>
  </si>
  <si>
    <t>Multiple (+2.40%)</t>
  </si>
  <si>
    <t>Multiple (-20.3%)</t>
  </si>
  <si>
    <t>All Coefficients Significant?</t>
  </si>
  <si>
    <t>Yes</t>
  </si>
  <si>
    <t>No (intercept p=0.311)</t>
  </si>
  <si>
    <t>Simple</t>
  </si>
  <si>
    <t>Model Complexity</t>
  </si>
  <si>
    <t>Low (1 variable)</t>
  </si>
  <si>
    <t>Medium (3 variables)</t>
  </si>
  <si>
    <t>Data Requirements</t>
  </si>
  <si>
    <t>Output only</t>
  </si>
  <si>
    <t>3 variables needed</t>
  </si>
  <si>
    <t>Accuracy</t>
  </si>
  <si>
    <t>Good</t>
  </si>
  <si>
    <t>Better</t>
  </si>
  <si>
    <t>Multiple</t>
  </si>
  <si>
    <t>Trade-off:</t>
  </si>
  <si>
    <t>Multiple regression offers better statistical fit (higher R², lower error) but has a concerning non-significant intercept. Simple regression has cleaner statistical properties. The ~2.5% accuracy gain and 20% error reduction may justify the added complexity, but the intercept issue raises validity concerns.</t>
  </si>
  <si>
    <t>CONCLUSIONS &amp; CRITICAL DISCOVERY</t>
  </si>
  <si>
    <t>Critical Discovery: Time Series Nature</t>
  </si>
  <si>
    <t>Upon deeper examination, a critical realization emerged: this dataset is fundamentally time series data, not cross-sectional data. The data tracks the same airlines across 15 consecutive years. When plotting Cost vs Year, all airlines show clear linear upward trends — driven by inflation, business growth, and industry-wide cost pressures. The high R² values may be misleading, capturing shared temporal trends rather than true causal relationships between the predictor variables and Cost.</t>
  </si>
  <si>
    <t>Implications</t>
  </si>
  <si>
    <t>1. High R² may be misleading — models might capture shared time trends, not true causation</t>
  </si>
  <si>
    <t>2. Standard errors ($71k-$90k) are substantial despite high R² — significant prediction uncertainty</t>
  </si>
  <si>
    <t>3. Non-significant intercept (p=0.311) in multiple regression signals deeper model specification issues</t>
  </si>
  <si>
    <t>4. All variables (Output, Fuel Price, Load Factor) may trend upward with time simultaneously</t>
  </si>
  <si>
    <t>Recommendations</t>
  </si>
  <si>
    <t>Primary: Time Trend Model</t>
  </si>
  <si>
    <t>Use Cost = a + b × Year for cost forecasting — simpler, more appropriate for time series data, and avoids the spurious correlation issue.</t>
  </si>
  <si>
    <t>If Regression Must Be Used</t>
  </si>
  <si>
    <t>Use the Multiple Regression model WITH clear caveats: intercept not significant, may capture time trends, communicate ±$72k error margin to stakeholders.</t>
  </si>
  <si>
    <t>Data Enhancement</t>
  </si>
  <si>
    <t>Collect additional non-time-dependent variables and consider time series methods (ARIMA, exponential smoothing) for more robust forecasting.</t>
  </si>
  <si>
    <t>Annual Recalibration</t>
  </si>
  <si>
    <t>Whichever model is used, recalibrate annually with new data and monitor residuals for assumption violations.</t>
  </si>
  <si>
    <t>Sum of Output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</si>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</sst>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"/>
    <numFmt numFmtId="165" formatCode="&quot;$&quot;#,##0.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rgb="FF0F1B3D"/>
      <name val="Times New Roman"/>
      <family val="1"/>
    </font>
    <font>
      <sz val="18"/>
      <color theme="1"/>
      <name val="Times New Roman"/>
      <family val="1"/>
    </font>
    <font>
      <b/>
      <sz val="14"/>
      <color rgb="FF16697A"/>
      <name val="Times New Roman"/>
      <family val="1"/>
    </font>
    <font>
      <sz val="14"/>
      <color theme="1"/>
      <name val="Times New Roman"/>
      <family val="1"/>
    </font>
    <font>
      <b/>
      <sz val="11"/>
      <color rgb="FF1E293B"/>
      <name val="Times New Roman"/>
      <family val="1"/>
    </font>
    <font>
      <sz val="11"/>
      <color rgb="FF1E293B"/>
      <name val="Times New Roman"/>
      <family val="1"/>
    </font>
    <font>
      <sz val="12"/>
      <color rgb="FF1E293B"/>
      <name val="Times New Roman"/>
      <family val="1"/>
    </font>
    <font>
      <sz val="12"/>
      <color theme="1"/>
      <name val="Times New Roman"/>
      <family val="1"/>
    </font>
    <font>
      <b/>
      <sz val="12"/>
      <color rgb="FF1E293B"/>
      <name val="Times New Roman"/>
      <family val="1"/>
    </font>
    <font>
      <b/>
      <sz val="11"/>
      <color rgb="FFFFFFFF"/>
      <name val="Arial"/>
      <family val="2"/>
    </font>
    <font>
      <sz val="10"/>
      <color rgb="FF1E293B"/>
      <name val="Arial"/>
      <family val="2"/>
    </font>
    <font>
      <b/>
      <sz val="14"/>
      <color rgb="FF0F1B3D"/>
      <name val="Arial"/>
      <family val="2"/>
    </font>
    <font>
      <i/>
      <sz val="10"/>
      <color rgb="FF64748B"/>
      <name val="Arial"/>
      <family val="2"/>
    </font>
    <font>
      <sz val="14"/>
      <color theme="1"/>
      <name val="Calibri"/>
      <family val="2"/>
      <scheme val="minor"/>
    </font>
    <font>
      <b/>
      <sz val="16"/>
      <color theme="2" tint="-0.749992370372631"/>
      <name val="Times New Roman"/>
      <family val="1"/>
    </font>
    <font>
      <b/>
      <sz val="11"/>
      <color rgb="FF00B050"/>
      <name val="Calibri"/>
      <family val="2"/>
      <scheme val="minor"/>
    </font>
    <font>
      <b/>
      <sz val="10"/>
      <color rgb="FF1E293B"/>
      <name val="Arial"/>
      <family val="2"/>
    </font>
    <font>
      <b/>
      <sz val="16"/>
      <color theme="8" tint="-0.499984740745262"/>
      <name val="Calibri"/>
      <family val="2"/>
      <scheme val="minor"/>
    </font>
    <font>
      <i/>
      <sz val="10"/>
      <color theme="2" tint="-0.749992370372631"/>
      <name val="Arial"/>
      <family val="2"/>
    </font>
    <font>
      <b/>
      <sz val="11"/>
      <color theme="3" tint="0.39997558519241921"/>
      <name val="Arial"/>
      <family val="2"/>
    </font>
    <font>
      <b/>
      <sz val="10"/>
      <color rgb="FFE94560"/>
      <name val="Arial"/>
      <family val="2"/>
    </font>
    <font>
      <b/>
      <sz val="10"/>
      <color rgb="FF27AE60"/>
      <name val="Arial"/>
      <family val="2"/>
    </font>
    <font>
      <sz val="11"/>
      <color theme="2" tint="-0.749992370372631"/>
      <name val="Calibri"/>
      <family val="2"/>
      <scheme val="minor"/>
    </font>
    <font>
      <b/>
      <sz val="11"/>
      <color rgb="FF16697A"/>
      <name val="Arial"/>
      <family val="2"/>
    </font>
    <font>
      <b/>
      <sz val="16"/>
      <color rgb="FF0F1B3D"/>
      <name val="Arial"/>
      <family val="2"/>
    </font>
    <font>
      <b/>
      <sz val="14"/>
      <color rgb="FF16697A"/>
      <name val="Arial"/>
      <family val="2"/>
    </font>
    <font>
      <sz val="11"/>
      <color rgb="FF1E293B"/>
      <name val="Arial"/>
      <family val="2"/>
    </font>
    <font>
      <b/>
      <sz val="11"/>
      <color rgb="FF1E293B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F1B3D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6" fillId="33" borderId="0" xfId="0" applyFont="1" applyFill="1"/>
    <xf numFmtId="10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18" fillId="0" borderId="14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2" xfId="0" applyBorder="1"/>
    <xf numFmtId="0" fontId="0" fillId="0" borderId="22" xfId="0" applyBorder="1"/>
    <xf numFmtId="0" fontId="16" fillId="0" borderId="0" xfId="0" applyFont="1"/>
    <xf numFmtId="0" fontId="20" fillId="0" borderId="0" xfId="0" applyFont="1"/>
    <xf numFmtId="0" fontId="13" fillId="34" borderId="0" xfId="0" applyFont="1" applyFill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9" fillId="0" borderId="0" xfId="0" applyFont="1"/>
    <xf numFmtId="0" fontId="30" fillId="35" borderId="0" xfId="0" applyFont="1" applyFill="1"/>
    <xf numFmtId="0" fontId="31" fillId="0" borderId="0" xfId="0" applyFont="1"/>
    <xf numFmtId="0" fontId="32" fillId="0" borderId="0" xfId="0" applyFont="1"/>
    <xf numFmtId="0" fontId="35" fillId="0" borderId="0" xfId="0" applyFont="1" applyAlignment="1">
      <alignment horizontal="left"/>
    </xf>
    <xf numFmtId="0" fontId="36" fillId="0" borderId="12" xfId="0" applyFont="1" applyBorder="1"/>
    <xf numFmtId="0" fontId="37" fillId="0" borderId="23" xfId="0" applyFont="1" applyBorder="1"/>
    <xf numFmtId="0" fontId="31" fillId="0" borderId="23" xfId="0" applyFont="1" applyBorder="1"/>
    <xf numFmtId="0" fontId="37" fillId="0" borderId="0" xfId="0" applyFont="1"/>
    <xf numFmtId="0" fontId="33" fillId="0" borderId="0" xfId="0" applyFont="1" applyAlignment="1">
      <alignment vertical="top" wrapText="1"/>
    </xf>
    <xf numFmtId="0" fontId="33" fillId="0" borderId="0" xfId="0" applyFont="1" applyAlignment="1">
      <alignment horizontal="left" vertical="top" wrapText="1"/>
    </xf>
    <xf numFmtId="0" fontId="37" fillId="0" borderId="24" xfId="0" applyFont="1" applyBorder="1"/>
    <xf numFmtId="0" fontId="30" fillId="35" borderId="27" xfId="0" applyFont="1" applyFill="1" applyBorder="1"/>
    <xf numFmtId="0" fontId="37" fillId="0" borderId="27" xfId="0" applyFont="1" applyBorder="1"/>
    <xf numFmtId="0" fontId="31" fillId="0" borderId="27" xfId="0" applyFont="1" applyBorder="1"/>
    <xf numFmtId="0" fontId="40" fillId="0" borderId="0" xfId="0" applyFont="1"/>
    <xf numFmtId="0" fontId="31" fillId="0" borderId="27" xfId="0" applyFont="1" applyBorder="1" applyAlignment="1">
      <alignment horizontal="left"/>
    </xf>
    <xf numFmtId="8" fontId="31" fillId="0" borderId="27" xfId="0" applyNumberFormat="1" applyFont="1" applyBorder="1" applyAlignment="1">
      <alignment horizontal="left"/>
    </xf>
    <xf numFmtId="4" fontId="31" fillId="0" borderId="27" xfId="0" applyNumberFormat="1" applyFont="1" applyBorder="1" applyAlignment="1">
      <alignment horizontal="left"/>
    </xf>
    <xf numFmtId="0" fontId="30" fillId="0" borderId="0" xfId="0" applyFont="1"/>
    <xf numFmtId="0" fontId="31" fillId="0" borderId="23" xfId="0" applyFont="1" applyBorder="1" applyAlignment="1">
      <alignment horizontal="left"/>
    </xf>
    <xf numFmtId="8" fontId="31" fillId="0" borderId="23" xfId="0" applyNumberFormat="1" applyFont="1" applyBorder="1" applyAlignment="1">
      <alignment horizontal="left"/>
    </xf>
    <xf numFmtId="4" fontId="31" fillId="0" borderId="23" xfId="0" applyNumberFormat="1" applyFont="1" applyBorder="1"/>
    <xf numFmtId="11" fontId="31" fillId="0" borderId="23" xfId="0" applyNumberFormat="1" applyFont="1" applyBorder="1"/>
    <xf numFmtId="0" fontId="30" fillId="35" borderId="0" xfId="0" applyFont="1" applyFill="1" applyAlignment="1">
      <alignment horizontal="center"/>
    </xf>
    <xf numFmtId="0" fontId="37" fillId="0" borderId="28" xfId="0" applyFont="1" applyBorder="1"/>
    <xf numFmtId="0" fontId="43" fillId="0" borderId="0" xfId="0" applyFont="1"/>
    <xf numFmtId="0" fontId="41" fillId="0" borderId="23" xfId="0" applyFont="1" applyBorder="1"/>
    <xf numFmtId="0" fontId="42" fillId="0" borderId="23" xfId="0" applyFont="1" applyBorder="1"/>
    <xf numFmtId="0" fontId="41" fillId="0" borderId="23" xfId="0" applyFont="1" applyBorder="1" applyAlignment="1">
      <alignment horizontal="center"/>
    </xf>
    <xf numFmtId="0" fontId="42" fillId="0" borderId="23" xfId="0" applyFont="1" applyBorder="1" applyAlignment="1">
      <alignment horizontal="center"/>
    </xf>
    <xf numFmtId="10" fontId="31" fillId="0" borderId="23" xfId="0" applyNumberFormat="1" applyFont="1" applyBorder="1" applyAlignment="1">
      <alignment horizontal="left"/>
    </xf>
    <xf numFmtId="0" fontId="46" fillId="0" borderId="0" xfId="0" applyFont="1"/>
    <xf numFmtId="0" fontId="34" fillId="0" borderId="0" xfId="0" applyFont="1"/>
    <xf numFmtId="0" fontId="48" fillId="0" borderId="0" xfId="0" applyFont="1"/>
    <xf numFmtId="0" fontId="47" fillId="0" borderId="0" xfId="0" applyFont="1" applyAlignment="1">
      <alignment wrapText="1"/>
    </xf>
    <xf numFmtId="0" fontId="27" fillId="0" borderId="0" xfId="0" applyFont="1"/>
    <xf numFmtId="0" fontId="28" fillId="0" borderId="0" xfId="0" applyFont="1"/>
    <xf numFmtId="0" fontId="23" fillId="0" borderId="0" xfId="0" applyFont="1"/>
    <xf numFmtId="0" fontId="24" fillId="0" borderId="0" xfId="0" applyFont="1"/>
    <xf numFmtId="0" fontId="21" fillId="0" borderId="0" xfId="0" applyFont="1"/>
    <xf numFmtId="0" fontId="22" fillId="0" borderId="0" xfId="0" applyFont="1"/>
    <xf numFmtId="0" fontId="19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35" fillId="0" borderId="0" xfId="0" applyFont="1" applyAlignment="1">
      <alignment horizontal="left"/>
    </xf>
    <xf numFmtId="0" fontId="39" fillId="0" borderId="15" xfId="0" applyFont="1" applyBorder="1" applyAlignment="1">
      <alignment horizontal="left" vertical="top" wrapText="1"/>
    </xf>
    <xf numFmtId="0" fontId="39" fillId="0" borderId="13" xfId="0" applyFont="1" applyBorder="1" applyAlignment="1">
      <alignment horizontal="left" vertical="top" wrapText="1"/>
    </xf>
    <xf numFmtId="0" fontId="39" fillId="0" borderId="16" xfId="0" applyFont="1" applyBorder="1" applyAlignment="1">
      <alignment horizontal="left" vertical="top" wrapText="1"/>
    </xf>
    <xf numFmtId="0" fontId="39" fillId="0" borderId="25" xfId="0" applyFont="1" applyBorder="1" applyAlignment="1">
      <alignment horizontal="left" vertical="top" wrapText="1"/>
    </xf>
    <xf numFmtId="0" fontId="39" fillId="0" borderId="10" xfId="0" applyFont="1" applyBorder="1" applyAlignment="1">
      <alignment horizontal="left" vertical="top" wrapText="1"/>
    </xf>
    <xf numFmtId="0" fontId="39" fillId="0" borderId="26" xfId="0" applyFont="1" applyBorder="1" applyAlignment="1">
      <alignment horizontal="left" vertical="top" wrapText="1"/>
    </xf>
    <xf numFmtId="0" fontId="38" fillId="0" borderId="15" xfId="0" applyFont="1" applyBorder="1" applyAlignment="1">
      <alignment horizontal="left" vertical="center"/>
    </xf>
    <xf numFmtId="0" fontId="38" fillId="0" borderId="13" xfId="0" applyFont="1" applyBorder="1" applyAlignment="1">
      <alignment horizontal="left" vertical="center"/>
    </xf>
    <xf numFmtId="0" fontId="38" fillId="0" borderId="16" xfId="0" applyFont="1" applyBorder="1" applyAlignment="1">
      <alignment horizontal="left" vertical="center"/>
    </xf>
    <xf numFmtId="0" fontId="38" fillId="0" borderId="25" xfId="0" applyFont="1" applyBorder="1" applyAlignment="1">
      <alignment horizontal="left" vertical="center"/>
    </xf>
    <xf numFmtId="0" fontId="38" fillId="0" borderId="10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2" fillId="0" borderId="0" xfId="0" applyFont="1"/>
    <xf numFmtId="0" fontId="33" fillId="0" borderId="0" xfId="0" applyFont="1" applyAlignment="1">
      <alignment vertical="top" wrapText="1"/>
    </xf>
    <xf numFmtId="0" fontId="39" fillId="0" borderId="15" xfId="0" applyFont="1" applyBorder="1" applyAlignment="1">
      <alignment vertical="top" wrapText="1"/>
    </xf>
    <xf numFmtId="0" fontId="39" fillId="0" borderId="13" xfId="0" applyFont="1" applyBorder="1" applyAlignment="1">
      <alignment vertical="top" wrapText="1"/>
    </xf>
    <xf numFmtId="0" fontId="39" fillId="0" borderId="16" xfId="0" applyFont="1" applyBorder="1" applyAlignment="1">
      <alignment vertical="top" wrapText="1"/>
    </xf>
    <xf numFmtId="0" fontId="39" fillId="0" borderId="25" xfId="0" applyFont="1" applyBorder="1" applyAlignment="1">
      <alignment vertical="top" wrapText="1"/>
    </xf>
    <xf numFmtId="0" fontId="39" fillId="0" borderId="10" xfId="0" applyFont="1" applyBorder="1" applyAlignment="1">
      <alignment vertical="top" wrapText="1"/>
    </xf>
    <xf numFmtId="0" fontId="39" fillId="0" borderId="26" xfId="0" applyFont="1" applyBorder="1" applyAlignment="1">
      <alignment vertical="top" wrapText="1"/>
    </xf>
    <xf numFmtId="0" fontId="44" fillId="0" borderId="15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4" fillId="0" borderId="26" xfId="0" applyFont="1" applyBorder="1" applyAlignment="1">
      <alignment horizontal="center" vertical="center"/>
    </xf>
    <xf numFmtId="0" fontId="0" fillId="0" borderId="0" xfId="0"/>
    <xf numFmtId="0" fontId="43" fillId="0" borderId="13" xfId="0" applyFont="1" applyBorder="1"/>
    <xf numFmtId="0" fontId="43" fillId="0" borderId="16" xfId="0" applyFont="1" applyBorder="1"/>
    <xf numFmtId="0" fontId="43" fillId="0" borderId="25" xfId="0" applyFont="1" applyBorder="1"/>
    <xf numFmtId="0" fontId="43" fillId="0" borderId="10" xfId="0" applyFont="1" applyBorder="1"/>
    <xf numFmtId="0" fontId="43" fillId="0" borderId="26" xfId="0" applyFont="1" applyBorder="1"/>
    <xf numFmtId="0" fontId="47" fillId="0" borderId="0" xfId="0" applyFont="1" applyAlignment="1">
      <alignment wrapText="1"/>
    </xf>
    <xf numFmtId="0" fontId="47" fillId="0" borderId="0" xfId="0" applyFont="1"/>
    <xf numFmtId="0" fontId="46" fillId="0" borderId="0" xfId="0" applyFont="1"/>
    <xf numFmtId="0" fontId="34" fillId="0" borderId="0" xfId="0" applyFont="1"/>
    <xf numFmtId="0" fontId="45" fillId="0" borderId="0" xfId="0" applyFont="1"/>
    <xf numFmtId="0" fontId="47" fillId="0" borderId="0" xfId="0" applyFont="1" applyAlignment="1">
      <alignment vertical="top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Data'!$F$5</c:f>
              <c:strCache>
                <c:ptCount val="1"/>
                <c:pt idx="0">
                  <c:v>Cost (thousands)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'Analysis Data'!$C$6:$C$50</c:f>
              <c:numCache>
                <c:formatCode>"$"#,##0.00</c:formatCode>
                <c:ptCount val="45"/>
                <c:pt idx="0">
                  <c:v>0.95275699999999997</c:v>
                </c:pt>
                <c:pt idx="1">
                  <c:v>0.986757</c:v>
                </c:pt>
                <c:pt idx="2">
                  <c:v>1.09198</c:v>
                </c:pt>
                <c:pt idx="3">
                  <c:v>1.17578</c:v>
                </c:pt>
                <c:pt idx="4">
                  <c:v>1.1601699999999999</c:v>
                </c:pt>
                <c:pt idx="5">
                  <c:v>1.1737599999999999</c:v>
                </c:pt>
                <c:pt idx="6">
                  <c:v>1.29051</c:v>
                </c:pt>
                <c:pt idx="7">
                  <c:v>1.3906700000000001</c:v>
                </c:pt>
                <c:pt idx="8">
                  <c:v>1.61273</c:v>
                </c:pt>
                <c:pt idx="9">
                  <c:v>1.82544</c:v>
                </c:pt>
                <c:pt idx="10">
                  <c:v>1.5460400000000001</c:v>
                </c:pt>
                <c:pt idx="11">
                  <c:v>1.5279</c:v>
                </c:pt>
                <c:pt idx="12">
                  <c:v>1.6601999999999999</c:v>
                </c:pt>
                <c:pt idx="13">
                  <c:v>1.8223100000000001</c:v>
                </c:pt>
                <c:pt idx="14">
                  <c:v>1.9364600000000001</c:v>
                </c:pt>
                <c:pt idx="15">
                  <c:v>0.52063499999999996</c:v>
                </c:pt>
                <c:pt idx="16">
                  <c:v>0.53462699999999996</c:v>
                </c:pt>
                <c:pt idx="17">
                  <c:v>0.655192</c:v>
                </c:pt>
                <c:pt idx="18">
                  <c:v>0.79157500000000003</c:v>
                </c:pt>
                <c:pt idx="19">
                  <c:v>0.84294500000000006</c:v>
                </c:pt>
                <c:pt idx="20">
                  <c:v>0.85289199999999998</c:v>
                </c:pt>
                <c:pt idx="21">
                  <c:v>0.92284299999999997</c:v>
                </c:pt>
                <c:pt idx="22">
                  <c:v>1</c:v>
                </c:pt>
                <c:pt idx="23">
                  <c:v>1.19845</c:v>
                </c:pt>
                <c:pt idx="24">
                  <c:v>1.34067</c:v>
                </c:pt>
                <c:pt idx="25">
                  <c:v>1.3262400000000001</c:v>
                </c:pt>
                <c:pt idx="26">
                  <c:v>1.2485200000000001</c:v>
                </c:pt>
                <c:pt idx="27">
                  <c:v>1.2543200000000001</c:v>
                </c:pt>
                <c:pt idx="28">
                  <c:v>1.3717699999999999</c:v>
                </c:pt>
                <c:pt idx="29">
                  <c:v>1.38974</c:v>
                </c:pt>
                <c:pt idx="30">
                  <c:v>0.26242399999999999</c:v>
                </c:pt>
                <c:pt idx="31">
                  <c:v>0.26643299999999998</c:v>
                </c:pt>
                <c:pt idx="32">
                  <c:v>0.30604300000000001</c:v>
                </c:pt>
                <c:pt idx="33">
                  <c:v>0.32558599999999999</c:v>
                </c:pt>
                <c:pt idx="34">
                  <c:v>0.34570600000000001</c:v>
                </c:pt>
                <c:pt idx="35">
                  <c:v>0.36751699999999998</c:v>
                </c:pt>
                <c:pt idx="36">
                  <c:v>0.409937</c:v>
                </c:pt>
                <c:pt idx="37">
                  <c:v>0.448023</c:v>
                </c:pt>
                <c:pt idx="38">
                  <c:v>0.53959500000000005</c:v>
                </c:pt>
                <c:pt idx="39">
                  <c:v>0.53938200000000003</c:v>
                </c:pt>
                <c:pt idx="40">
                  <c:v>0.46796700000000002</c:v>
                </c:pt>
                <c:pt idx="41">
                  <c:v>0.450544</c:v>
                </c:pt>
                <c:pt idx="42">
                  <c:v>0.46879300000000002</c:v>
                </c:pt>
                <c:pt idx="43">
                  <c:v>0.49439699999999998</c:v>
                </c:pt>
                <c:pt idx="44">
                  <c:v>0.49331700000000001</c:v>
                </c:pt>
              </c:numCache>
            </c:numRef>
          </c:xVal>
          <c:yVal>
            <c:numRef>
              <c:f>'Analysis Data'!$F$6:$F$50</c:f>
              <c:numCache>
                <c:formatCode>"$"#,##0</c:formatCode>
                <c:ptCount val="45"/>
                <c:pt idx="0">
                  <c:v>1140640</c:v>
                </c:pt>
                <c:pt idx="1">
                  <c:v>1215690</c:v>
                </c:pt>
                <c:pt idx="2">
                  <c:v>1309570</c:v>
                </c:pt>
                <c:pt idx="3">
                  <c:v>1511530</c:v>
                </c:pt>
                <c:pt idx="4">
                  <c:v>1676730</c:v>
                </c:pt>
                <c:pt idx="5">
                  <c:v>1823740</c:v>
                </c:pt>
                <c:pt idx="6">
                  <c:v>2022890</c:v>
                </c:pt>
                <c:pt idx="7">
                  <c:v>2314760</c:v>
                </c:pt>
                <c:pt idx="8">
                  <c:v>2639160</c:v>
                </c:pt>
                <c:pt idx="9">
                  <c:v>3247620</c:v>
                </c:pt>
                <c:pt idx="10">
                  <c:v>3787750</c:v>
                </c:pt>
                <c:pt idx="11">
                  <c:v>3867750</c:v>
                </c:pt>
                <c:pt idx="12">
                  <c:v>3996020</c:v>
                </c:pt>
                <c:pt idx="13">
                  <c:v>4282880</c:v>
                </c:pt>
                <c:pt idx="14">
                  <c:v>4748320</c:v>
                </c:pt>
                <c:pt idx="15">
                  <c:v>569292</c:v>
                </c:pt>
                <c:pt idx="16">
                  <c:v>640614</c:v>
                </c:pt>
                <c:pt idx="17">
                  <c:v>777655</c:v>
                </c:pt>
                <c:pt idx="18">
                  <c:v>999294</c:v>
                </c:pt>
                <c:pt idx="19">
                  <c:v>1203970</c:v>
                </c:pt>
                <c:pt idx="20">
                  <c:v>1358100</c:v>
                </c:pt>
                <c:pt idx="21">
                  <c:v>1501350</c:v>
                </c:pt>
                <c:pt idx="22">
                  <c:v>1709270</c:v>
                </c:pt>
                <c:pt idx="23">
                  <c:v>2025400</c:v>
                </c:pt>
                <c:pt idx="24">
                  <c:v>2548370</c:v>
                </c:pt>
                <c:pt idx="25">
                  <c:v>3137740</c:v>
                </c:pt>
                <c:pt idx="26">
                  <c:v>3557700</c:v>
                </c:pt>
                <c:pt idx="27">
                  <c:v>3717740</c:v>
                </c:pt>
                <c:pt idx="28">
                  <c:v>3962370</c:v>
                </c:pt>
                <c:pt idx="29">
                  <c:v>4209390</c:v>
                </c:pt>
                <c:pt idx="30">
                  <c:v>286298</c:v>
                </c:pt>
                <c:pt idx="31">
                  <c:v>309290</c:v>
                </c:pt>
                <c:pt idx="32">
                  <c:v>342056</c:v>
                </c:pt>
                <c:pt idx="33">
                  <c:v>374595</c:v>
                </c:pt>
                <c:pt idx="34">
                  <c:v>450037</c:v>
                </c:pt>
                <c:pt idx="35">
                  <c:v>510412</c:v>
                </c:pt>
                <c:pt idx="36">
                  <c:v>575347</c:v>
                </c:pt>
                <c:pt idx="37">
                  <c:v>669331</c:v>
                </c:pt>
                <c:pt idx="38">
                  <c:v>783799</c:v>
                </c:pt>
                <c:pt idx="39">
                  <c:v>913883</c:v>
                </c:pt>
                <c:pt idx="40">
                  <c:v>1041520</c:v>
                </c:pt>
                <c:pt idx="41">
                  <c:v>1125800</c:v>
                </c:pt>
                <c:pt idx="42">
                  <c:v>1096070</c:v>
                </c:pt>
                <c:pt idx="43">
                  <c:v>1198930</c:v>
                </c:pt>
                <c:pt idx="44">
                  <c:v>1170470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F5-44CB-AE35-010702B0B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657935"/>
        <c:axId val="736644495"/>
      </c:scatterChart>
      <c:valAx>
        <c:axId val="73665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44495"/>
        <c:crosses val="autoZero"/>
        <c:crossBetween val="midCat"/>
      </c:valAx>
      <c:valAx>
        <c:axId val="736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5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'Analysis Data'!$O$7</c:f>
              <c:strCache>
                <c:ptCount val="1"/>
                <c:pt idx="0">
                  <c:v>1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'Analysis Data'!$O$9:$O$23</c:f>
              <c:numCache>
                <c:formatCode>General</c:formatCode>
                <c:ptCount val="15"/>
                <c:pt idx="0">
                  <c:v>0.95275699999999997</c:v>
                </c:pt>
                <c:pt idx="1">
                  <c:v>0.986757</c:v>
                </c:pt>
                <c:pt idx="2">
                  <c:v>1.09198</c:v>
                </c:pt>
                <c:pt idx="3">
                  <c:v>1.17578</c:v>
                </c:pt>
                <c:pt idx="4">
                  <c:v>1.1601699999999999</c:v>
                </c:pt>
                <c:pt idx="5">
                  <c:v>1.1737599999999999</c:v>
                </c:pt>
                <c:pt idx="6">
                  <c:v>1.29051</c:v>
                </c:pt>
                <c:pt idx="7">
                  <c:v>1.3906700000000001</c:v>
                </c:pt>
                <c:pt idx="8">
                  <c:v>1.61273</c:v>
                </c:pt>
                <c:pt idx="9">
                  <c:v>1.82544</c:v>
                </c:pt>
                <c:pt idx="10">
                  <c:v>1.5460400000000001</c:v>
                </c:pt>
                <c:pt idx="11">
                  <c:v>1.5279</c:v>
                </c:pt>
                <c:pt idx="12">
                  <c:v>1.6601999999999999</c:v>
                </c:pt>
                <c:pt idx="13">
                  <c:v>1.8223100000000001</c:v>
                </c:pt>
                <c:pt idx="14">
                  <c:v>1.9364600000000001</c:v>
                </c:pt>
              </c:numCache>
            </c:numRef>
          </c:xVal>
          <c:yVal>
            <c:numRef>
              <c:f>'Analysis Data'!$P$9:$P$23</c:f>
              <c:numCache>
                <c:formatCode>General</c:formatCode>
                <c:ptCount val="15"/>
                <c:pt idx="0">
                  <c:v>1140640</c:v>
                </c:pt>
                <c:pt idx="1">
                  <c:v>1215690</c:v>
                </c:pt>
                <c:pt idx="2">
                  <c:v>1309570</c:v>
                </c:pt>
                <c:pt idx="3">
                  <c:v>1511530</c:v>
                </c:pt>
                <c:pt idx="4">
                  <c:v>1676730</c:v>
                </c:pt>
                <c:pt idx="5">
                  <c:v>1823740</c:v>
                </c:pt>
                <c:pt idx="6">
                  <c:v>2022890</c:v>
                </c:pt>
                <c:pt idx="7">
                  <c:v>2314760</c:v>
                </c:pt>
                <c:pt idx="8">
                  <c:v>2639160</c:v>
                </c:pt>
                <c:pt idx="9">
                  <c:v>3247620</c:v>
                </c:pt>
                <c:pt idx="10">
                  <c:v>3787750</c:v>
                </c:pt>
                <c:pt idx="11">
                  <c:v>3867750</c:v>
                </c:pt>
                <c:pt idx="12">
                  <c:v>3996020</c:v>
                </c:pt>
                <c:pt idx="13">
                  <c:v>4282880</c:v>
                </c:pt>
                <c:pt idx="14">
                  <c:v>4748320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2-4DE1-8BD2-98D44118B8B7}"/>
            </c:ext>
          </c:extLst>
        </c:ser>
        <c:ser>
          <c:idx val="1"/>
          <c:order val="1"/>
          <c:tx>
            <c:strRef>
              <c:f>'Analysis Data'!$Q$7</c:f>
              <c:strCache>
                <c:ptCount val="1"/>
                <c:pt idx="0">
                  <c:v>2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'Analysis Data'!$Q$9:$Q$23</c:f>
              <c:numCache>
                <c:formatCode>General</c:formatCode>
                <c:ptCount val="15"/>
                <c:pt idx="0">
                  <c:v>0.52063499999999996</c:v>
                </c:pt>
                <c:pt idx="1">
                  <c:v>0.53462699999999996</c:v>
                </c:pt>
                <c:pt idx="2">
                  <c:v>0.655192</c:v>
                </c:pt>
                <c:pt idx="3">
                  <c:v>0.79157500000000003</c:v>
                </c:pt>
                <c:pt idx="4">
                  <c:v>0.84294500000000006</c:v>
                </c:pt>
                <c:pt idx="5">
                  <c:v>0.85289199999999998</c:v>
                </c:pt>
                <c:pt idx="6">
                  <c:v>0.92284299999999997</c:v>
                </c:pt>
                <c:pt idx="7">
                  <c:v>1</c:v>
                </c:pt>
                <c:pt idx="8">
                  <c:v>1.19845</c:v>
                </c:pt>
                <c:pt idx="9">
                  <c:v>1.34067</c:v>
                </c:pt>
                <c:pt idx="10">
                  <c:v>1.3262400000000001</c:v>
                </c:pt>
                <c:pt idx="11">
                  <c:v>1.2485200000000001</c:v>
                </c:pt>
                <c:pt idx="12">
                  <c:v>1.2543200000000001</c:v>
                </c:pt>
                <c:pt idx="13">
                  <c:v>1.3717699999999999</c:v>
                </c:pt>
                <c:pt idx="14">
                  <c:v>1.38974</c:v>
                </c:pt>
              </c:numCache>
            </c:numRef>
          </c:xVal>
          <c:yVal>
            <c:numRef>
              <c:f>'Analysis Data'!$R$9:$R$23</c:f>
              <c:numCache>
                <c:formatCode>General</c:formatCode>
                <c:ptCount val="15"/>
                <c:pt idx="0">
                  <c:v>569292</c:v>
                </c:pt>
                <c:pt idx="1">
                  <c:v>640614</c:v>
                </c:pt>
                <c:pt idx="2">
                  <c:v>777655</c:v>
                </c:pt>
                <c:pt idx="3">
                  <c:v>999294</c:v>
                </c:pt>
                <c:pt idx="4">
                  <c:v>1203970</c:v>
                </c:pt>
                <c:pt idx="5">
                  <c:v>1358100</c:v>
                </c:pt>
                <c:pt idx="6">
                  <c:v>1501350</c:v>
                </c:pt>
                <c:pt idx="7">
                  <c:v>1709270</c:v>
                </c:pt>
                <c:pt idx="8">
                  <c:v>2025400</c:v>
                </c:pt>
                <c:pt idx="9">
                  <c:v>2548370</c:v>
                </c:pt>
                <c:pt idx="10">
                  <c:v>3137740</c:v>
                </c:pt>
                <c:pt idx="11">
                  <c:v>3557700</c:v>
                </c:pt>
                <c:pt idx="12">
                  <c:v>3717740</c:v>
                </c:pt>
                <c:pt idx="13">
                  <c:v>3962370</c:v>
                </c:pt>
                <c:pt idx="14">
                  <c:v>4209390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92-4DE1-8BD2-98D44118B8B7}"/>
            </c:ext>
          </c:extLst>
        </c:ser>
        <c:ser>
          <c:idx val="2"/>
          <c:order val="2"/>
          <c:tx>
            <c:strRef>
              <c:f>'Analysis Data'!$S$7</c:f>
              <c:strCache>
                <c:ptCount val="1"/>
                <c:pt idx="0">
                  <c:v>3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'Analysis Data'!$S$9:$S$23</c:f>
              <c:numCache>
                <c:formatCode>General</c:formatCode>
                <c:ptCount val="15"/>
                <c:pt idx="0">
                  <c:v>0.26242399999999999</c:v>
                </c:pt>
                <c:pt idx="1">
                  <c:v>0.26643299999999998</c:v>
                </c:pt>
                <c:pt idx="2">
                  <c:v>0.30604300000000001</c:v>
                </c:pt>
                <c:pt idx="3">
                  <c:v>0.32558599999999999</c:v>
                </c:pt>
                <c:pt idx="4">
                  <c:v>0.34570600000000001</c:v>
                </c:pt>
                <c:pt idx="5">
                  <c:v>0.36751699999999998</c:v>
                </c:pt>
                <c:pt idx="6">
                  <c:v>0.409937</c:v>
                </c:pt>
                <c:pt idx="7">
                  <c:v>0.448023</c:v>
                </c:pt>
                <c:pt idx="8">
                  <c:v>0.53959500000000005</c:v>
                </c:pt>
                <c:pt idx="9">
                  <c:v>0.53938200000000003</c:v>
                </c:pt>
                <c:pt idx="10">
                  <c:v>0.46796700000000002</c:v>
                </c:pt>
                <c:pt idx="11">
                  <c:v>0.450544</c:v>
                </c:pt>
                <c:pt idx="12">
                  <c:v>0.46879300000000002</c:v>
                </c:pt>
                <c:pt idx="13">
                  <c:v>0.49439699999999998</c:v>
                </c:pt>
                <c:pt idx="14">
                  <c:v>0.49331700000000001</c:v>
                </c:pt>
              </c:numCache>
            </c:numRef>
          </c:xVal>
          <c:yVal>
            <c:numRef>
              <c:f>'Analysis Data'!$T$9:$T$23</c:f>
              <c:numCache>
                <c:formatCode>General</c:formatCode>
                <c:ptCount val="15"/>
                <c:pt idx="0">
                  <c:v>286298</c:v>
                </c:pt>
                <c:pt idx="1">
                  <c:v>309290</c:v>
                </c:pt>
                <c:pt idx="2">
                  <c:v>342056</c:v>
                </c:pt>
                <c:pt idx="3">
                  <c:v>374595</c:v>
                </c:pt>
                <c:pt idx="4">
                  <c:v>450037</c:v>
                </c:pt>
                <c:pt idx="5">
                  <c:v>510412</c:v>
                </c:pt>
                <c:pt idx="6">
                  <c:v>575347</c:v>
                </c:pt>
                <c:pt idx="7">
                  <c:v>669331</c:v>
                </c:pt>
                <c:pt idx="8">
                  <c:v>783799</c:v>
                </c:pt>
                <c:pt idx="9">
                  <c:v>913883</c:v>
                </c:pt>
                <c:pt idx="10">
                  <c:v>1041520</c:v>
                </c:pt>
                <c:pt idx="11">
                  <c:v>1125800</c:v>
                </c:pt>
                <c:pt idx="12">
                  <c:v>1096070</c:v>
                </c:pt>
                <c:pt idx="13">
                  <c:v>1198930</c:v>
                </c:pt>
                <c:pt idx="14">
                  <c:v>1170470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92-4DE1-8BD2-98D44118B8B7}"/>
            </c:ext>
          </c:extLst>
        </c:ser>
        <c:ser>
          <c:idx val="3"/>
          <c:order val="3"/>
          <c:tx>
            <c:strRef>
              <c:f>'Analysis Data'!$U$7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'Analysis Data'!$U$9:$U$23</c:f>
              <c:numCache>
                <c:formatCode>General</c:formatCode>
                <c:ptCount val="15"/>
                <c:pt idx="0">
                  <c:v>8.6392999999999998E-2</c:v>
                </c:pt>
                <c:pt idx="1">
                  <c:v>9.6740000000000007E-2</c:v>
                </c:pt>
                <c:pt idx="2">
                  <c:v>0.14149999999999999</c:v>
                </c:pt>
                <c:pt idx="3">
                  <c:v>0.169715</c:v>
                </c:pt>
                <c:pt idx="4">
                  <c:v>0.17380499999999999</c:v>
                </c:pt>
                <c:pt idx="5">
                  <c:v>0.164272</c:v>
                </c:pt>
                <c:pt idx="6">
                  <c:v>0.170906</c:v>
                </c:pt>
                <c:pt idx="7">
                  <c:v>0.17784</c:v>
                </c:pt>
                <c:pt idx="8">
                  <c:v>0.192248</c:v>
                </c:pt>
                <c:pt idx="9">
                  <c:v>0.24246899999999999</c:v>
                </c:pt>
                <c:pt idx="10">
                  <c:v>0.25650499999999998</c:v>
                </c:pt>
                <c:pt idx="11">
                  <c:v>0.24965699999999999</c:v>
                </c:pt>
                <c:pt idx="12">
                  <c:v>0.27392300000000003</c:v>
                </c:pt>
                <c:pt idx="13">
                  <c:v>0.37113099999999999</c:v>
                </c:pt>
                <c:pt idx="14">
                  <c:v>0.42141099999999998</c:v>
                </c:pt>
              </c:numCache>
            </c:numRef>
          </c:xVal>
          <c:yVal>
            <c:numRef>
              <c:f>'Analysis Data'!$V$9:$V$23</c:f>
              <c:numCache>
                <c:formatCode>General</c:formatCode>
                <c:ptCount val="15"/>
                <c:pt idx="0">
                  <c:v>145167</c:v>
                </c:pt>
                <c:pt idx="1">
                  <c:v>170192</c:v>
                </c:pt>
                <c:pt idx="2">
                  <c:v>247506</c:v>
                </c:pt>
                <c:pt idx="3">
                  <c:v>309391</c:v>
                </c:pt>
                <c:pt idx="4">
                  <c:v>354338</c:v>
                </c:pt>
                <c:pt idx="5">
                  <c:v>373941</c:v>
                </c:pt>
                <c:pt idx="6">
                  <c:v>420915</c:v>
                </c:pt>
                <c:pt idx="7">
                  <c:v>474017</c:v>
                </c:pt>
                <c:pt idx="8">
                  <c:v>532590</c:v>
                </c:pt>
                <c:pt idx="9">
                  <c:v>676771</c:v>
                </c:pt>
                <c:pt idx="10">
                  <c:v>880438</c:v>
                </c:pt>
                <c:pt idx="11">
                  <c:v>1052020</c:v>
                </c:pt>
                <c:pt idx="12">
                  <c:v>1193680</c:v>
                </c:pt>
                <c:pt idx="13">
                  <c:v>1303390</c:v>
                </c:pt>
                <c:pt idx="14">
                  <c:v>1436970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92-4DE1-8BD2-98D44118B8B7}"/>
            </c:ext>
          </c:extLst>
        </c:ser>
        <c:ser>
          <c:idx val="4"/>
          <c:order val="4"/>
          <c:tx>
            <c:strRef>
              <c:f>'Analysis Data'!$W$7</c:f>
              <c:strCache>
                <c:ptCount val="1"/>
                <c:pt idx="0">
                  <c:v>5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0000"/>
              </a:soli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'Analysis Data'!$W$9:$W$23</c:f>
              <c:numCache>
                <c:formatCode>General</c:formatCode>
                <c:ptCount val="15"/>
                <c:pt idx="0">
                  <c:v>5.1027999999999997E-2</c:v>
                </c:pt>
                <c:pt idx="1">
                  <c:v>5.2645999999999998E-2</c:v>
                </c:pt>
                <c:pt idx="2">
                  <c:v>5.6348000000000002E-2</c:v>
                </c:pt>
                <c:pt idx="3">
                  <c:v>6.6952999999999999E-2</c:v>
                </c:pt>
                <c:pt idx="4">
                  <c:v>7.0307999999999995E-2</c:v>
                </c:pt>
                <c:pt idx="5">
                  <c:v>7.3960999999999999E-2</c:v>
                </c:pt>
                <c:pt idx="6">
                  <c:v>8.4945999999999994E-2</c:v>
                </c:pt>
                <c:pt idx="7">
                  <c:v>9.5474000000000003E-2</c:v>
                </c:pt>
                <c:pt idx="8">
                  <c:v>0.119814</c:v>
                </c:pt>
                <c:pt idx="9">
                  <c:v>0.15004600000000001</c:v>
                </c:pt>
                <c:pt idx="10">
                  <c:v>0.144014</c:v>
                </c:pt>
                <c:pt idx="11">
                  <c:v>0.16930000000000001</c:v>
                </c:pt>
                <c:pt idx="12">
                  <c:v>0.172761</c:v>
                </c:pt>
                <c:pt idx="13">
                  <c:v>0.18667</c:v>
                </c:pt>
                <c:pt idx="14">
                  <c:v>0.213279</c:v>
                </c:pt>
              </c:numCache>
            </c:numRef>
          </c:xVal>
          <c:yVal>
            <c:numRef>
              <c:f>'Analysis Data'!$X$9:$X$23</c:f>
              <c:numCache>
                <c:formatCode>General</c:formatCode>
                <c:ptCount val="15"/>
                <c:pt idx="0">
                  <c:v>91361</c:v>
                </c:pt>
                <c:pt idx="1">
                  <c:v>95428</c:v>
                </c:pt>
                <c:pt idx="2">
                  <c:v>98187</c:v>
                </c:pt>
                <c:pt idx="3">
                  <c:v>115967</c:v>
                </c:pt>
                <c:pt idx="4">
                  <c:v>138382</c:v>
                </c:pt>
                <c:pt idx="5">
                  <c:v>156228</c:v>
                </c:pt>
                <c:pt idx="6">
                  <c:v>183169</c:v>
                </c:pt>
                <c:pt idx="7">
                  <c:v>210212</c:v>
                </c:pt>
                <c:pt idx="8">
                  <c:v>274024</c:v>
                </c:pt>
                <c:pt idx="9">
                  <c:v>356915</c:v>
                </c:pt>
                <c:pt idx="10">
                  <c:v>432344</c:v>
                </c:pt>
                <c:pt idx="11">
                  <c:v>524294</c:v>
                </c:pt>
                <c:pt idx="12">
                  <c:v>530924</c:v>
                </c:pt>
                <c:pt idx="13">
                  <c:v>581447</c:v>
                </c:pt>
                <c:pt idx="14">
                  <c:v>610257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92-4DE1-8BD2-98D44118B8B7}"/>
            </c:ext>
          </c:extLst>
        </c:ser>
        <c:ser>
          <c:idx val="5"/>
          <c:order val="5"/>
          <c:tx>
            <c:strRef>
              <c:f>'Analysis Data'!$Y$7</c:f>
              <c:strCache>
                <c:ptCount val="1"/>
                <c:pt idx="0">
                  <c:v>6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'Analysis Data'!$Y$9:$Y$23</c:f>
              <c:numCache>
                <c:formatCode>General</c:formatCode>
                <c:ptCount val="15"/>
                <c:pt idx="0">
                  <c:v>3.7682E-2</c:v>
                </c:pt>
                <c:pt idx="1">
                  <c:v>3.9784E-2</c:v>
                </c:pt>
                <c:pt idx="2">
                  <c:v>4.4331000000000002E-2</c:v>
                </c:pt>
                <c:pt idx="3">
                  <c:v>5.0244999999999998E-2</c:v>
                </c:pt>
                <c:pt idx="4">
                  <c:v>5.5045999999999998E-2</c:v>
                </c:pt>
                <c:pt idx="5">
                  <c:v>5.2462000000000002E-2</c:v>
                </c:pt>
                <c:pt idx="6">
                  <c:v>5.6977E-2</c:v>
                </c:pt>
                <c:pt idx="7">
                  <c:v>6.1490000000000003E-2</c:v>
                </c:pt>
                <c:pt idx="8">
                  <c:v>6.9027000000000005E-2</c:v>
                </c:pt>
                <c:pt idx="9">
                  <c:v>9.2748999999999998E-2</c:v>
                </c:pt>
                <c:pt idx="10">
                  <c:v>0.11264</c:v>
                </c:pt>
                <c:pt idx="11">
                  <c:v>0.15415400000000001</c:v>
                </c:pt>
                <c:pt idx="12">
                  <c:v>0.18646099999999999</c:v>
                </c:pt>
                <c:pt idx="13">
                  <c:v>0.24684700000000001</c:v>
                </c:pt>
                <c:pt idx="14">
                  <c:v>0.30401299999999998</c:v>
                </c:pt>
              </c:numCache>
            </c:numRef>
          </c:xVal>
          <c:yVal>
            <c:numRef>
              <c:f>'Analysis Data'!$Z$9:$Z$23</c:f>
              <c:numCache>
                <c:formatCode>General</c:formatCode>
                <c:ptCount val="15"/>
                <c:pt idx="0">
                  <c:v>68978</c:v>
                </c:pt>
                <c:pt idx="1">
                  <c:v>74904</c:v>
                </c:pt>
                <c:pt idx="2">
                  <c:v>83829</c:v>
                </c:pt>
                <c:pt idx="3">
                  <c:v>98148</c:v>
                </c:pt>
                <c:pt idx="4">
                  <c:v>118449</c:v>
                </c:pt>
                <c:pt idx="5">
                  <c:v>133161</c:v>
                </c:pt>
                <c:pt idx="6">
                  <c:v>145062</c:v>
                </c:pt>
                <c:pt idx="7">
                  <c:v>170711</c:v>
                </c:pt>
                <c:pt idx="8">
                  <c:v>199775</c:v>
                </c:pt>
                <c:pt idx="9">
                  <c:v>276797</c:v>
                </c:pt>
                <c:pt idx="10">
                  <c:v>381478</c:v>
                </c:pt>
                <c:pt idx="11">
                  <c:v>506969</c:v>
                </c:pt>
                <c:pt idx="12">
                  <c:v>633388</c:v>
                </c:pt>
                <c:pt idx="13">
                  <c:v>804388</c:v>
                </c:pt>
                <c:pt idx="14">
                  <c:v>1009500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92-4DE1-8BD2-98D44118B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561151"/>
        <c:axId val="1501562111"/>
      </c:scatterChart>
      <c:valAx>
        <c:axId val="150156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62111"/>
        <c:crosses val="autoZero"/>
        <c:crossBetween val="midCat"/>
      </c:valAx>
      <c:valAx>
        <c:axId val="150156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61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[Airline_Costs - Copy.xlsx]Analysis Data!PivotTable1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Cost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Data'!$O$6:$O$8</c:f>
              <c:strCache>
                <c:ptCount val="1"/>
                <c:pt idx="0">
                  <c:v>1 - Sum of Output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Data'!$O$9:$O$23</c:f>
              <c:numCache>
                <c:formatCode>General</c:formatCode>
                <c:ptCount val="15"/>
                <c:pt idx="0">
                  <c:v>0.95275699999999997</c:v>
                </c:pt>
                <c:pt idx="1">
                  <c:v>0.986757</c:v>
                </c:pt>
                <c:pt idx="2">
                  <c:v>1.09198</c:v>
                </c:pt>
                <c:pt idx="3">
                  <c:v>1.17578</c:v>
                </c:pt>
                <c:pt idx="4">
                  <c:v>1.1601699999999999</c:v>
                </c:pt>
                <c:pt idx="5">
                  <c:v>1.1737599999999999</c:v>
                </c:pt>
                <c:pt idx="6">
                  <c:v>1.29051</c:v>
                </c:pt>
                <c:pt idx="7">
                  <c:v>1.3906700000000001</c:v>
                </c:pt>
                <c:pt idx="8">
                  <c:v>1.61273</c:v>
                </c:pt>
                <c:pt idx="9">
                  <c:v>1.82544</c:v>
                </c:pt>
                <c:pt idx="10">
                  <c:v>1.5460400000000001</c:v>
                </c:pt>
                <c:pt idx="11">
                  <c:v>1.5279</c:v>
                </c:pt>
                <c:pt idx="12">
                  <c:v>1.6601999999999999</c:v>
                </c:pt>
                <c:pt idx="13">
                  <c:v>1.8223100000000001</c:v>
                </c:pt>
                <c:pt idx="14">
                  <c:v>1.9364600000000001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A-48A0-B56F-03365DD404FE}"/>
            </c:ext>
          </c:extLst>
        </c:ser>
        <c:ser>
          <c:idx val="1"/>
          <c:order val="1"/>
          <c:tx>
            <c:strRef>
              <c:f>'Analysis Data'!$P$6:$P$8</c:f>
              <c:strCache>
                <c:ptCount val="1"/>
                <c:pt idx="0">
                  <c:v>1 - Cost (thousands)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Data'!$P$9:$P$23</c:f>
              <c:numCache>
                <c:formatCode>General</c:formatCode>
                <c:ptCount val="15"/>
                <c:pt idx="0">
                  <c:v>1140640</c:v>
                </c:pt>
                <c:pt idx="1">
                  <c:v>1215690</c:v>
                </c:pt>
                <c:pt idx="2">
                  <c:v>1309570</c:v>
                </c:pt>
                <c:pt idx="3">
                  <c:v>1511530</c:v>
                </c:pt>
                <c:pt idx="4">
                  <c:v>1676730</c:v>
                </c:pt>
                <c:pt idx="5">
                  <c:v>1823740</c:v>
                </c:pt>
                <c:pt idx="6">
                  <c:v>2022890</c:v>
                </c:pt>
                <c:pt idx="7">
                  <c:v>2314760</c:v>
                </c:pt>
                <c:pt idx="8">
                  <c:v>2639160</c:v>
                </c:pt>
                <c:pt idx="9">
                  <c:v>3247620</c:v>
                </c:pt>
                <c:pt idx="10">
                  <c:v>3787750</c:v>
                </c:pt>
                <c:pt idx="11">
                  <c:v>3867750</c:v>
                </c:pt>
                <c:pt idx="12">
                  <c:v>3996020</c:v>
                </c:pt>
                <c:pt idx="13">
                  <c:v>4282880</c:v>
                </c:pt>
                <c:pt idx="14">
                  <c:v>4748320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A-48A0-B56F-03365DD404FE}"/>
            </c:ext>
          </c:extLst>
        </c:ser>
        <c:ser>
          <c:idx val="2"/>
          <c:order val="2"/>
          <c:tx>
            <c:strRef>
              <c:f>'Analysis Data'!$Q$6:$Q$8</c:f>
              <c:strCache>
                <c:ptCount val="1"/>
                <c:pt idx="0">
                  <c:v>2 - Sum of Output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Data'!$Q$9:$Q$23</c:f>
              <c:numCache>
                <c:formatCode>General</c:formatCode>
                <c:ptCount val="15"/>
                <c:pt idx="0">
                  <c:v>0.52063499999999996</c:v>
                </c:pt>
                <c:pt idx="1">
                  <c:v>0.53462699999999996</c:v>
                </c:pt>
                <c:pt idx="2">
                  <c:v>0.655192</c:v>
                </c:pt>
                <c:pt idx="3">
                  <c:v>0.79157500000000003</c:v>
                </c:pt>
                <c:pt idx="4">
                  <c:v>0.84294500000000006</c:v>
                </c:pt>
                <c:pt idx="5">
                  <c:v>0.85289199999999998</c:v>
                </c:pt>
                <c:pt idx="6">
                  <c:v>0.92284299999999997</c:v>
                </c:pt>
                <c:pt idx="7">
                  <c:v>1</c:v>
                </c:pt>
                <c:pt idx="8">
                  <c:v>1.19845</c:v>
                </c:pt>
                <c:pt idx="9">
                  <c:v>1.34067</c:v>
                </c:pt>
                <c:pt idx="10">
                  <c:v>1.3262400000000001</c:v>
                </c:pt>
                <c:pt idx="11">
                  <c:v>1.2485200000000001</c:v>
                </c:pt>
                <c:pt idx="12">
                  <c:v>1.2543200000000001</c:v>
                </c:pt>
                <c:pt idx="13">
                  <c:v>1.3717699999999999</c:v>
                </c:pt>
                <c:pt idx="14">
                  <c:v>1.38974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9A-48A0-B56F-03365DD404FE}"/>
            </c:ext>
          </c:extLst>
        </c:ser>
        <c:ser>
          <c:idx val="3"/>
          <c:order val="3"/>
          <c:tx>
            <c:strRef>
              <c:f>'Analysis Data'!$R$6:$R$8</c:f>
              <c:strCache>
                <c:ptCount val="1"/>
                <c:pt idx="0">
                  <c:v>2 - Cost (thousands)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Data'!$R$9:$R$23</c:f>
              <c:numCache>
                <c:formatCode>General</c:formatCode>
                <c:ptCount val="15"/>
                <c:pt idx="0">
                  <c:v>569292</c:v>
                </c:pt>
                <c:pt idx="1">
                  <c:v>640614</c:v>
                </c:pt>
                <c:pt idx="2">
                  <c:v>777655</c:v>
                </c:pt>
                <c:pt idx="3">
                  <c:v>999294</c:v>
                </c:pt>
                <c:pt idx="4">
                  <c:v>1203970</c:v>
                </c:pt>
                <c:pt idx="5">
                  <c:v>1358100</c:v>
                </c:pt>
                <c:pt idx="6">
                  <c:v>1501350</c:v>
                </c:pt>
                <c:pt idx="7">
                  <c:v>1709270</c:v>
                </c:pt>
                <c:pt idx="8">
                  <c:v>2025400</c:v>
                </c:pt>
                <c:pt idx="9">
                  <c:v>2548370</c:v>
                </c:pt>
                <c:pt idx="10">
                  <c:v>3137740</c:v>
                </c:pt>
                <c:pt idx="11">
                  <c:v>3557700</c:v>
                </c:pt>
                <c:pt idx="12">
                  <c:v>3717740</c:v>
                </c:pt>
                <c:pt idx="13">
                  <c:v>3962370</c:v>
                </c:pt>
                <c:pt idx="14">
                  <c:v>4209390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9A-48A0-B56F-03365DD404FE}"/>
            </c:ext>
          </c:extLst>
        </c:ser>
        <c:ser>
          <c:idx val="4"/>
          <c:order val="4"/>
          <c:tx>
            <c:strRef>
              <c:f>'Analysis Data'!$S$6:$S$8</c:f>
              <c:strCache>
                <c:ptCount val="1"/>
                <c:pt idx="0">
                  <c:v>3 - Sum of Output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Data'!$S$9:$S$23</c:f>
              <c:numCache>
                <c:formatCode>General</c:formatCode>
                <c:ptCount val="15"/>
                <c:pt idx="0">
                  <c:v>0.26242399999999999</c:v>
                </c:pt>
                <c:pt idx="1">
                  <c:v>0.26643299999999998</c:v>
                </c:pt>
                <c:pt idx="2">
                  <c:v>0.30604300000000001</c:v>
                </c:pt>
                <c:pt idx="3">
                  <c:v>0.32558599999999999</c:v>
                </c:pt>
                <c:pt idx="4">
                  <c:v>0.34570600000000001</c:v>
                </c:pt>
                <c:pt idx="5">
                  <c:v>0.36751699999999998</c:v>
                </c:pt>
                <c:pt idx="6">
                  <c:v>0.409937</c:v>
                </c:pt>
                <c:pt idx="7">
                  <c:v>0.448023</c:v>
                </c:pt>
                <c:pt idx="8">
                  <c:v>0.53959500000000005</c:v>
                </c:pt>
                <c:pt idx="9">
                  <c:v>0.53938200000000003</c:v>
                </c:pt>
                <c:pt idx="10">
                  <c:v>0.46796700000000002</c:v>
                </c:pt>
                <c:pt idx="11">
                  <c:v>0.450544</c:v>
                </c:pt>
                <c:pt idx="12">
                  <c:v>0.46879300000000002</c:v>
                </c:pt>
                <c:pt idx="13">
                  <c:v>0.49439699999999998</c:v>
                </c:pt>
                <c:pt idx="14">
                  <c:v>0.49331700000000001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9A-48A0-B56F-03365DD404FE}"/>
            </c:ext>
          </c:extLst>
        </c:ser>
        <c:ser>
          <c:idx val="5"/>
          <c:order val="5"/>
          <c:tx>
            <c:strRef>
              <c:f>'Analysis Data'!$T$6:$T$8</c:f>
              <c:strCache>
                <c:ptCount val="1"/>
                <c:pt idx="0">
                  <c:v>3 - Cost (thousands)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Data'!$T$9:$T$23</c:f>
              <c:numCache>
                <c:formatCode>General</c:formatCode>
                <c:ptCount val="15"/>
                <c:pt idx="0">
                  <c:v>286298</c:v>
                </c:pt>
                <c:pt idx="1">
                  <c:v>309290</c:v>
                </c:pt>
                <c:pt idx="2">
                  <c:v>342056</c:v>
                </c:pt>
                <c:pt idx="3">
                  <c:v>374595</c:v>
                </c:pt>
                <c:pt idx="4">
                  <c:v>450037</c:v>
                </c:pt>
                <c:pt idx="5">
                  <c:v>510412</c:v>
                </c:pt>
                <c:pt idx="6">
                  <c:v>575347</c:v>
                </c:pt>
                <c:pt idx="7">
                  <c:v>669331</c:v>
                </c:pt>
                <c:pt idx="8">
                  <c:v>783799</c:v>
                </c:pt>
                <c:pt idx="9">
                  <c:v>913883</c:v>
                </c:pt>
                <c:pt idx="10">
                  <c:v>1041520</c:v>
                </c:pt>
                <c:pt idx="11">
                  <c:v>1125800</c:v>
                </c:pt>
                <c:pt idx="12">
                  <c:v>1096070</c:v>
                </c:pt>
                <c:pt idx="13">
                  <c:v>1198930</c:v>
                </c:pt>
                <c:pt idx="14">
                  <c:v>1170470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9A-48A0-B56F-03365DD404FE}"/>
            </c:ext>
          </c:extLst>
        </c:ser>
        <c:ser>
          <c:idx val="6"/>
          <c:order val="6"/>
          <c:tx>
            <c:strRef>
              <c:f>'Analysis Data'!$U$6:$U$8</c:f>
              <c:strCache>
                <c:ptCount val="1"/>
                <c:pt idx="0">
                  <c:v>4 - Sum of Output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Data'!$U$9:$U$23</c:f>
              <c:numCache>
                <c:formatCode>General</c:formatCode>
                <c:ptCount val="15"/>
                <c:pt idx="0">
                  <c:v>8.6392999999999998E-2</c:v>
                </c:pt>
                <c:pt idx="1">
                  <c:v>9.6740000000000007E-2</c:v>
                </c:pt>
                <c:pt idx="2">
                  <c:v>0.14149999999999999</c:v>
                </c:pt>
                <c:pt idx="3">
                  <c:v>0.169715</c:v>
                </c:pt>
                <c:pt idx="4">
                  <c:v>0.17380499999999999</c:v>
                </c:pt>
                <c:pt idx="5">
                  <c:v>0.164272</c:v>
                </c:pt>
                <c:pt idx="6">
                  <c:v>0.170906</c:v>
                </c:pt>
                <c:pt idx="7">
                  <c:v>0.17784</c:v>
                </c:pt>
                <c:pt idx="8">
                  <c:v>0.192248</c:v>
                </c:pt>
                <c:pt idx="9">
                  <c:v>0.24246899999999999</c:v>
                </c:pt>
                <c:pt idx="10">
                  <c:v>0.25650499999999998</c:v>
                </c:pt>
                <c:pt idx="11">
                  <c:v>0.24965699999999999</c:v>
                </c:pt>
                <c:pt idx="12">
                  <c:v>0.27392300000000003</c:v>
                </c:pt>
                <c:pt idx="13">
                  <c:v>0.37113099999999999</c:v>
                </c:pt>
                <c:pt idx="14">
                  <c:v>0.42141099999999998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D-4558-AD7C-5AA9152EB729}"/>
            </c:ext>
          </c:extLst>
        </c:ser>
        <c:ser>
          <c:idx val="7"/>
          <c:order val="7"/>
          <c:tx>
            <c:strRef>
              <c:f>'Analysis Data'!$V$6:$V$8</c:f>
              <c:strCache>
                <c:ptCount val="1"/>
                <c:pt idx="0">
                  <c:v>4 - Cost (thousands) 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Data'!$V$9:$V$23</c:f>
              <c:numCache>
                <c:formatCode>General</c:formatCode>
                <c:ptCount val="15"/>
                <c:pt idx="0">
                  <c:v>145167</c:v>
                </c:pt>
                <c:pt idx="1">
                  <c:v>170192</c:v>
                </c:pt>
                <c:pt idx="2">
                  <c:v>247506</c:v>
                </c:pt>
                <c:pt idx="3">
                  <c:v>309391</c:v>
                </c:pt>
                <c:pt idx="4">
                  <c:v>354338</c:v>
                </c:pt>
                <c:pt idx="5">
                  <c:v>373941</c:v>
                </c:pt>
                <c:pt idx="6">
                  <c:v>420915</c:v>
                </c:pt>
                <c:pt idx="7">
                  <c:v>474017</c:v>
                </c:pt>
                <c:pt idx="8">
                  <c:v>532590</c:v>
                </c:pt>
                <c:pt idx="9">
                  <c:v>676771</c:v>
                </c:pt>
                <c:pt idx="10">
                  <c:v>880438</c:v>
                </c:pt>
                <c:pt idx="11">
                  <c:v>1052020</c:v>
                </c:pt>
                <c:pt idx="12">
                  <c:v>1193680</c:v>
                </c:pt>
                <c:pt idx="13">
                  <c:v>1303390</c:v>
                </c:pt>
                <c:pt idx="14">
                  <c:v>1436970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7D-4558-AD7C-5AA9152EB729}"/>
            </c:ext>
          </c:extLst>
        </c:ser>
        <c:ser>
          <c:idx val="8"/>
          <c:order val="8"/>
          <c:tx>
            <c:strRef>
              <c:f>'Analysis Data'!$W$6:$W$8</c:f>
              <c:strCache>
                <c:ptCount val="1"/>
                <c:pt idx="0">
                  <c:v>5 - Sum of Output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Data'!$W$9:$W$23</c:f>
              <c:numCache>
                <c:formatCode>General</c:formatCode>
                <c:ptCount val="15"/>
                <c:pt idx="0">
                  <c:v>5.1027999999999997E-2</c:v>
                </c:pt>
                <c:pt idx="1">
                  <c:v>5.2645999999999998E-2</c:v>
                </c:pt>
                <c:pt idx="2">
                  <c:v>5.6348000000000002E-2</c:v>
                </c:pt>
                <c:pt idx="3">
                  <c:v>6.6952999999999999E-2</c:v>
                </c:pt>
                <c:pt idx="4">
                  <c:v>7.0307999999999995E-2</c:v>
                </c:pt>
                <c:pt idx="5">
                  <c:v>7.3960999999999999E-2</c:v>
                </c:pt>
                <c:pt idx="6">
                  <c:v>8.4945999999999994E-2</c:v>
                </c:pt>
                <c:pt idx="7">
                  <c:v>9.5474000000000003E-2</c:v>
                </c:pt>
                <c:pt idx="8">
                  <c:v>0.119814</c:v>
                </c:pt>
                <c:pt idx="9">
                  <c:v>0.15004600000000001</c:v>
                </c:pt>
                <c:pt idx="10">
                  <c:v>0.144014</c:v>
                </c:pt>
                <c:pt idx="11">
                  <c:v>0.16930000000000001</c:v>
                </c:pt>
                <c:pt idx="12">
                  <c:v>0.172761</c:v>
                </c:pt>
                <c:pt idx="13">
                  <c:v>0.18667</c:v>
                </c:pt>
                <c:pt idx="14">
                  <c:v>0.213279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7D-4558-AD7C-5AA9152EB729}"/>
            </c:ext>
          </c:extLst>
        </c:ser>
        <c:ser>
          <c:idx val="9"/>
          <c:order val="9"/>
          <c:tx>
            <c:strRef>
              <c:f>'Analysis Data'!$X$6:$X$8</c:f>
              <c:strCache>
                <c:ptCount val="1"/>
                <c:pt idx="0">
                  <c:v>5 - Cost (thousands) 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Data'!$X$9:$X$23</c:f>
              <c:numCache>
                <c:formatCode>General</c:formatCode>
                <c:ptCount val="15"/>
                <c:pt idx="0">
                  <c:v>91361</c:v>
                </c:pt>
                <c:pt idx="1">
                  <c:v>95428</c:v>
                </c:pt>
                <c:pt idx="2">
                  <c:v>98187</c:v>
                </c:pt>
                <c:pt idx="3">
                  <c:v>115967</c:v>
                </c:pt>
                <c:pt idx="4">
                  <c:v>138382</c:v>
                </c:pt>
                <c:pt idx="5">
                  <c:v>156228</c:v>
                </c:pt>
                <c:pt idx="6">
                  <c:v>183169</c:v>
                </c:pt>
                <c:pt idx="7">
                  <c:v>210212</c:v>
                </c:pt>
                <c:pt idx="8">
                  <c:v>274024</c:v>
                </c:pt>
                <c:pt idx="9">
                  <c:v>356915</c:v>
                </c:pt>
                <c:pt idx="10">
                  <c:v>432344</c:v>
                </c:pt>
                <c:pt idx="11">
                  <c:v>524294</c:v>
                </c:pt>
                <c:pt idx="12">
                  <c:v>530924</c:v>
                </c:pt>
                <c:pt idx="13">
                  <c:v>581447</c:v>
                </c:pt>
                <c:pt idx="14">
                  <c:v>610257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7D-4558-AD7C-5AA9152EB729}"/>
            </c:ext>
          </c:extLst>
        </c:ser>
        <c:ser>
          <c:idx val="10"/>
          <c:order val="10"/>
          <c:tx>
            <c:strRef>
              <c:f>'Analysis Data'!$Y$6:$Y$8</c:f>
              <c:strCache>
                <c:ptCount val="1"/>
                <c:pt idx="0">
                  <c:v>6 - Sum of Output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Data'!$Y$9:$Y$23</c:f>
              <c:numCache>
                <c:formatCode>General</c:formatCode>
                <c:ptCount val="15"/>
                <c:pt idx="0">
                  <c:v>3.7682E-2</c:v>
                </c:pt>
                <c:pt idx="1">
                  <c:v>3.9784E-2</c:v>
                </c:pt>
                <c:pt idx="2">
                  <c:v>4.4331000000000002E-2</c:v>
                </c:pt>
                <c:pt idx="3">
                  <c:v>5.0244999999999998E-2</c:v>
                </c:pt>
                <c:pt idx="4">
                  <c:v>5.5045999999999998E-2</c:v>
                </c:pt>
                <c:pt idx="5">
                  <c:v>5.2462000000000002E-2</c:v>
                </c:pt>
                <c:pt idx="6">
                  <c:v>5.6977E-2</c:v>
                </c:pt>
                <c:pt idx="7">
                  <c:v>6.1490000000000003E-2</c:v>
                </c:pt>
                <c:pt idx="8">
                  <c:v>6.9027000000000005E-2</c:v>
                </c:pt>
                <c:pt idx="9">
                  <c:v>9.2748999999999998E-2</c:v>
                </c:pt>
                <c:pt idx="10">
                  <c:v>0.11264</c:v>
                </c:pt>
                <c:pt idx="11">
                  <c:v>0.15415400000000001</c:v>
                </c:pt>
                <c:pt idx="12">
                  <c:v>0.18646099999999999</c:v>
                </c:pt>
                <c:pt idx="13">
                  <c:v>0.24684700000000001</c:v>
                </c:pt>
                <c:pt idx="14">
                  <c:v>0.30401299999999998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7D-4558-AD7C-5AA9152EB729}"/>
            </c:ext>
          </c:extLst>
        </c:ser>
        <c:ser>
          <c:idx val="11"/>
          <c:order val="11"/>
          <c:tx>
            <c:strRef>
              <c:f>'Analysis Data'!$Z$6:$Z$8</c:f>
              <c:strCache>
                <c:ptCount val="1"/>
                <c:pt idx="0">
                  <c:v>6 - Cost (thousands) 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cat>
            <c:strRef>
              <c:f>'Analysis Data'!$N$9:$N$23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'Analysis Data'!$Z$9:$Z$23</c:f>
              <c:numCache>
                <c:formatCode>General</c:formatCode>
                <c:ptCount val="15"/>
                <c:pt idx="0">
                  <c:v>68978</c:v>
                </c:pt>
                <c:pt idx="1">
                  <c:v>74904</c:v>
                </c:pt>
                <c:pt idx="2">
                  <c:v>83829</c:v>
                </c:pt>
                <c:pt idx="3">
                  <c:v>98148</c:v>
                </c:pt>
                <c:pt idx="4">
                  <c:v>118449</c:v>
                </c:pt>
                <c:pt idx="5">
                  <c:v>133161</c:v>
                </c:pt>
                <c:pt idx="6">
                  <c:v>145062</c:v>
                </c:pt>
                <c:pt idx="7">
                  <c:v>170711</c:v>
                </c:pt>
                <c:pt idx="8">
                  <c:v>199775</c:v>
                </c:pt>
                <c:pt idx="9">
                  <c:v>276797</c:v>
                </c:pt>
                <c:pt idx="10">
                  <c:v>381478</c:v>
                </c:pt>
                <c:pt idx="11">
                  <c:v>506969</c:v>
                </c:pt>
                <c:pt idx="12">
                  <c:v>633388</c:v>
                </c:pt>
                <c:pt idx="13">
                  <c:v>804388</c:v>
                </c:pt>
                <c:pt idx="14">
                  <c:v>1009500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7D-4558-AD7C-5AA9152EB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500239"/>
        <c:axId val="1556502159"/>
      </c:lineChart>
      <c:catAx>
        <c:axId val="155650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502159"/>
        <c:crosses val="autoZero"/>
        <c:auto val="1"/>
        <c:lblAlgn val="ctr"/>
        <c:lblOffset val="100"/>
        <c:noMultiLvlLbl val="0"/>
      </c:catAx>
      <c:valAx>
        <c:axId val="155650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5002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'Single Regression'!$C$8:$C$52</c:f>
              <c:numCache>
                <c:formatCode>"$"#,##0.00</c:formatCode>
                <c:ptCount val="45"/>
                <c:pt idx="0">
                  <c:v>8.6392999999999998E-2</c:v>
                </c:pt>
                <c:pt idx="1">
                  <c:v>9.6740000000000007E-2</c:v>
                </c:pt>
                <c:pt idx="2">
                  <c:v>0.14149999999999999</c:v>
                </c:pt>
                <c:pt idx="3">
                  <c:v>0.169715</c:v>
                </c:pt>
                <c:pt idx="4">
                  <c:v>0.17380499999999999</c:v>
                </c:pt>
                <c:pt idx="5">
                  <c:v>0.164272</c:v>
                </c:pt>
                <c:pt idx="6">
                  <c:v>0.170906</c:v>
                </c:pt>
                <c:pt idx="7">
                  <c:v>0.17784</c:v>
                </c:pt>
                <c:pt idx="8">
                  <c:v>0.192248</c:v>
                </c:pt>
                <c:pt idx="9">
                  <c:v>0.24246899999999999</c:v>
                </c:pt>
                <c:pt idx="10">
                  <c:v>0.25650499999999998</c:v>
                </c:pt>
                <c:pt idx="11">
                  <c:v>0.24965699999999999</c:v>
                </c:pt>
                <c:pt idx="12">
                  <c:v>0.27392300000000003</c:v>
                </c:pt>
                <c:pt idx="13">
                  <c:v>0.37113099999999999</c:v>
                </c:pt>
                <c:pt idx="14">
                  <c:v>0.42141099999999998</c:v>
                </c:pt>
                <c:pt idx="15">
                  <c:v>5.1027999999999997E-2</c:v>
                </c:pt>
                <c:pt idx="16">
                  <c:v>5.2645999999999998E-2</c:v>
                </c:pt>
                <c:pt idx="17">
                  <c:v>5.6348000000000002E-2</c:v>
                </c:pt>
                <c:pt idx="18">
                  <c:v>6.6952999999999999E-2</c:v>
                </c:pt>
                <c:pt idx="19">
                  <c:v>7.0307999999999995E-2</c:v>
                </c:pt>
                <c:pt idx="20">
                  <c:v>7.3960999999999999E-2</c:v>
                </c:pt>
                <c:pt idx="21">
                  <c:v>8.4945999999999994E-2</c:v>
                </c:pt>
                <c:pt idx="22">
                  <c:v>9.5474000000000003E-2</c:v>
                </c:pt>
                <c:pt idx="23">
                  <c:v>0.119814</c:v>
                </c:pt>
                <c:pt idx="24">
                  <c:v>0.15004600000000001</c:v>
                </c:pt>
                <c:pt idx="25">
                  <c:v>0.144014</c:v>
                </c:pt>
                <c:pt idx="26">
                  <c:v>0.16930000000000001</c:v>
                </c:pt>
                <c:pt idx="27">
                  <c:v>0.172761</c:v>
                </c:pt>
                <c:pt idx="28">
                  <c:v>0.18667</c:v>
                </c:pt>
                <c:pt idx="29">
                  <c:v>0.213279</c:v>
                </c:pt>
                <c:pt idx="30">
                  <c:v>3.7682E-2</c:v>
                </c:pt>
                <c:pt idx="31">
                  <c:v>3.9784E-2</c:v>
                </c:pt>
                <c:pt idx="32">
                  <c:v>4.4331000000000002E-2</c:v>
                </c:pt>
                <c:pt idx="33">
                  <c:v>5.0244999999999998E-2</c:v>
                </c:pt>
                <c:pt idx="34">
                  <c:v>5.5045999999999998E-2</c:v>
                </c:pt>
                <c:pt idx="35">
                  <c:v>5.2462000000000002E-2</c:v>
                </c:pt>
                <c:pt idx="36">
                  <c:v>5.6977E-2</c:v>
                </c:pt>
                <c:pt idx="37">
                  <c:v>6.1490000000000003E-2</c:v>
                </c:pt>
                <c:pt idx="38">
                  <c:v>6.9027000000000005E-2</c:v>
                </c:pt>
                <c:pt idx="39">
                  <c:v>9.2748999999999998E-2</c:v>
                </c:pt>
                <c:pt idx="40">
                  <c:v>0.11264</c:v>
                </c:pt>
                <c:pt idx="41">
                  <c:v>0.15415400000000001</c:v>
                </c:pt>
                <c:pt idx="42">
                  <c:v>0.18646099999999999</c:v>
                </c:pt>
                <c:pt idx="43">
                  <c:v>0.24684700000000001</c:v>
                </c:pt>
                <c:pt idx="44">
                  <c:v>0.30401299999999998</c:v>
                </c:pt>
              </c:numCache>
            </c:numRef>
          </c:xVal>
          <c:yVal>
            <c:numRef>
              <c:f>'Single Regression'!$J$31:$J$75</c:f>
              <c:numCache>
                <c:formatCode>General</c:formatCode>
                <c:ptCount val="45"/>
                <c:pt idx="0">
                  <c:v>-56202.095107556088</c:v>
                </c:pt>
                <c:pt idx="1">
                  <c:v>-69850.913444823178</c:v>
                </c:pt>
                <c:pt idx="2">
                  <c:v>-159835.65789017658</c:v>
                </c:pt>
                <c:pt idx="3">
                  <c:v>-203409.41737466381</c:v>
                </c:pt>
                <c:pt idx="4">
                  <c:v>-173749.54572098842</c:v>
                </c:pt>
                <c:pt idx="5">
                  <c:v>-118515.20231621742</c:v>
                </c:pt>
                <c:pt idx="6">
                  <c:v>-96336.999247639964</c:v>
                </c:pt>
                <c:pt idx="7">
                  <c:v>-69152.101436739322</c:v>
                </c:pt>
                <c:pt idx="8">
                  <c:v>-64431.655278755585</c:v>
                </c:pt>
                <c:pt idx="9">
                  <c:v>-107960.89309801604</c:v>
                </c:pt>
                <c:pt idx="10">
                  <c:v>43243.971579486737</c:v>
                </c:pt>
                <c:pt idx="11">
                  <c:v>240421.63292805199</c:v>
                </c:pt>
                <c:pt idx="12">
                  <c:v>291382.98831878137</c:v>
                </c:pt>
                <c:pt idx="13">
                  <c:v>37760.183358014794</c:v>
                </c:pt>
                <c:pt idx="14">
                  <c:v>-16590.577828588663</c:v>
                </c:pt>
                <c:pt idx="15">
                  <c:v>22175.106351557508</c:v>
                </c:pt>
                <c:pt idx="16">
                  <c:v>20194.533328488207</c:v>
                </c:pt>
                <c:pt idx="17">
                  <c:v>9116.6264487585577</c:v>
                </c:pt>
                <c:pt idx="18">
                  <c:v>-12741.514410110365</c:v>
                </c:pt>
                <c:pt idx="19">
                  <c:v>-2866.4448751273449</c:v>
                </c:pt>
                <c:pt idx="20">
                  <c:v>1325.794770563487</c:v>
                </c:pt>
                <c:pt idx="21">
                  <c:v>-12791.666081362462</c:v>
                </c:pt>
                <c:pt idx="22">
                  <c:v>-25099.005257427751</c:v>
                </c:pt>
                <c:pt idx="23">
                  <c:v>-52262.238496925158</c:v>
                </c:pt>
                <c:pt idx="24">
                  <c:v>-82368.906997191545</c:v>
                </c:pt>
                <c:pt idx="25">
                  <c:v>15605.804050493229</c:v>
                </c:pt>
                <c:pt idx="26">
                  <c:v>13044.721565122192</c:v>
                </c:pt>
                <c:pt idx="27">
                  <c:v>6738.5965757261147</c:v>
                </c:pt>
                <c:pt idx="28">
                  <c:v>5274.1471456452273</c:v>
                </c:pt>
                <c:pt idx="29">
                  <c:v>-65371.891526079737</c:v>
                </c:pt>
                <c:pt idx="30">
                  <c:v>49675.239581398579</c:v>
                </c:pt>
                <c:pt idx="31">
                  <c:v>47744.627409277629</c:v>
                </c:pt>
                <c:pt idx="32">
                  <c:v>39674.377387092158</c:v>
                </c:pt>
                <c:pt idx="33">
                  <c:v>31888.71307409351</c:v>
                </c:pt>
                <c:pt idx="34">
                  <c:v>34245.091267075157</c:v>
                </c:pt>
                <c:pt idx="35">
                  <c:v>58615.267219863192</c:v>
                </c:pt>
                <c:pt idx="36">
                  <c:v>53640.623091829882</c:v>
                </c:pt>
                <c:pt idx="37">
                  <c:v>62421.454332181078</c:v>
                </c:pt>
                <c:pt idx="38">
                  <c:v>63314.528575151839</c:v>
                </c:pt>
                <c:pt idx="39">
                  <c:v>51671.184166468331</c:v>
                </c:pt>
                <c:pt idx="40">
                  <c:v>82005.907898315403</c:v>
                </c:pt>
                <c:pt idx="41">
                  <c:v>52330.686341023014</c:v>
                </c:pt>
                <c:pt idx="42">
                  <c:v>57996.323141826782</c:v>
                </c:pt>
                <c:pt idx="43">
                  <c:v>3292.5255082896911</c:v>
                </c:pt>
                <c:pt idx="44">
                  <c:v>-5263.9290261846036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6C-47D2-BEE0-EBAD98684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618367"/>
        <c:axId val="1555616447"/>
      </c:scatterChart>
      <c:valAx>
        <c:axId val="155561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6447"/>
        <c:crosses val="autoZero"/>
        <c:crossBetween val="midCat"/>
      </c:valAx>
      <c:valAx>
        <c:axId val="155561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Residuals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Output Line Fit 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Cost (thousands)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'Single Regression'!$C$8:$C$52</c:f>
              <c:numCache>
                <c:formatCode>"$"#,##0.00</c:formatCode>
                <c:ptCount val="45"/>
                <c:pt idx="0">
                  <c:v>8.6392999999999998E-2</c:v>
                </c:pt>
                <c:pt idx="1">
                  <c:v>9.6740000000000007E-2</c:v>
                </c:pt>
                <c:pt idx="2">
                  <c:v>0.14149999999999999</c:v>
                </c:pt>
                <c:pt idx="3">
                  <c:v>0.169715</c:v>
                </c:pt>
                <c:pt idx="4">
                  <c:v>0.17380499999999999</c:v>
                </c:pt>
                <c:pt idx="5">
                  <c:v>0.164272</c:v>
                </c:pt>
                <c:pt idx="6">
                  <c:v>0.170906</c:v>
                </c:pt>
                <c:pt idx="7">
                  <c:v>0.17784</c:v>
                </c:pt>
                <c:pt idx="8">
                  <c:v>0.192248</c:v>
                </c:pt>
                <c:pt idx="9">
                  <c:v>0.24246899999999999</c:v>
                </c:pt>
                <c:pt idx="10">
                  <c:v>0.25650499999999998</c:v>
                </c:pt>
                <c:pt idx="11">
                  <c:v>0.24965699999999999</c:v>
                </c:pt>
                <c:pt idx="12">
                  <c:v>0.27392300000000003</c:v>
                </c:pt>
                <c:pt idx="13">
                  <c:v>0.37113099999999999</c:v>
                </c:pt>
                <c:pt idx="14">
                  <c:v>0.42141099999999998</c:v>
                </c:pt>
                <c:pt idx="15">
                  <c:v>5.1027999999999997E-2</c:v>
                </c:pt>
                <c:pt idx="16">
                  <c:v>5.2645999999999998E-2</c:v>
                </c:pt>
                <c:pt idx="17">
                  <c:v>5.6348000000000002E-2</c:v>
                </c:pt>
                <c:pt idx="18">
                  <c:v>6.6952999999999999E-2</c:v>
                </c:pt>
                <c:pt idx="19">
                  <c:v>7.0307999999999995E-2</c:v>
                </c:pt>
                <c:pt idx="20">
                  <c:v>7.3960999999999999E-2</c:v>
                </c:pt>
                <c:pt idx="21">
                  <c:v>8.4945999999999994E-2</c:v>
                </c:pt>
                <c:pt idx="22">
                  <c:v>9.5474000000000003E-2</c:v>
                </c:pt>
                <c:pt idx="23">
                  <c:v>0.119814</c:v>
                </c:pt>
                <c:pt idx="24">
                  <c:v>0.15004600000000001</c:v>
                </c:pt>
                <c:pt idx="25">
                  <c:v>0.144014</c:v>
                </c:pt>
                <c:pt idx="26">
                  <c:v>0.16930000000000001</c:v>
                </c:pt>
                <c:pt idx="27">
                  <c:v>0.172761</c:v>
                </c:pt>
                <c:pt idx="28">
                  <c:v>0.18667</c:v>
                </c:pt>
                <c:pt idx="29">
                  <c:v>0.213279</c:v>
                </c:pt>
                <c:pt idx="30">
                  <c:v>3.7682E-2</c:v>
                </c:pt>
                <c:pt idx="31">
                  <c:v>3.9784E-2</c:v>
                </c:pt>
                <c:pt idx="32">
                  <c:v>4.4331000000000002E-2</c:v>
                </c:pt>
                <c:pt idx="33">
                  <c:v>5.0244999999999998E-2</c:v>
                </c:pt>
                <c:pt idx="34">
                  <c:v>5.5045999999999998E-2</c:v>
                </c:pt>
                <c:pt idx="35">
                  <c:v>5.2462000000000002E-2</c:v>
                </c:pt>
                <c:pt idx="36">
                  <c:v>5.6977E-2</c:v>
                </c:pt>
                <c:pt idx="37">
                  <c:v>6.1490000000000003E-2</c:v>
                </c:pt>
                <c:pt idx="38">
                  <c:v>6.9027000000000005E-2</c:v>
                </c:pt>
                <c:pt idx="39">
                  <c:v>9.2748999999999998E-2</c:v>
                </c:pt>
                <c:pt idx="40">
                  <c:v>0.11264</c:v>
                </c:pt>
                <c:pt idx="41">
                  <c:v>0.15415400000000001</c:v>
                </c:pt>
                <c:pt idx="42">
                  <c:v>0.18646099999999999</c:v>
                </c:pt>
                <c:pt idx="43">
                  <c:v>0.24684700000000001</c:v>
                </c:pt>
                <c:pt idx="44">
                  <c:v>0.30401299999999998</c:v>
                </c:pt>
              </c:numCache>
            </c:numRef>
          </c:xVal>
          <c:yVal>
            <c:numRef>
              <c:f>'Single Regression'!$F$8:$F$52</c:f>
              <c:numCache>
                <c:formatCode>"$"#,##0</c:formatCode>
                <c:ptCount val="45"/>
                <c:pt idx="0">
                  <c:v>145167</c:v>
                </c:pt>
                <c:pt idx="1">
                  <c:v>170192</c:v>
                </c:pt>
                <c:pt idx="2">
                  <c:v>247506</c:v>
                </c:pt>
                <c:pt idx="3">
                  <c:v>309391</c:v>
                </c:pt>
                <c:pt idx="4">
                  <c:v>354338</c:v>
                </c:pt>
                <c:pt idx="5">
                  <c:v>373941</c:v>
                </c:pt>
                <c:pt idx="6">
                  <c:v>420915</c:v>
                </c:pt>
                <c:pt idx="7">
                  <c:v>474017</c:v>
                </c:pt>
                <c:pt idx="8">
                  <c:v>532590</c:v>
                </c:pt>
                <c:pt idx="9">
                  <c:v>676771</c:v>
                </c:pt>
                <c:pt idx="10">
                  <c:v>880438</c:v>
                </c:pt>
                <c:pt idx="11">
                  <c:v>1052020</c:v>
                </c:pt>
                <c:pt idx="12">
                  <c:v>1193680</c:v>
                </c:pt>
                <c:pt idx="13">
                  <c:v>1303390</c:v>
                </c:pt>
                <c:pt idx="14">
                  <c:v>1436970</c:v>
                </c:pt>
                <c:pt idx="15">
                  <c:v>91361</c:v>
                </c:pt>
                <c:pt idx="16">
                  <c:v>95428</c:v>
                </c:pt>
                <c:pt idx="17">
                  <c:v>98187</c:v>
                </c:pt>
                <c:pt idx="18">
                  <c:v>115967</c:v>
                </c:pt>
                <c:pt idx="19">
                  <c:v>138382</c:v>
                </c:pt>
                <c:pt idx="20">
                  <c:v>156228</c:v>
                </c:pt>
                <c:pt idx="21">
                  <c:v>183169</c:v>
                </c:pt>
                <c:pt idx="22">
                  <c:v>210212</c:v>
                </c:pt>
                <c:pt idx="23">
                  <c:v>274024</c:v>
                </c:pt>
                <c:pt idx="24">
                  <c:v>356915</c:v>
                </c:pt>
                <c:pt idx="25">
                  <c:v>432344</c:v>
                </c:pt>
                <c:pt idx="26">
                  <c:v>524294</c:v>
                </c:pt>
                <c:pt idx="27">
                  <c:v>530924</c:v>
                </c:pt>
                <c:pt idx="28">
                  <c:v>581447</c:v>
                </c:pt>
                <c:pt idx="29">
                  <c:v>610257</c:v>
                </c:pt>
                <c:pt idx="30">
                  <c:v>68978</c:v>
                </c:pt>
                <c:pt idx="31">
                  <c:v>74904</c:v>
                </c:pt>
                <c:pt idx="32">
                  <c:v>83829</c:v>
                </c:pt>
                <c:pt idx="33">
                  <c:v>98148</c:v>
                </c:pt>
                <c:pt idx="34">
                  <c:v>118449</c:v>
                </c:pt>
                <c:pt idx="35">
                  <c:v>133161</c:v>
                </c:pt>
                <c:pt idx="36">
                  <c:v>145062</c:v>
                </c:pt>
                <c:pt idx="37">
                  <c:v>170711</c:v>
                </c:pt>
                <c:pt idx="38">
                  <c:v>199775</c:v>
                </c:pt>
                <c:pt idx="39">
                  <c:v>276797</c:v>
                </c:pt>
                <c:pt idx="40">
                  <c:v>381478</c:v>
                </c:pt>
                <c:pt idx="41">
                  <c:v>506969</c:v>
                </c:pt>
                <c:pt idx="42">
                  <c:v>633388</c:v>
                </c:pt>
                <c:pt idx="43">
                  <c:v>804388</c:v>
                </c:pt>
                <c:pt idx="44">
                  <c:v>1009500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52-48BE-9C43-DD1BC4A64B88}"/>
            </c:ext>
          </c:extLst>
        </c:ser>
        <c:ser>
          <c:idx val="1"/>
          <c:order val="1"/>
          <c:tx>
            <c:v>Predicted Cost (thousands)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87944582044615E-2"/>
                  <c:y val="0.442774150182446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 baseline="0"/>
                      <a:t>y = 4E+06x - 121541</a:t>
                    </a:r>
                    <a:br>
                      <a:rPr lang="en-US" sz="1050" b="1" baseline="0"/>
                    </a:br>
                    <a:r>
                      <a:rPr lang="en-US" sz="1050" b="1" baseline="0"/>
                      <a:t>R² = 1</a:t>
                    </a:r>
                    <a:endParaRPr lang="en-US" sz="105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'Single Regression'!$C$8:$C$52</c:f>
              <c:numCache>
                <c:formatCode>"$"#,##0.00</c:formatCode>
                <c:ptCount val="45"/>
                <c:pt idx="0">
                  <c:v>8.6392999999999998E-2</c:v>
                </c:pt>
                <c:pt idx="1">
                  <c:v>9.6740000000000007E-2</c:v>
                </c:pt>
                <c:pt idx="2">
                  <c:v>0.14149999999999999</c:v>
                </c:pt>
                <c:pt idx="3">
                  <c:v>0.169715</c:v>
                </c:pt>
                <c:pt idx="4">
                  <c:v>0.17380499999999999</c:v>
                </c:pt>
                <c:pt idx="5">
                  <c:v>0.164272</c:v>
                </c:pt>
                <c:pt idx="6">
                  <c:v>0.170906</c:v>
                </c:pt>
                <c:pt idx="7">
                  <c:v>0.17784</c:v>
                </c:pt>
                <c:pt idx="8">
                  <c:v>0.192248</c:v>
                </c:pt>
                <c:pt idx="9">
                  <c:v>0.24246899999999999</c:v>
                </c:pt>
                <c:pt idx="10">
                  <c:v>0.25650499999999998</c:v>
                </c:pt>
                <c:pt idx="11">
                  <c:v>0.24965699999999999</c:v>
                </c:pt>
                <c:pt idx="12">
                  <c:v>0.27392300000000003</c:v>
                </c:pt>
                <c:pt idx="13">
                  <c:v>0.37113099999999999</c:v>
                </c:pt>
                <c:pt idx="14">
                  <c:v>0.42141099999999998</c:v>
                </c:pt>
                <c:pt idx="15">
                  <c:v>5.1027999999999997E-2</c:v>
                </c:pt>
                <c:pt idx="16">
                  <c:v>5.2645999999999998E-2</c:v>
                </c:pt>
                <c:pt idx="17">
                  <c:v>5.6348000000000002E-2</c:v>
                </c:pt>
                <c:pt idx="18">
                  <c:v>6.6952999999999999E-2</c:v>
                </c:pt>
                <c:pt idx="19">
                  <c:v>7.0307999999999995E-2</c:v>
                </c:pt>
                <c:pt idx="20">
                  <c:v>7.3960999999999999E-2</c:v>
                </c:pt>
                <c:pt idx="21">
                  <c:v>8.4945999999999994E-2</c:v>
                </c:pt>
                <c:pt idx="22">
                  <c:v>9.5474000000000003E-2</c:v>
                </c:pt>
                <c:pt idx="23">
                  <c:v>0.119814</c:v>
                </c:pt>
                <c:pt idx="24">
                  <c:v>0.15004600000000001</c:v>
                </c:pt>
                <c:pt idx="25">
                  <c:v>0.144014</c:v>
                </c:pt>
                <c:pt idx="26">
                  <c:v>0.16930000000000001</c:v>
                </c:pt>
                <c:pt idx="27">
                  <c:v>0.172761</c:v>
                </c:pt>
                <c:pt idx="28">
                  <c:v>0.18667</c:v>
                </c:pt>
                <c:pt idx="29">
                  <c:v>0.213279</c:v>
                </c:pt>
                <c:pt idx="30">
                  <c:v>3.7682E-2</c:v>
                </c:pt>
                <c:pt idx="31">
                  <c:v>3.9784E-2</c:v>
                </c:pt>
                <c:pt idx="32">
                  <c:v>4.4331000000000002E-2</c:v>
                </c:pt>
                <c:pt idx="33">
                  <c:v>5.0244999999999998E-2</c:v>
                </c:pt>
                <c:pt idx="34">
                  <c:v>5.5045999999999998E-2</c:v>
                </c:pt>
                <c:pt idx="35">
                  <c:v>5.2462000000000002E-2</c:v>
                </c:pt>
                <c:pt idx="36">
                  <c:v>5.6977E-2</c:v>
                </c:pt>
                <c:pt idx="37">
                  <c:v>6.1490000000000003E-2</c:v>
                </c:pt>
                <c:pt idx="38">
                  <c:v>6.9027000000000005E-2</c:v>
                </c:pt>
                <c:pt idx="39">
                  <c:v>9.2748999999999998E-2</c:v>
                </c:pt>
                <c:pt idx="40">
                  <c:v>0.11264</c:v>
                </c:pt>
                <c:pt idx="41">
                  <c:v>0.15415400000000001</c:v>
                </c:pt>
                <c:pt idx="42">
                  <c:v>0.18646099999999999</c:v>
                </c:pt>
                <c:pt idx="43">
                  <c:v>0.24684700000000001</c:v>
                </c:pt>
                <c:pt idx="44">
                  <c:v>0.30401299999999998</c:v>
                </c:pt>
              </c:numCache>
            </c:numRef>
          </c:xVal>
          <c:yVal>
            <c:numRef>
              <c:f>'Single Regression'!$I$31:$I$75</c:f>
              <c:numCache>
                <c:formatCode>General</c:formatCode>
                <c:ptCount val="45"/>
                <c:pt idx="0">
                  <c:v>201369.09510755609</c:v>
                </c:pt>
                <c:pt idx="1">
                  <c:v>240042.91344482318</c:v>
                </c:pt>
                <c:pt idx="2">
                  <c:v>407341.65789017658</c:v>
                </c:pt>
                <c:pt idx="3">
                  <c:v>512800.41737466381</c:v>
                </c:pt>
                <c:pt idx="4">
                  <c:v>528087.54572098842</c:v>
                </c:pt>
                <c:pt idx="5">
                  <c:v>492456.20231621742</c:v>
                </c:pt>
                <c:pt idx="6">
                  <c:v>517251.99924763996</c:v>
                </c:pt>
                <c:pt idx="7">
                  <c:v>543169.10143673932</c:v>
                </c:pt>
                <c:pt idx="8">
                  <c:v>597021.65527875558</c:v>
                </c:pt>
                <c:pt idx="9">
                  <c:v>784731.89309801604</c:v>
                </c:pt>
                <c:pt idx="10">
                  <c:v>837194.02842051326</c:v>
                </c:pt>
                <c:pt idx="11">
                  <c:v>811598.36707194801</c:v>
                </c:pt>
                <c:pt idx="12">
                  <c:v>902297.01168121863</c:v>
                </c:pt>
                <c:pt idx="13">
                  <c:v>1265629.8166419852</c:v>
                </c:pt>
                <c:pt idx="14">
                  <c:v>1453560.5778285887</c:v>
                </c:pt>
                <c:pt idx="15">
                  <c:v>69185.893648442492</c:v>
                </c:pt>
                <c:pt idx="16">
                  <c:v>75233.466671511793</c:v>
                </c:pt>
                <c:pt idx="17">
                  <c:v>89070.373551241442</c:v>
                </c:pt>
                <c:pt idx="18">
                  <c:v>128708.51441011037</c:v>
                </c:pt>
                <c:pt idx="19">
                  <c:v>141248.44487512734</c:v>
                </c:pt>
                <c:pt idx="20">
                  <c:v>154902.20522943651</c:v>
                </c:pt>
                <c:pt idx="21">
                  <c:v>195960.66608136246</c:v>
                </c:pt>
                <c:pt idx="22">
                  <c:v>235311.00525742775</c:v>
                </c:pt>
                <c:pt idx="23">
                  <c:v>326286.23849692516</c:v>
                </c:pt>
                <c:pt idx="24">
                  <c:v>439283.90699719155</c:v>
                </c:pt>
                <c:pt idx="25">
                  <c:v>416738.19594950677</c:v>
                </c:pt>
                <c:pt idx="26">
                  <c:v>511249.27843487781</c:v>
                </c:pt>
                <c:pt idx="27">
                  <c:v>524185.40342427389</c:v>
                </c:pt>
                <c:pt idx="28">
                  <c:v>576172.85285435477</c:v>
                </c:pt>
                <c:pt idx="29">
                  <c:v>675628.89152607974</c:v>
                </c:pt>
                <c:pt idx="30">
                  <c:v>19302.760418601421</c:v>
                </c:pt>
                <c:pt idx="31">
                  <c:v>27159.372590722371</c:v>
                </c:pt>
                <c:pt idx="32">
                  <c:v>44154.622612907842</c:v>
                </c:pt>
                <c:pt idx="33">
                  <c:v>66259.28692590649</c:v>
                </c:pt>
                <c:pt idx="34">
                  <c:v>84203.908732924843</c:v>
                </c:pt>
                <c:pt idx="35">
                  <c:v>74545.732780136808</c:v>
                </c:pt>
                <c:pt idx="36">
                  <c:v>91421.376908170118</c:v>
                </c:pt>
                <c:pt idx="37">
                  <c:v>108289.54566781892</c:v>
                </c:pt>
                <c:pt idx="38">
                  <c:v>136460.47142484816</c:v>
                </c:pt>
                <c:pt idx="39">
                  <c:v>225125.81583353167</c:v>
                </c:pt>
                <c:pt idx="40">
                  <c:v>299472.0921016846</c:v>
                </c:pt>
                <c:pt idx="41">
                  <c:v>454638.31365897699</c:v>
                </c:pt>
                <c:pt idx="42">
                  <c:v>575391.67685817322</c:v>
                </c:pt>
                <c:pt idx="43">
                  <c:v>801095.47449171031</c:v>
                </c:pt>
                <c:pt idx="44">
                  <c:v>1014763.9290261846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52-48BE-9C43-DD1BC4A64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613567"/>
        <c:axId val="1555615007"/>
      </c:scatterChart>
      <c:valAx>
        <c:axId val="155561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Output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5007"/>
        <c:crosses val="autoZero"/>
        <c:crossBetween val="midCat"/>
      </c:valAx>
      <c:valAx>
        <c:axId val="155561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Cost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1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28</xdr:row>
      <xdr:rowOff>0</xdr:rowOff>
    </xdr:from>
    <xdr:to>
      <xdr:col>12</xdr:col>
      <xdr:colOff>15240</xdr:colOff>
      <xdr:row>43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EB2C3-B493-A5C8-2484-7B75ADE54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11</xdr:row>
      <xdr:rowOff>6928</xdr:rowOff>
    </xdr:from>
    <xdr:to>
      <xdr:col>12</xdr:col>
      <xdr:colOff>152400</xdr:colOff>
      <xdr:row>26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80677-37AA-556C-696D-DCDD523FD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10391</xdr:colOff>
      <xdr:row>23</xdr:row>
      <xdr:rowOff>176645</xdr:rowOff>
    </xdr:from>
    <xdr:to>
      <xdr:col>20</xdr:col>
      <xdr:colOff>6927</xdr:colOff>
      <xdr:row>39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C5140D-2DA6-5AD1-496C-EDA4F86FA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</xdr:colOff>
      <xdr:row>42</xdr:row>
      <xdr:rowOff>144780</xdr:rowOff>
    </xdr:from>
    <xdr:to>
      <xdr:col>16</xdr:col>
      <xdr:colOff>3169920</xdr:colOff>
      <xdr:row>59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7EF3D-3478-201C-9780-6405E17EB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</xdr:colOff>
      <xdr:row>25</xdr:row>
      <xdr:rowOff>7620</xdr:rowOff>
    </xdr:from>
    <xdr:to>
      <xdr:col>16</xdr:col>
      <xdr:colOff>3154680</xdr:colOff>
      <xdr:row>42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42846A-2870-CD7B-95F7-14C50CCAE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0.600018634257" createdVersion="8" refreshedVersion="8" minRefreshableVersion="3" recordCount="90" xr:uid="{2EC23E47-AD15-472C-9212-C858D06C4E21}">
  <cacheSource type="worksheet">
    <worksheetSource ref="A5:F95" sheet="Analysis Data"/>
  </cacheSource>
  <cacheFields count="6">
    <cacheField name="Airline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Year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Output" numFmtId="165">
      <sharedItems containsSemiMixedTypes="0" containsString="0" containsNumber="1" minValue="3.7682E-2" maxValue="1.9364600000000001"/>
    </cacheField>
    <cacheField name="Fuel Price" numFmtId="164">
      <sharedItems containsSemiMixedTypes="0" containsString="0" containsNumber="1" containsInteger="1" minValue="103795" maxValue="1015610"/>
    </cacheField>
    <cacheField name="Load Factor" numFmtId="10">
      <sharedItems containsSemiMixedTypes="0" containsString="0" containsNumber="1" minValue="0.43206600000000001" maxValue="0.67628699999999997"/>
    </cacheField>
    <cacheField name="Cost (thousands)" numFmtId="164">
      <sharedItems containsSemiMixedTypes="0" containsString="0" containsNumber="1" containsInteger="1" minValue="68978" maxValue="4748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0.95275699999999997"/>
    <n v="106650"/>
    <n v="0.53448700000000005"/>
    <n v="1140640"/>
  </r>
  <r>
    <x v="0"/>
    <x v="1"/>
    <n v="0.986757"/>
    <n v="110307"/>
    <n v="0.53232800000000002"/>
    <n v="1215690"/>
  </r>
  <r>
    <x v="0"/>
    <x v="2"/>
    <n v="1.09198"/>
    <n v="110574"/>
    <n v="0.547736"/>
    <n v="1309570"/>
  </r>
  <r>
    <x v="0"/>
    <x v="3"/>
    <n v="1.17578"/>
    <n v="121974"/>
    <n v="0.54084600000000005"/>
    <n v="1511530"/>
  </r>
  <r>
    <x v="0"/>
    <x v="4"/>
    <n v="1.1601699999999999"/>
    <n v="196606"/>
    <n v="0.591167"/>
    <n v="1676730"/>
  </r>
  <r>
    <x v="0"/>
    <x v="5"/>
    <n v="1.1737599999999999"/>
    <n v="265609"/>
    <n v="0.57541699999999996"/>
    <n v="1823740"/>
  </r>
  <r>
    <x v="0"/>
    <x v="6"/>
    <n v="1.29051"/>
    <n v="263451"/>
    <n v="0.594495"/>
    <n v="2022890"/>
  </r>
  <r>
    <x v="0"/>
    <x v="7"/>
    <n v="1.3906700000000001"/>
    <n v="316411"/>
    <n v="0.59740899999999997"/>
    <n v="2314760"/>
  </r>
  <r>
    <x v="0"/>
    <x v="8"/>
    <n v="1.61273"/>
    <n v="384110"/>
    <n v="0.63852200000000003"/>
    <n v="2639160"/>
  </r>
  <r>
    <x v="0"/>
    <x v="9"/>
    <n v="1.82544"/>
    <n v="569251"/>
    <n v="0.67628699999999997"/>
    <n v="3247620"/>
  </r>
  <r>
    <x v="0"/>
    <x v="10"/>
    <n v="1.5460400000000001"/>
    <n v="871636"/>
    <n v="0.60573500000000002"/>
    <n v="3787750"/>
  </r>
  <r>
    <x v="0"/>
    <x v="11"/>
    <n v="1.5279"/>
    <n v="997239"/>
    <n v="0.61436000000000002"/>
    <n v="3867750"/>
  </r>
  <r>
    <x v="0"/>
    <x v="12"/>
    <n v="1.6601999999999999"/>
    <n v="938002"/>
    <n v="0.63336599999999998"/>
    <n v="3996020"/>
  </r>
  <r>
    <x v="0"/>
    <x v="13"/>
    <n v="1.8223100000000001"/>
    <n v="859572"/>
    <n v="0.65011699999999994"/>
    <n v="4282880"/>
  </r>
  <r>
    <x v="0"/>
    <x v="14"/>
    <n v="1.9364600000000001"/>
    <n v="823411"/>
    <n v="0.62560300000000002"/>
    <n v="4748320"/>
  </r>
  <r>
    <x v="1"/>
    <x v="0"/>
    <n v="0.52063499999999996"/>
    <n v="103795"/>
    <n v="0.49085099999999998"/>
    <n v="569292"/>
  </r>
  <r>
    <x v="1"/>
    <x v="1"/>
    <n v="0.53462699999999996"/>
    <n v="111477"/>
    <n v="0.47344900000000001"/>
    <n v="640614"/>
  </r>
  <r>
    <x v="1"/>
    <x v="2"/>
    <n v="0.655192"/>
    <n v="118664"/>
    <n v="0.50301300000000004"/>
    <n v="777655"/>
  </r>
  <r>
    <x v="1"/>
    <x v="3"/>
    <n v="0.79157500000000003"/>
    <n v="114797"/>
    <n v="0.51250099999999998"/>
    <n v="999294"/>
  </r>
  <r>
    <x v="1"/>
    <x v="4"/>
    <n v="0.84294500000000006"/>
    <n v="215322"/>
    <n v="0.56678200000000001"/>
    <n v="1203970"/>
  </r>
  <r>
    <x v="1"/>
    <x v="5"/>
    <n v="0.85289199999999998"/>
    <n v="281704"/>
    <n v="0.55813299999999999"/>
    <n v="1358100"/>
  </r>
  <r>
    <x v="1"/>
    <x v="6"/>
    <n v="0.92284299999999997"/>
    <n v="304818"/>
    <n v="0.55879900000000005"/>
    <n v="1501350"/>
  </r>
  <r>
    <x v="1"/>
    <x v="7"/>
    <n v="1"/>
    <n v="348609"/>
    <n v="0.57206999999999997"/>
    <n v="1709270"/>
  </r>
  <r>
    <x v="1"/>
    <x v="8"/>
    <n v="1.19845"/>
    <n v="374579"/>
    <n v="0.62476299999999996"/>
    <n v="2025400"/>
  </r>
  <r>
    <x v="1"/>
    <x v="9"/>
    <n v="1.34067"/>
    <n v="544109"/>
    <n v="0.62870599999999999"/>
    <n v="2548370"/>
  </r>
  <r>
    <x v="1"/>
    <x v="10"/>
    <n v="1.3262400000000001"/>
    <n v="853356"/>
    <n v="0.58914999999999995"/>
    <n v="3137740"/>
  </r>
  <r>
    <x v="1"/>
    <x v="11"/>
    <n v="1.2485200000000001"/>
    <n v="1003200"/>
    <n v="0.53261199999999997"/>
    <n v="3557700"/>
  </r>
  <r>
    <x v="1"/>
    <x v="12"/>
    <n v="1.2543200000000001"/>
    <n v="941977"/>
    <n v="0.52665200000000001"/>
    <n v="3717740"/>
  </r>
  <r>
    <x v="1"/>
    <x v="13"/>
    <n v="1.3717699999999999"/>
    <n v="856533"/>
    <n v="0.54016299999999995"/>
    <n v="3962370"/>
  </r>
  <r>
    <x v="1"/>
    <x v="14"/>
    <n v="1.38974"/>
    <n v="821361"/>
    <n v="0.528775"/>
    <n v="4209390"/>
  </r>
  <r>
    <x v="2"/>
    <x v="0"/>
    <n v="0.26242399999999999"/>
    <n v="118788"/>
    <n v="0.52433399999999997"/>
    <n v="286298"/>
  </r>
  <r>
    <x v="2"/>
    <x v="1"/>
    <n v="0.26643299999999998"/>
    <n v="123798"/>
    <n v="0.53718500000000002"/>
    <n v="309290"/>
  </r>
  <r>
    <x v="2"/>
    <x v="2"/>
    <n v="0.30604300000000001"/>
    <n v="122882"/>
    <n v="0.58211900000000005"/>
    <n v="342056"/>
  </r>
  <r>
    <x v="2"/>
    <x v="3"/>
    <n v="0.32558599999999999"/>
    <n v="131274"/>
    <n v="0.57948900000000003"/>
    <n v="374595"/>
  </r>
  <r>
    <x v="2"/>
    <x v="4"/>
    <n v="0.34570600000000001"/>
    <n v="222037"/>
    <n v="0.60659200000000002"/>
    <n v="450037"/>
  </r>
  <r>
    <x v="2"/>
    <x v="5"/>
    <n v="0.36751699999999998"/>
    <n v="278721"/>
    <n v="0.60726999999999998"/>
    <n v="510412"/>
  </r>
  <r>
    <x v="2"/>
    <x v="6"/>
    <n v="0.409937"/>
    <n v="306564"/>
    <n v="0.58242499999999997"/>
    <n v="575347"/>
  </r>
  <r>
    <x v="2"/>
    <x v="7"/>
    <n v="0.448023"/>
    <n v="356073"/>
    <n v="0.57397200000000004"/>
    <n v="669331"/>
  </r>
  <r>
    <x v="2"/>
    <x v="8"/>
    <n v="0.53959500000000005"/>
    <n v="378311"/>
    <n v="0.65425599999999995"/>
    <n v="783799"/>
  </r>
  <r>
    <x v="2"/>
    <x v="9"/>
    <n v="0.53938200000000003"/>
    <n v="555267"/>
    <n v="0.63105500000000003"/>
    <n v="913883"/>
  </r>
  <r>
    <x v="2"/>
    <x v="10"/>
    <n v="0.46796700000000002"/>
    <n v="850322"/>
    <n v="0.56923999999999997"/>
    <n v="1041520"/>
  </r>
  <r>
    <x v="2"/>
    <x v="11"/>
    <n v="0.450544"/>
    <n v="1015610"/>
    <n v="0.58968200000000004"/>
    <n v="1125800"/>
  </r>
  <r>
    <x v="2"/>
    <x v="12"/>
    <n v="0.46879300000000002"/>
    <n v="954508"/>
    <n v="0.58795299999999995"/>
    <n v="1096070"/>
  </r>
  <r>
    <x v="2"/>
    <x v="13"/>
    <n v="0.49439699999999998"/>
    <n v="886999"/>
    <n v="0.565388"/>
    <n v="1198930"/>
  </r>
  <r>
    <x v="2"/>
    <x v="14"/>
    <n v="0.49331700000000001"/>
    <n v="844079"/>
    <n v="0.57707799999999998"/>
    <n v="1170470"/>
  </r>
  <r>
    <x v="3"/>
    <x v="0"/>
    <n v="8.6392999999999998E-2"/>
    <n v="114987"/>
    <n v="0.43206600000000001"/>
    <n v="145167"/>
  </r>
  <r>
    <x v="3"/>
    <x v="1"/>
    <n v="9.6740000000000007E-2"/>
    <n v="120501"/>
    <n v="0.43966899999999998"/>
    <n v="170192"/>
  </r>
  <r>
    <x v="3"/>
    <x v="2"/>
    <n v="0.14149999999999999"/>
    <n v="121908"/>
    <n v="0.48893199999999998"/>
    <n v="247506"/>
  </r>
  <r>
    <x v="3"/>
    <x v="3"/>
    <n v="0.169715"/>
    <n v="127220"/>
    <n v="0.48418099999999997"/>
    <n v="309391"/>
  </r>
  <r>
    <x v="3"/>
    <x v="4"/>
    <n v="0.17380499999999999"/>
    <n v="209405"/>
    <n v="0.52992499999999998"/>
    <n v="354338"/>
  </r>
  <r>
    <x v="3"/>
    <x v="5"/>
    <n v="0.164272"/>
    <n v="263148"/>
    <n v="0.53272299999999995"/>
    <n v="373941"/>
  </r>
  <r>
    <x v="3"/>
    <x v="6"/>
    <n v="0.170906"/>
    <n v="316724"/>
    <n v="0.54906699999999997"/>
    <n v="420915"/>
  </r>
  <r>
    <x v="3"/>
    <x v="7"/>
    <n v="0.17784"/>
    <n v="363598"/>
    <n v="0.55713999999999997"/>
    <n v="474017"/>
  </r>
  <r>
    <x v="3"/>
    <x v="8"/>
    <n v="0.192248"/>
    <n v="389436"/>
    <n v="0.61137699999999995"/>
    <n v="532590"/>
  </r>
  <r>
    <x v="3"/>
    <x v="9"/>
    <n v="0.24246899999999999"/>
    <n v="547376"/>
    <n v="0.64531899999999998"/>
    <n v="676771"/>
  </r>
  <r>
    <x v="3"/>
    <x v="10"/>
    <n v="0.25650499999999998"/>
    <n v="850418"/>
    <n v="0.611734"/>
    <n v="880438"/>
  </r>
  <r>
    <x v="3"/>
    <x v="11"/>
    <n v="0.24965699999999999"/>
    <n v="1011170"/>
    <n v="0.58088399999999996"/>
    <n v="1052020"/>
  </r>
  <r>
    <x v="3"/>
    <x v="12"/>
    <n v="0.27392300000000003"/>
    <n v="951934"/>
    <n v="0.57204699999999997"/>
    <n v="1193680"/>
  </r>
  <r>
    <x v="3"/>
    <x v="13"/>
    <n v="0.37113099999999999"/>
    <n v="881323"/>
    <n v="0.59457000000000004"/>
    <n v="1303390"/>
  </r>
  <r>
    <x v="3"/>
    <x v="14"/>
    <n v="0.42141099999999998"/>
    <n v="831374"/>
    <n v="0.58552499999999996"/>
    <n v="1436970"/>
  </r>
  <r>
    <x v="4"/>
    <x v="0"/>
    <n v="5.1027999999999997E-2"/>
    <n v="118222"/>
    <n v="0.44287500000000002"/>
    <n v="91361"/>
  </r>
  <r>
    <x v="4"/>
    <x v="1"/>
    <n v="5.2645999999999998E-2"/>
    <n v="116223"/>
    <n v="0.46247300000000002"/>
    <n v="95428"/>
  </r>
  <r>
    <x v="4"/>
    <x v="2"/>
    <n v="5.6348000000000002E-2"/>
    <n v="115853"/>
    <n v="0.51911799999999997"/>
    <n v="98187"/>
  </r>
  <r>
    <x v="4"/>
    <x v="3"/>
    <n v="6.6952999999999999E-2"/>
    <n v="129372"/>
    <n v="0.529331"/>
    <n v="115967"/>
  </r>
  <r>
    <x v="4"/>
    <x v="4"/>
    <n v="7.0307999999999995E-2"/>
    <n v="243266"/>
    <n v="0.55779699999999999"/>
    <n v="138382"/>
  </r>
  <r>
    <x v="4"/>
    <x v="5"/>
    <n v="7.3960999999999999E-2"/>
    <n v="277930"/>
    <n v="0.55618100000000004"/>
    <n v="156228"/>
  </r>
  <r>
    <x v="4"/>
    <x v="6"/>
    <n v="8.4945999999999994E-2"/>
    <n v="317273"/>
    <n v="0.56932700000000003"/>
    <n v="183169"/>
  </r>
  <r>
    <x v="4"/>
    <x v="7"/>
    <n v="9.5474000000000003E-2"/>
    <n v="358794"/>
    <n v="0.58346500000000001"/>
    <n v="210212"/>
  </r>
  <r>
    <x v="4"/>
    <x v="8"/>
    <n v="0.119814"/>
    <n v="397667"/>
    <n v="0.63181799999999999"/>
    <n v="274024"/>
  </r>
  <r>
    <x v="4"/>
    <x v="9"/>
    <n v="0.15004600000000001"/>
    <n v="566672"/>
    <n v="0.60472300000000001"/>
    <n v="356915"/>
  </r>
  <r>
    <x v="4"/>
    <x v="10"/>
    <n v="0.144014"/>
    <n v="848393"/>
    <n v="0.58792100000000003"/>
    <n v="432344"/>
  </r>
  <r>
    <x v="4"/>
    <x v="11"/>
    <n v="0.16930000000000001"/>
    <n v="1005740"/>
    <n v="0.61615900000000001"/>
    <n v="524294"/>
  </r>
  <r>
    <x v="4"/>
    <x v="12"/>
    <n v="0.172761"/>
    <n v="958231"/>
    <n v="0.60586799999999996"/>
    <n v="530924"/>
  </r>
  <r>
    <x v="4"/>
    <x v="13"/>
    <n v="0.18667"/>
    <n v="872924"/>
    <n v="0.59468799999999999"/>
    <n v="581447"/>
  </r>
  <r>
    <x v="4"/>
    <x v="14"/>
    <n v="0.213279"/>
    <n v="844622"/>
    <n v="0.63554500000000003"/>
    <n v="610257"/>
  </r>
  <r>
    <x v="5"/>
    <x v="0"/>
    <n v="3.7682E-2"/>
    <n v="117112"/>
    <n v="0.44853900000000002"/>
    <n v="68978"/>
  </r>
  <r>
    <x v="5"/>
    <x v="1"/>
    <n v="3.9784E-2"/>
    <n v="119420"/>
    <n v="0.47588900000000001"/>
    <n v="74904"/>
  </r>
  <r>
    <x v="5"/>
    <x v="2"/>
    <n v="4.4331000000000002E-2"/>
    <n v="116087"/>
    <n v="0.50056199999999995"/>
    <n v="83829"/>
  </r>
  <r>
    <x v="5"/>
    <x v="3"/>
    <n v="5.0244999999999998E-2"/>
    <n v="122997"/>
    <n v="0.50034400000000001"/>
    <n v="98148"/>
  </r>
  <r>
    <x v="5"/>
    <x v="4"/>
    <n v="5.5045999999999998E-2"/>
    <n v="194309"/>
    <n v="0.52889699999999995"/>
    <n v="118449"/>
  </r>
  <r>
    <x v="5"/>
    <x v="5"/>
    <n v="5.2462000000000002E-2"/>
    <n v="307923"/>
    <n v="0.495361"/>
    <n v="133161"/>
  </r>
  <r>
    <x v="5"/>
    <x v="6"/>
    <n v="5.6977E-2"/>
    <n v="323595"/>
    <n v="0.51034199999999996"/>
    <n v="145062"/>
  </r>
  <r>
    <x v="5"/>
    <x v="7"/>
    <n v="6.1490000000000003E-2"/>
    <n v="363081"/>
    <n v="0.51829599999999998"/>
    <n v="170711"/>
  </r>
  <r>
    <x v="5"/>
    <x v="8"/>
    <n v="6.9027000000000005E-2"/>
    <n v="386422"/>
    <n v="0.54672299999999996"/>
    <n v="199775"/>
  </r>
  <r>
    <x v="5"/>
    <x v="9"/>
    <n v="9.2748999999999998E-2"/>
    <n v="564867"/>
    <n v="0.55427599999999999"/>
    <n v="276797"/>
  </r>
  <r>
    <x v="5"/>
    <x v="10"/>
    <n v="0.11264"/>
    <n v="874818"/>
    <n v="0.51776599999999995"/>
    <n v="381478"/>
  </r>
  <r>
    <x v="5"/>
    <x v="11"/>
    <n v="0.15415400000000001"/>
    <n v="1013170"/>
    <n v="0.58004900000000004"/>
    <n v="506969"/>
  </r>
  <r>
    <x v="5"/>
    <x v="12"/>
    <n v="0.18646099999999999"/>
    <n v="930477"/>
    <n v="0.55602399999999996"/>
    <n v="633388"/>
  </r>
  <r>
    <x v="5"/>
    <x v="13"/>
    <n v="0.24684700000000001"/>
    <n v="851676"/>
    <n v="0.53779100000000002"/>
    <n v="804388"/>
  </r>
  <r>
    <x v="5"/>
    <x v="14"/>
    <n v="0.30401299999999998"/>
    <n v="819476"/>
    <n v="0.52577499999999999"/>
    <n v="1009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9C3D0-DA5E-482D-814D-DF429296F6A5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 rowHeaderCaption="s">
  <location ref="N6:Z23" firstHeaderRow="1" firstDataRow="3" firstDataCol="1"/>
  <pivotFields count="6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165" showAll="0"/>
    <pivotField numFmtId="164" showAll="0"/>
    <pivotField numFmtId="10" showAll="0"/>
    <pivotField dataField="1" numFmtId="164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2">
    <field x="0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</colItems>
  <dataFields count="2">
    <dataField name="Sum of Output" fld="2" baseField="0" baseItem="0"/>
    <dataField name="Cost (thousands) " fld="5" baseField="1" baseItem="0"/>
  </dataFields>
  <chartFormats count="18">
    <chartFormat chart="6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AC89-DC85-407C-989E-6BD309F90A33}">
  <sheetPr>
    <tabColor theme="3" tint="-0.499984740745262"/>
  </sheetPr>
  <dimension ref="B2:C43"/>
  <sheetViews>
    <sheetView workbookViewId="0">
      <selection activeCell="B26" sqref="B26"/>
    </sheetView>
  </sheetViews>
  <sheetFormatPr defaultRowHeight="14.4" x14ac:dyDescent="0.3"/>
  <cols>
    <col min="1" max="1" width="3.33203125" customWidth="1"/>
    <col min="2" max="2" width="22.6640625" bestFit="1" customWidth="1"/>
    <col min="3" max="3" width="80.5546875" bestFit="1" customWidth="1"/>
  </cols>
  <sheetData>
    <row r="2" spans="2:3" ht="22.8" x14ac:dyDescent="0.4">
      <c r="B2" s="64" t="s">
        <v>39</v>
      </c>
      <c r="C2" s="65"/>
    </row>
    <row r="3" spans="2:3" x14ac:dyDescent="0.3">
      <c r="B3" s="19"/>
      <c r="C3" s="19"/>
    </row>
    <row r="4" spans="2:3" ht="18" x14ac:dyDescent="0.35">
      <c r="B4" s="62" t="s">
        <v>40</v>
      </c>
      <c r="C4" s="63"/>
    </row>
    <row r="5" spans="2:3" x14ac:dyDescent="0.3">
      <c r="B5" s="21" t="s">
        <v>41</v>
      </c>
      <c r="C5" s="22" t="s">
        <v>42</v>
      </c>
    </row>
    <row r="6" spans="2:3" x14ac:dyDescent="0.3">
      <c r="B6" s="21" t="s">
        <v>43</v>
      </c>
      <c r="C6" s="22" t="s">
        <v>44</v>
      </c>
    </row>
    <row r="7" spans="2:3" x14ac:dyDescent="0.3">
      <c r="B7" s="21" t="s">
        <v>45</v>
      </c>
      <c r="C7" s="22" t="s">
        <v>46</v>
      </c>
    </row>
    <row r="8" spans="2:3" x14ac:dyDescent="0.3">
      <c r="B8" s="21" t="s">
        <v>47</v>
      </c>
      <c r="C8" s="22" t="s">
        <v>48</v>
      </c>
    </row>
    <row r="9" spans="2:3" x14ac:dyDescent="0.3">
      <c r="B9" s="21" t="s">
        <v>49</v>
      </c>
      <c r="C9" s="22" t="s">
        <v>50</v>
      </c>
    </row>
    <row r="10" spans="2:3" x14ac:dyDescent="0.3">
      <c r="B10" s="19"/>
      <c r="C10" s="19"/>
    </row>
    <row r="11" spans="2:3" ht="18" x14ac:dyDescent="0.35">
      <c r="B11" s="62" t="s">
        <v>51</v>
      </c>
      <c r="C11" s="63"/>
    </row>
    <row r="12" spans="2:3" ht="15.6" x14ac:dyDescent="0.3">
      <c r="B12" s="60" t="s">
        <v>52</v>
      </c>
      <c r="C12" s="61"/>
    </row>
    <row r="13" spans="2:3" ht="15.6" x14ac:dyDescent="0.3">
      <c r="B13" s="60" t="s">
        <v>53</v>
      </c>
      <c r="C13" s="61"/>
    </row>
    <row r="14" spans="2:3" ht="15.6" x14ac:dyDescent="0.3">
      <c r="B14" s="60" t="s">
        <v>54</v>
      </c>
      <c r="C14" s="61"/>
    </row>
    <row r="15" spans="2:3" ht="15.6" x14ac:dyDescent="0.3">
      <c r="B15" s="60" t="s">
        <v>55</v>
      </c>
      <c r="C15" s="61"/>
    </row>
    <row r="16" spans="2:3" ht="15.6" x14ac:dyDescent="0.3">
      <c r="B16" s="60" t="s">
        <v>56</v>
      </c>
      <c r="C16" s="61"/>
    </row>
    <row r="17" spans="2:3" x14ac:dyDescent="0.3">
      <c r="B17" s="19"/>
      <c r="C17" s="19"/>
    </row>
    <row r="18" spans="2:3" ht="18" x14ac:dyDescent="0.35">
      <c r="B18" s="62" t="s">
        <v>57</v>
      </c>
      <c r="C18" s="63"/>
    </row>
    <row r="19" spans="2:3" ht="15.6" x14ac:dyDescent="0.3">
      <c r="B19" s="24" t="s">
        <v>58</v>
      </c>
      <c r="C19" s="23" t="s">
        <v>59</v>
      </c>
    </row>
    <row r="20" spans="2:3" ht="15.6" x14ac:dyDescent="0.3">
      <c r="B20" s="24" t="s">
        <v>60</v>
      </c>
      <c r="C20" s="23" t="s">
        <v>61</v>
      </c>
    </row>
    <row r="21" spans="2:3" ht="15.6" x14ac:dyDescent="0.3">
      <c r="B21" s="24" t="s">
        <v>62</v>
      </c>
      <c r="C21" s="23" t="s">
        <v>63</v>
      </c>
    </row>
    <row r="22" spans="2:3" ht="15.6" x14ac:dyDescent="0.3">
      <c r="B22" s="24" t="s">
        <v>64</v>
      </c>
      <c r="C22" s="23" t="s">
        <v>65</v>
      </c>
    </row>
    <row r="23" spans="2:3" ht="15.6" x14ac:dyDescent="0.3">
      <c r="B23" s="24" t="s">
        <v>38</v>
      </c>
      <c r="C23" s="23" t="s">
        <v>66</v>
      </c>
    </row>
    <row r="24" spans="2:3" ht="15.6" x14ac:dyDescent="0.3">
      <c r="B24" s="24" t="s">
        <v>67</v>
      </c>
      <c r="C24" s="23" t="s">
        <v>68</v>
      </c>
    </row>
    <row r="25" spans="2:3" ht="15.6" x14ac:dyDescent="0.3">
      <c r="B25" s="24" t="s">
        <v>69</v>
      </c>
      <c r="C25" s="23" t="s">
        <v>70</v>
      </c>
    </row>
    <row r="26" spans="2:3" x14ac:dyDescent="0.3">
      <c r="B26" s="19"/>
      <c r="C26" s="19"/>
    </row>
    <row r="27" spans="2:3" ht="18" x14ac:dyDescent="0.35">
      <c r="B27" s="62" t="s">
        <v>71</v>
      </c>
      <c r="C27" s="63"/>
    </row>
    <row r="28" spans="2:3" ht="15.6" x14ac:dyDescent="0.3">
      <c r="B28" s="24" t="s">
        <v>72</v>
      </c>
      <c r="C28" s="23" t="s">
        <v>73</v>
      </c>
    </row>
    <row r="29" spans="2:3" ht="15.6" x14ac:dyDescent="0.3">
      <c r="B29" s="24" t="s">
        <v>74</v>
      </c>
      <c r="C29" s="23" t="s">
        <v>75</v>
      </c>
    </row>
    <row r="30" spans="2:3" ht="15.6" x14ac:dyDescent="0.3">
      <c r="B30" s="24" t="s">
        <v>76</v>
      </c>
      <c r="C30" s="23" t="s">
        <v>77</v>
      </c>
    </row>
    <row r="31" spans="2:3" ht="15.6" x14ac:dyDescent="0.3">
      <c r="B31" s="24" t="s">
        <v>78</v>
      </c>
      <c r="C31" s="23" t="s">
        <v>79</v>
      </c>
    </row>
    <row r="32" spans="2:3" ht="15.6" x14ac:dyDescent="0.3">
      <c r="B32" s="24" t="s">
        <v>80</v>
      </c>
      <c r="C32" s="23" t="s">
        <v>81</v>
      </c>
    </row>
    <row r="33" spans="2:3" ht="15.6" x14ac:dyDescent="0.3">
      <c r="B33" s="24" t="s">
        <v>82</v>
      </c>
      <c r="C33" s="23" t="s">
        <v>83</v>
      </c>
    </row>
    <row r="34" spans="2:3" ht="15.6" x14ac:dyDescent="0.3">
      <c r="B34" s="24" t="s">
        <v>84</v>
      </c>
      <c r="C34" s="23" t="s">
        <v>85</v>
      </c>
    </row>
    <row r="35" spans="2:3" x14ac:dyDescent="0.3">
      <c r="B35" s="19"/>
      <c r="C35" s="19"/>
    </row>
    <row r="36" spans="2:3" ht="18" x14ac:dyDescent="0.35">
      <c r="B36" s="62" t="s">
        <v>86</v>
      </c>
      <c r="C36" s="63"/>
    </row>
    <row r="37" spans="2:3" ht="15.6" x14ac:dyDescent="0.3">
      <c r="B37" s="24" t="s">
        <v>64</v>
      </c>
      <c r="C37" s="23" t="s">
        <v>87</v>
      </c>
    </row>
    <row r="38" spans="2:3" ht="15.6" x14ac:dyDescent="0.3">
      <c r="B38" s="24" t="s">
        <v>38</v>
      </c>
      <c r="C38" s="23" t="s">
        <v>88</v>
      </c>
    </row>
    <row r="39" spans="2:3" ht="15.6" x14ac:dyDescent="0.3">
      <c r="B39" s="24" t="s">
        <v>89</v>
      </c>
      <c r="C39" s="23" t="s">
        <v>90</v>
      </c>
    </row>
    <row r="40" spans="2:3" ht="15.6" x14ac:dyDescent="0.3">
      <c r="B40" s="24" t="s">
        <v>91</v>
      </c>
      <c r="C40" s="23" t="s">
        <v>92</v>
      </c>
    </row>
    <row r="41" spans="2:3" ht="15.6" x14ac:dyDescent="0.3">
      <c r="B41" s="24" t="s">
        <v>11</v>
      </c>
      <c r="C41" s="23" t="s">
        <v>93</v>
      </c>
    </row>
    <row r="42" spans="2:3" ht="15.6" x14ac:dyDescent="0.3">
      <c r="B42" s="24" t="s">
        <v>94</v>
      </c>
      <c r="C42" s="23" t="s">
        <v>95</v>
      </c>
    </row>
    <row r="43" spans="2:3" ht="15.6" x14ac:dyDescent="0.3">
      <c r="B43" s="24" t="s">
        <v>96</v>
      </c>
      <c r="C43" s="23" t="s">
        <v>97</v>
      </c>
    </row>
  </sheetData>
  <mergeCells count="11">
    <mergeCell ref="B14:C14"/>
    <mergeCell ref="B2:C2"/>
    <mergeCell ref="B4:C4"/>
    <mergeCell ref="B11:C11"/>
    <mergeCell ref="B12:C12"/>
    <mergeCell ref="B13:C13"/>
    <mergeCell ref="B15:C15"/>
    <mergeCell ref="B16:C16"/>
    <mergeCell ref="B18:C18"/>
    <mergeCell ref="B27:C27"/>
    <mergeCell ref="B36:C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B849-EF06-42D1-8906-150A4CCEF106}">
  <sheetPr>
    <tabColor theme="5" tint="-0.249977111117893"/>
  </sheetPr>
  <dimension ref="A1:F91"/>
  <sheetViews>
    <sheetView topLeftCell="C1" workbookViewId="0">
      <selection activeCell="C12" sqref="C12"/>
    </sheetView>
  </sheetViews>
  <sheetFormatPr defaultRowHeight="14.4" x14ac:dyDescent="0.3"/>
  <cols>
    <col min="1" max="6" width="18" customWidth="1"/>
  </cols>
  <sheetData>
    <row r="1" spans="1:6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</row>
    <row r="2" spans="1:6" x14ac:dyDescent="0.3">
      <c r="A2" s="26">
        <v>1</v>
      </c>
      <c r="B2" s="26">
        <v>1</v>
      </c>
      <c r="C2" s="26">
        <v>0.95275699999999997</v>
      </c>
      <c r="D2" s="26">
        <v>106650</v>
      </c>
      <c r="E2" s="26">
        <v>0.53448700000000005</v>
      </c>
      <c r="F2" s="26">
        <v>1140640</v>
      </c>
    </row>
    <row r="3" spans="1:6" x14ac:dyDescent="0.3">
      <c r="A3" s="26">
        <v>1</v>
      </c>
      <c r="B3" s="26">
        <v>2</v>
      </c>
      <c r="C3" s="26">
        <v>0.986757</v>
      </c>
      <c r="D3" s="26">
        <v>110307</v>
      </c>
      <c r="E3" s="26">
        <v>0.53232800000000002</v>
      </c>
      <c r="F3" s="26">
        <v>1215690</v>
      </c>
    </row>
    <row r="4" spans="1:6" x14ac:dyDescent="0.3">
      <c r="A4" s="26">
        <v>1</v>
      </c>
      <c r="B4" s="26">
        <v>3</v>
      </c>
      <c r="C4" s="26">
        <v>1.09198</v>
      </c>
      <c r="D4" s="26">
        <v>110574</v>
      </c>
      <c r="E4" s="26">
        <v>0.547736</v>
      </c>
      <c r="F4" s="26">
        <v>1309570</v>
      </c>
    </row>
    <row r="5" spans="1:6" x14ac:dyDescent="0.3">
      <c r="A5" s="26">
        <v>1</v>
      </c>
      <c r="B5" s="26">
        <v>4</v>
      </c>
      <c r="C5" s="26">
        <v>1.17578</v>
      </c>
      <c r="D5" s="26">
        <v>121974</v>
      </c>
      <c r="E5" s="26">
        <v>0.54084600000000005</v>
      </c>
      <c r="F5" s="26">
        <v>1511530</v>
      </c>
    </row>
    <row r="6" spans="1:6" x14ac:dyDescent="0.3">
      <c r="A6" s="26">
        <v>1</v>
      </c>
      <c r="B6" s="26">
        <v>5</v>
      </c>
      <c r="C6" s="26">
        <v>1.1601699999999999</v>
      </c>
      <c r="D6" s="26">
        <v>196606</v>
      </c>
      <c r="E6" s="26">
        <v>0.591167</v>
      </c>
      <c r="F6" s="26">
        <v>1676730</v>
      </c>
    </row>
    <row r="7" spans="1:6" x14ac:dyDescent="0.3">
      <c r="A7" s="26">
        <v>1</v>
      </c>
      <c r="B7" s="26">
        <v>6</v>
      </c>
      <c r="C7" s="26">
        <v>1.1737599999999999</v>
      </c>
      <c r="D7" s="26">
        <v>265609</v>
      </c>
      <c r="E7" s="26">
        <v>0.57541699999999996</v>
      </c>
      <c r="F7" s="26">
        <v>1823740</v>
      </c>
    </row>
    <row r="8" spans="1:6" x14ac:dyDescent="0.3">
      <c r="A8" s="26">
        <v>1</v>
      </c>
      <c r="B8" s="26">
        <v>7</v>
      </c>
      <c r="C8" s="26">
        <v>1.29051</v>
      </c>
      <c r="D8" s="26">
        <v>263451</v>
      </c>
      <c r="E8" s="26">
        <v>0.594495</v>
      </c>
      <c r="F8" s="26">
        <v>2022890</v>
      </c>
    </row>
    <row r="9" spans="1:6" x14ac:dyDescent="0.3">
      <c r="A9" s="26">
        <v>1</v>
      </c>
      <c r="B9" s="26">
        <v>8</v>
      </c>
      <c r="C9" s="26">
        <v>1.3906700000000001</v>
      </c>
      <c r="D9" s="26">
        <v>316411</v>
      </c>
      <c r="E9" s="26">
        <v>0.59740899999999997</v>
      </c>
      <c r="F9" s="26">
        <v>2314760</v>
      </c>
    </row>
    <row r="10" spans="1:6" x14ac:dyDescent="0.3">
      <c r="A10" s="26">
        <v>1</v>
      </c>
      <c r="B10" s="26">
        <v>9</v>
      </c>
      <c r="C10" s="26">
        <v>1.61273</v>
      </c>
      <c r="D10" s="26">
        <v>384110</v>
      </c>
      <c r="E10" s="26">
        <v>0.63852200000000003</v>
      </c>
      <c r="F10" s="26">
        <v>2639160</v>
      </c>
    </row>
    <row r="11" spans="1:6" x14ac:dyDescent="0.3">
      <c r="A11" s="26">
        <v>1</v>
      </c>
      <c r="B11" s="26">
        <v>10</v>
      </c>
      <c r="C11" s="26">
        <v>1.82544</v>
      </c>
      <c r="D11" s="26">
        <v>569251</v>
      </c>
      <c r="E11" s="26">
        <v>0.67628699999999997</v>
      </c>
      <c r="F11" s="26">
        <v>3247620</v>
      </c>
    </row>
    <row r="12" spans="1:6" x14ac:dyDescent="0.3">
      <c r="A12" s="26">
        <v>1</v>
      </c>
      <c r="B12" s="26">
        <v>11</v>
      </c>
      <c r="C12" s="26">
        <v>1.5460400000000001</v>
      </c>
      <c r="D12" s="26">
        <v>871636</v>
      </c>
      <c r="E12" s="26">
        <v>0.60573500000000002</v>
      </c>
      <c r="F12" s="26">
        <v>3787750</v>
      </c>
    </row>
    <row r="13" spans="1:6" x14ac:dyDescent="0.3">
      <c r="A13" s="26">
        <v>1</v>
      </c>
      <c r="B13" s="26">
        <v>12</v>
      </c>
      <c r="C13" s="26">
        <v>1.5279</v>
      </c>
      <c r="D13" s="26">
        <v>997239</v>
      </c>
      <c r="E13" s="26">
        <v>0.61436000000000002</v>
      </c>
      <c r="F13" s="26">
        <v>3867750</v>
      </c>
    </row>
    <row r="14" spans="1:6" x14ac:dyDescent="0.3">
      <c r="A14" s="26">
        <v>1</v>
      </c>
      <c r="B14" s="26">
        <v>13</v>
      </c>
      <c r="C14" s="26">
        <v>1.6601999999999999</v>
      </c>
      <c r="D14" s="26">
        <v>938002</v>
      </c>
      <c r="E14" s="26">
        <v>0.63336599999999998</v>
      </c>
      <c r="F14" s="26">
        <v>3996020</v>
      </c>
    </row>
    <row r="15" spans="1:6" x14ac:dyDescent="0.3">
      <c r="A15" s="26">
        <v>1</v>
      </c>
      <c r="B15" s="26">
        <v>14</v>
      </c>
      <c r="C15" s="26">
        <v>1.8223100000000001</v>
      </c>
      <c r="D15" s="26">
        <v>859572</v>
      </c>
      <c r="E15" s="26">
        <v>0.65011699999999994</v>
      </c>
      <c r="F15" s="26">
        <v>4282880</v>
      </c>
    </row>
    <row r="16" spans="1:6" x14ac:dyDescent="0.3">
      <c r="A16" s="26">
        <v>1</v>
      </c>
      <c r="B16" s="26">
        <v>15</v>
      </c>
      <c r="C16" s="26">
        <v>1.9364600000000001</v>
      </c>
      <c r="D16" s="26">
        <v>823411</v>
      </c>
      <c r="E16" s="26">
        <v>0.62560300000000002</v>
      </c>
      <c r="F16" s="26">
        <v>4748320</v>
      </c>
    </row>
    <row r="17" spans="1:6" x14ac:dyDescent="0.3">
      <c r="A17" s="26">
        <v>2</v>
      </c>
      <c r="B17" s="26">
        <v>1</v>
      </c>
      <c r="C17" s="26">
        <v>0.52063499999999996</v>
      </c>
      <c r="D17" s="26">
        <v>103795</v>
      </c>
      <c r="E17" s="26">
        <v>0.49085099999999998</v>
      </c>
      <c r="F17" s="26">
        <v>569292</v>
      </c>
    </row>
    <row r="18" spans="1:6" x14ac:dyDescent="0.3">
      <c r="A18" s="26">
        <v>2</v>
      </c>
      <c r="B18" s="26">
        <v>2</v>
      </c>
      <c r="C18" s="26">
        <v>0.53462699999999996</v>
      </c>
      <c r="D18" s="26">
        <v>111477</v>
      </c>
      <c r="E18" s="26">
        <v>0.47344900000000001</v>
      </c>
      <c r="F18" s="26">
        <v>640614</v>
      </c>
    </row>
    <row r="19" spans="1:6" x14ac:dyDescent="0.3">
      <c r="A19" s="26">
        <v>2</v>
      </c>
      <c r="B19" s="26">
        <v>3</v>
      </c>
      <c r="C19" s="26">
        <v>0.655192</v>
      </c>
      <c r="D19" s="26">
        <v>118664</v>
      </c>
      <c r="E19" s="26">
        <v>0.50301300000000004</v>
      </c>
      <c r="F19" s="26">
        <v>777655</v>
      </c>
    </row>
    <row r="20" spans="1:6" x14ac:dyDescent="0.3">
      <c r="A20" s="26">
        <v>2</v>
      </c>
      <c r="B20" s="26">
        <v>4</v>
      </c>
      <c r="C20" s="26">
        <v>0.79157500000000003</v>
      </c>
      <c r="D20" s="26">
        <v>114797</v>
      </c>
      <c r="E20" s="26">
        <v>0.51250099999999998</v>
      </c>
      <c r="F20" s="26">
        <v>999294</v>
      </c>
    </row>
    <row r="21" spans="1:6" x14ac:dyDescent="0.3">
      <c r="A21" s="26">
        <v>2</v>
      </c>
      <c r="B21" s="26">
        <v>5</v>
      </c>
      <c r="C21" s="26">
        <v>0.84294500000000006</v>
      </c>
      <c r="D21" s="26">
        <v>215322</v>
      </c>
      <c r="E21" s="26">
        <v>0.56678200000000001</v>
      </c>
      <c r="F21" s="26">
        <v>1203970</v>
      </c>
    </row>
    <row r="22" spans="1:6" x14ac:dyDescent="0.3">
      <c r="A22" s="26">
        <v>2</v>
      </c>
      <c r="B22" s="26">
        <v>6</v>
      </c>
      <c r="C22" s="26">
        <v>0.85289199999999998</v>
      </c>
      <c r="D22" s="26">
        <v>281704</v>
      </c>
      <c r="E22" s="26">
        <v>0.55813299999999999</v>
      </c>
      <c r="F22" s="26">
        <v>1358100</v>
      </c>
    </row>
    <row r="23" spans="1:6" x14ac:dyDescent="0.3">
      <c r="A23" s="26">
        <v>2</v>
      </c>
      <c r="B23" s="26">
        <v>7</v>
      </c>
      <c r="C23" s="26">
        <v>0.92284299999999997</v>
      </c>
      <c r="D23" s="26">
        <v>304818</v>
      </c>
      <c r="E23" s="26">
        <v>0.55879900000000005</v>
      </c>
      <c r="F23" s="26">
        <v>1501350</v>
      </c>
    </row>
    <row r="24" spans="1:6" x14ac:dyDescent="0.3">
      <c r="A24" s="26">
        <v>2</v>
      </c>
      <c r="B24" s="26">
        <v>8</v>
      </c>
      <c r="C24" s="26">
        <v>1</v>
      </c>
      <c r="D24" s="26">
        <v>348609</v>
      </c>
      <c r="E24" s="26">
        <v>0.57206999999999997</v>
      </c>
      <c r="F24" s="26">
        <v>1709270</v>
      </c>
    </row>
    <row r="25" spans="1:6" x14ac:dyDescent="0.3">
      <c r="A25" s="26">
        <v>2</v>
      </c>
      <c r="B25" s="26">
        <v>9</v>
      </c>
      <c r="C25" s="26">
        <v>1.19845</v>
      </c>
      <c r="D25" s="26">
        <v>374579</v>
      </c>
      <c r="E25" s="26">
        <v>0.62476299999999996</v>
      </c>
      <c r="F25" s="26">
        <v>2025400</v>
      </c>
    </row>
    <row r="26" spans="1:6" x14ac:dyDescent="0.3">
      <c r="A26" s="26">
        <v>2</v>
      </c>
      <c r="B26" s="26">
        <v>10</v>
      </c>
      <c r="C26" s="26">
        <v>1.34067</v>
      </c>
      <c r="D26" s="26">
        <v>544109</v>
      </c>
      <c r="E26" s="26">
        <v>0.62870599999999999</v>
      </c>
      <c r="F26" s="26">
        <v>2548370</v>
      </c>
    </row>
    <row r="27" spans="1:6" x14ac:dyDescent="0.3">
      <c r="A27" s="26">
        <v>2</v>
      </c>
      <c r="B27" s="26">
        <v>11</v>
      </c>
      <c r="C27" s="26">
        <v>1.3262400000000001</v>
      </c>
      <c r="D27" s="26">
        <v>853356</v>
      </c>
      <c r="E27" s="26">
        <v>0.58914999999999995</v>
      </c>
      <c r="F27" s="26">
        <v>3137740</v>
      </c>
    </row>
    <row r="28" spans="1:6" x14ac:dyDescent="0.3">
      <c r="A28" s="26">
        <v>2</v>
      </c>
      <c r="B28" s="26">
        <v>12</v>
      </c>
      <c r="C28" s="26">
        <v>1.2485200000000001</v>
      </c>
      <c r="D28" s="26">
        <v>1003200</v>
      </c>
      <c r="E28" s="26">
        <v>0.53261199999999997</v>
      </c>
      <c r="F28" s="26">
        <v>3557700</v>
      </c>
    </row>
    <row r="29" spans="1:6" x14ac:dyDescent="0.3">
      <c r="A29" s="26">
        <v>2</v>
      </c>
      <c r="B29" s="26">
        <v>13</v>
      </c>
      <c r="C29" s="26">
        <v>1.2543200000000001</v>
      </c>
      <c r="D29" s="26">
        <v>941977</v>
      </c>
      <c r="E29" s="26">
        <v>0.52665200000000001</v>
      </c>
      <c r="F29" s="26">
        <v>3717740</v>
      </c>
    </row>
    <row r="30" spans="1:6" x14ac:dyDescent="0.3">
      <c r="A30" s="26">
        <v>2</v>
      </c>
      <c r="B30" s="26">
        <v>14</v>
      </c>
      <c r="C30" s="26">
        <v>1.3717699999999999</v>
      </c>
      <c r="D30" s="26">
        <v>856533</v>
      </c>
      <c r="E30" s="26">
        <v>0.54016299999999995</v>
      </c>
      <c r="F30" s="26">
        <v>3962370</v>
      </c>
    </row>
    <row r="31" spans="1:6" x14ac:dyDescent="0.3">
      <c r="A31" s="26">
        <v>2</v>
      </c>
      <c r="B31" s="26">
        <v>15</v>
      </c>
      <c r="C31" s="26">
        <v>1.38974</v>
      </c>
      <c r="D31" s="26">
        <v>821361</v>
      </c>
      <c r="E31" s="26">
        <v>0.528775</v>
      </c>
      <c r="F31" s="26">
        <v>4209390</v>
      </c>
    </row>
    <row r="32" spans="1:6" x14ac:dyDescent="0.3">
      <c r="A32" s="26">
        <v>3</v>
      </c>
      <c r="B32" s="26">
        <v>1</v>
      </c>
      <c r="C32" s="26">
        <v>0.26242399999999999</v>
      </c>
      <c r="D32" s="26">
        <v>118788</v>
      </c>
      <c r="E32" s="26">
        <v>0.52433399999999997</v>
      </c>
      <c r="F32" s="26">
        <v>286298</v>
      </c>
    </row>
    <row r="33" spans="1:6" x14ac:dyDescent="0.3">
      <c r="A33" s="26">
        <v>3</v>
      </c>
      <c r="B33" s="26">
        <v>2</v>
      </c>
      <c r="C33" s="26">
        <v>0.26643299999999998</v>
      </c>
      <c r="D33" s="26">
        <v>123798</v>
      </c>
      <c r="E33" s="26">
        <v>0.53718500000000002</v>
      </c>
      <c r="F33" s="26">
        <v>309290</v>
      </c>
    </row>
    <row r="34" spans="1:6" x14ac:dyDescent="0.3">
      <c r="A34" s="26">
        <v>3</v>
      </c>
      <c r="B34" s="26">
        <v>3</v>
      </c>
      <c r="C34" s="26">
        <v>0.30604300000000001</v>
      </c>
      <c r="D34" s="26">
        <v>122882</v>
      </c>
      <c r="E34" s="26">
        <v>0.58211900000000005</v>
      </c>
      <c r="F34" s="26">
        <v>342056</v>
      </c>
    </row>
    <row r="35" spans="1:6" x14ac:dyDescent="0.3">
      <c r="A35" s="26">
        <v>3</v>
      </c>
      <c r="B35" s="26">
        <v>4</v>
      </c>
      <c r="C35" s="26">
        <v>0.32558599999999999</v>
      </c>
      <c r="D35" s="26">
        <v>131274</v>
      </c>
      <c r="E35" s="26">
        <v>0.57948900000000003</v>
      </c>
      <c r="F35" s="26">
        <v>374595</v>
      </c>
    </row>
    <row r="36" spans="1:6" x14ac:dyDescent="0.3">
      <c r="A36" s="26">
        <v>3</v>
      </c>
      <c r="B36" s="26">
        <v>5</v>
      </c>
      <c r="C36" s="26">
        <v>0.34570600000000001</v>
      </c>
      <c r="D36" s="26">
        <v>222037</v>
      </c>
      <c r="E36" s="26">
        <v>0.60659200000000002</v>
      </c>
      <c r="F36" s="26">
        <v>450037</v>
      </c>
    </row>
    <row r="37" spans="1:6" x14ac:dyDescent="0.3">
      <c r="A37" s="26">
        <v>3</v>
      </c>
      <c r="B37" s="26">
        <v>6</v>
      </c>
      <c r="C37" s="26">
        <v>0.36751699999999998</v>
      </c>
      <c r="D37" s="26">
        <v>278721</v>
      </c>
      <c r="E37" s="26">
        <v>0.60726999999999998</v>
      </c>
      <c r="F37" s="26">
        <v>510412</v>
      </c>
    </row>
    <row r="38" spans="1:6" x14ac:dyDescent="0.3">
      <c r="A38" s="26">
        <v>3</v>
      </c>
      <c r="B38" s="26">
        <v>7</v>
      </c>
      <c r="C38" s="26">
        <v>0.409937</v>
      </c>
      <c r="D38" s="26">
        <v>306564</v>
      </c>
      <c r="E38" s="26">
        <v>0.58242499999999997</v>
      </c>
      <c r="F38" s="26">
        <v>575347</v>
      </c>
    </row>
    <row r="39" spans="1:6" x14ac:dyDescent="0.3">
      <c r="A39" s="26">
        <v>3</v>
      </c>
      <c r="B39" s="26">
        <v>8</v>
      </c>
      <c r="C39" s="26">
        <v>0.448023</v>
      </c>
      <c r="D39" s="26">
        <v>356073</v>
      </c>
      <c r="E39" s="26">
        <v>0.57397200000000004</v>
      </c>
      <c r="F39" s="26">
        <v>669331</v>
      </c>
    </row>
    <row r="40" spans="1:6" x14ac:dyDescent="0.3">
      <c r="A40" s="26">
        <v>3</v>
      </c>
      <c r="B40" s="26">
        <v>9</v>
      </c>
      <c r="C40" s="26">
        <v>0.53959500000000005</v>
      </c>
      <c r="D40" s="26">
        <v>378311</v>
      </c>
      <c r="E40" s="26">
        <v>0.65425599999999995</v>
      </c>
      <c r="F40" s="26">
        <v>783799</v>
      </c>
    </row>
    <row r="41" spans="1:6" x14ac:dyDescent="0.3">
      <c r="A41" s="26">
        <v>3</v>
      </c>
      <c r="B41" s="26">
        <v>10</v>
      </c>
      <c r="C41" s="26">
        <v>0.53938200000000003</v>
      </c>
      <c r="D41" s="26">
        <v>555267</v>
      </c>
      <c r="E41" s="26">
        <v>0.63105500000000003</v>
      </c>
      <c r="F41" s="26">
        <v>913883</v>
      </c>
    </row>
    <row r="42" spans="1:6" x14ac:dyDescent="0.3">
      <c r="A42" s="26">
        <v>3</v>
      </c>
      <c r="B42" s="26">
        <v>11</v>
      </c>
      <c r="C42" s="26">
        <v>0.46796700000000002</v>
      </c>
      <c r="D42" s="26">
        <v>850322</v>
      </c>
      <c r="E42" s="26">
        <v>0.56923999999999997</v>
      </c>
      <c r="F42" s="26">
        <v>1041520</v>
      </c>
    </row>
    <row r="43" spans="1:6" x14ac:dyDescent="0.3">
      <c r="A43" s="26">
        <v>3</v>
      </c>
      <c r="B43" s="26">
        <v>12</v>
      </c>
      <c r="C43" s="26">
        <v>0.450544</v>
      </c>
      <c r="D43" s="26">
        <v>1015610</v>
      </c>
      <c r="E43" s="26">
        <v>0.58968200000000004</v>
      </c>
      <c r="F43" s="26">
        <v>1125800</v>
      </c>
    </row>
    <row r="44" spans="1:6" x14ac:dyDescent="0.3">
      <c r="A44" s="26">
        <v>3</v>
      </c>
      <c r="B44" s="26">
        <v>13</v>
      </c>
      <c r="C44" s="26">
        <v>0.46879300000000002</v>
      </c>
      <c r="D44" s="26">
        <v>954508</v>
      </c>
      <c r="E44" s="26">
        <v>0.58795299999999995</v>
      </c>
      <c r="F44" s="26">
        <v>1096070</v>
      </c>
    </row>
    <row r="45" spans="1:6" x14ac:dyDescent="0.3">
      <c r="A45" s="26">
        <v>3</v>
      </c>
      <c r="B45" s="26">
        <v>14</v>
      </c>
      <c r="C45" s="26">
        <v>0.49439699999999998</v>
      </c>
      <c r="D45" s="26">
        <v>886999</v>
      </c>
      <c r="E45" s="26">
        <v>0.565388</v>
      </c>
      <c r="F45" s="26">
        <v>1198930</v>
      </c>
    </row>
    <row r="46" spans="1:6" x14ac:dyDescent="0.3">
      <c r="A46" s="26">
        <v>3</v>
      </c>
      <c r="B46" s="26">
        <v>15</v>
      </c>
      <c r="C46" s="26">
        <v>0.49331700000000001</v>
      </c>
      <c r="D46" s="26">
        <v>844079</v>
      </c>
      <c r="E46" s="26">
        <v>0.57707799999999998</v>
      </c>
      <c r="F46" s="26">
        <v>1170470</v>
      </c>
    </row>
    <row r="47" spans="1:6" x14ac:dyDescent="0.3">
      <c r="A47" s="26">
        <v>4</v>
      </c>
      <c r="B47" s="26">
        <v>1</v>
      </c>
      <c r="C47" s="26">
        <v>8.6392999999999998E-2</v>
      </c>
      <c r="D47" s="26">
        <v>114987</v>
      </c>
      <c r="E47" s="26">
        <v>0.43206600000000001</v>
      </c>
      <c r="F47" s="26">
        <v>145167</v>
      </c>
    </row>
    <row r="48" spans="1:6" x14ac:dyDescent="0.3">
      <c r="A48" s="26">
        <v>4</v>
      </c>
      <c r="B48" s="26">
        <v>2</v>
      </c>
      <c r="C48" s="26">
        <v>9.6740000000000007E-2</v>
      </c>
      <c r="D48" s="26">
        <v>120501</v>
      </c>
      <c r="E48" s="26">
        <v>0.43966899999999998</v>
      </c>
      <c r="F48" s="26">
        <v>170192</v>
      </c>
    </row>
    <row r="49" spans="1:6" x14ac:dyDescent="0.3">
      <c r="A49" s="26">
        <v>4</v>
      </c>
      <c r="B49" s="26">
        <v>3</v>
      </c>
      <c r="C49" s="26">
        <v>0.14149999999999999</v>
      </c>
      <c r="D49" s="26">
        <v>121908</v>
      </c>
      <c r="E49" s="26">
        <v>0.48893199999999998</v>
      </c>
      <c r="F49" s="26">
        <v>247506</v>
      </c>
    </row>
    <row r="50" spans="1:6" x14ac:dyDescent="0.3">
      <c r="A50" s="26">
        <v>4</v>
      </c>
      <c r="B50" s="26">
        <v>4</v>
      </c>
      <c r="C50" s="26">
        <v>0.169715</v>
      </c>
      <c r="D50" s="26">
        <v>127220</v>
      </c>
      <c r="E50" s="26">
        <v>0.48418099999999997</v>
      </c>
      <c r="F50" s="26">
        <v>309391</v>
      </c>
    </row>
    <row r="51" spans="1:6" x14ac:dyDescent="0.3">
      <c r="A51" s="26">
        <v>4</v>
      </c>
      <c r="B51" s="26">
        <v>5</v>
      </c>
      <c r="C51" s="26">
        <v>0.17380499999999999</v>
      </c>
      <c r="D51" s="26">
        <v>209405</v>
      </c>
      <c r="E51" s="26">
        <v>0.52992499999999998</v>
      </c>
      <c r="F51" s="26">
        <v>354338</v>
      </c>
    </row>
    <row r="52" spans="1:6" x14ac:dyDescent="0.3">
      <c r="A52" s="26">
        <v>4</v>
      </c>
      <c r="B52" s="26">
        <v>6</v>
      </c>
      <c r="C52" s="26">
        <v>0.164272</v>
      </c>
      <c r="D52" s="26">
        <v>263148</v>
      </c>
      <c r="E52" s="26">
        <v>0.53272299999999995</v>
      </c>
      <c r="F52" s="26">
        <v>373941</v>
      </c>
    </row>
    <row r="53" spans="1:6" x14ac:dyDescent="0.3">
      <c r="A53" s="26">
        <v>4</v>
      </c>
      <c r="B53" s="26">
        <v>7</v>
      </c>
      <c r="C53" s="26">
        <v>0.170906</v>
      </c>
      <c r="D53" s="26">
        <v>316724</v>
      </c>
      <c r="E53" s="26">
        <v>0.54906699999999997</v>
      </c>
      <c r="F53" s="26">
        <v>420915</v>
      </c>
    </row>
    <row r="54" spans="1:6" x14ac:dyDescent="0.3">
      <c r="A54" s="26">
        <v>4</v>
      </c>
      <c r="B54" s="26">
        <v>8</v>
      </c>
      <c r="C54" s="26">
        <v>0.17784</v>
      </c>
      <c r="D54" s="26">
        <v>363598</v>
      </c>
      <c r="E54" s="26">
        <v>0.55713999999999997</v>
      </c>
      <c r="F54" s="26">
        <v>474017</v>
      </c>
    </row>
    <row r="55" spans="1:6" x14ac:dyDescent="0.3">
      <c r="A55" s="26">
        <v>4</v>
      </c>
      <c r="B55" s="26">
        <v>9</v>
      </c>
      <c r="C55" s="26">
        <v>0.192248</v>
      </c>
      <c r="D55" s="26">
        <v>389436</v>
      </c>
      <c r="E55" s="26">
        <v>0.61137699999999995</v>
      </c>
      <c r="F55" s="26">
        <v>532590</v>
      </c>
    </row>
    <row r="56" spans="1:6" x14ac:dyDescent="0.3">
      <c r="A56" s="26">
        <v>4</v>
      </c>
      <c r="B56" s="26">
        <v>10</v>
      </c>
      <c r="C56" s="26">
        <v>0.24246899999999999</v>
      </c>
      <c r="D56" s="26">
        <v>547376</v>
      </c>
      <c r="E56" s="26">
        <v>0.64531899999999998</v>
      </c>
      <c r="F56" s="26">
        <v>676771</v>
      </c>
    </row>
    <row r="57" spans="1:6" x14ac:dyDescent="0.3">
      <c r="A57" s="26">
        <v>4</v>
      </c>
      <c r="B57" s="26">
        <v>11</v>
      </c>
      <c r="C57" s="26">
        <v>0.25650499999999998</v>
      </c>
      <c r="D57" s="26">
        <v>850418</v>
      </c>
      <c r="E57" s="26">
        <v>0.611734</v>
      </c>
      <c r="F57" s="26">
        <v>880438</v>
      </c>
    </row>
    <row r="58" spans="1:6" x14ac:dyDescent="0.3">
      <c r="A58" s="26">
        <v>4</v>
      </c>
      <c r="B58" s="26">
        <v>12</v>
      </c>
      <c r="C58" s="26">
        <v>0.24965699999999999</v>
      </c>
      <c r="D58" s="26">
        <v>1011170</v>
      </c>
      <c r="E58" s="26">
        <v>0.58088399999999996</v>
      </c>
      <c r="F58" s="26">
        <v>1052020</v>
      </c>
    </row>
    <row r="59" spans="1:6" x14ac:dyDescent="0.3">
      <c r="A59" s="26">
        <v>4</v>
      </c>
      <c r="B59" s="26">
        <v>13</v>
      </c>
      <c r="C59" s="26">
        <v>0.27392300000000003</v>
      </c>
      <c r="D59" s="26">
        <v>951934</v>
      </c>
      <c r="E59" s="26">
        <v>0.57204699999999997</v>
      </c>
      <c r="F59" s="26">
        <v>1193680</v>
      </c>
    </row>
    <row r="60" spans="1:6" x14ac:dyDescent="0.3">
      <c r="A60" s="26">
        <v>4</v>
      </c>
      <c r="B60" s="26">
        <v>14</v>
      </c>
      <c r="C60" s="26">
        <v>0.37113099999999999</v>
      </c>
      <c r="D60" s="26">
        <v>881323</v>
      </c>
      <c r="E60" s="26">
        <v>0.59457000000000004</v>
      </c>
      <c r="F60" s="26">
        <v>1303390</v>
      </c>
    </row>
    <row r="61" spans="1:6" x14ac:dyDescent="0.3">
      <c r="A61" s="26">
        <v>4</v>
      </c>
      <c r="B61" s="26">
        <v>15</v>
      </c>
      <c r="C61" s="26">
        <v>0.42141099999999998</v>
      </c>
      <c r="D61" s="26">
        <v>831374</v>
      </c>
      <c r="E61" s="26">
        <v>0.58552499999999996</v>
      </c>
      <c r="F61" s="26">
        <v>1436970</v>
      </c>
    </row>
    <row r="62" spans="1:6" x14ac:dyDescent="0.3">
      <c r="A62" s="26">
        <v>5</v>
      </c>
      <c r="B62" s="26">
        <v>1</v>
      </c>
      <c r="C62" s="26">
        <v>5.1027999999999997E-2</v>
      </c>
      <c r="D62" s="26">
        <v>118222</v>
      </c>
      <c r="E62" s="26">
        <v>0.44287500000000002</v>
      </c>
      <c r="F62" s="26">
        <v>91361</v>
      </c>
    </row>
    <row r="63" spans="1:6" x14ac:dyDescent="0.3">
      <c r="A63" s="26">
        <v>5</v>
      </c>
      <c r="B63" s="26">
        <v>2</v>
      </c>
      <c r="C63" s="26">
        <v>5.2645999999999998E-2</v>
      </c>
      <c r="D63" s="26">
        <v>116223</v>
      </c>
      <c r="E63" s="26">
        <v>0.46247300000000002</v>
      </c>
      <c r="F63" s="26">
        <v>95428</v>
      </c>
    </row>
    <row r="64" spans="1:6" x14ac:dyDescent="0.3">
      <c r="A64" s="26">
        <v>5</v>
      </c>
      <c r="B64" s="26">
        <v>3</v>
      </c>
      <c r="C64" s="26">
        <v>5.6348000000000002E-2</v>
      </c>
      <c r="D64" s="26">
        <v>115853</v>
      </c>
      <c r="E64" s="26">
        <v>0.51911799999999997</v>
      </c>
      <c r="F64" s="26">
        <v>98187</v>
      </c>
    </row>
    <row r="65" spans="1:6" x14ac:dyDescent="0.3">
      <c r="A65" s="26">
        <v>5</v>
      </c>
      <c r="B65" s="26">
        <v>4</v>
      </c>
      <c r="C65" s="26">
        <v>6.6952999999999999E-2</v>
      </c>
      <c r="D65" s="26">
        <v>129372</v>
      </c>
      <c r="E65" s="26">
        <v>0.529331</v>
      </c>
      <c r="F65" s="26">
        <v>115967</v>
      </c>
    </row>
    <row r="66" spans="1:6" x14ac:dyDescent="0.3">
      <c r="A66" s="26">
        <v>5</v>
      </c>
      <c r="B66" s="26">
        <v>5</v>
      </c>
      <c r="C66" s="26">
        <v>7.0307999999999995E-2</v>
      </c>
      <c r="D66" s="26">
        <v>243266</v>
      </c>
      <c r="E66" s="26">
        <v>0.55779699999999999</v>
      </c>
      <c r="F66" s="26">
        <v>138382</v>
      </c>
    </row>
    <row r="67" spans="1:6" x14ac:dyDescent="0.3">
      <c r="A67" s="26">
        <v>5</v>
      </c>
      <c r="B67" s="26">
        <v>6</v>
      </c>
      <c r="C67" s="26">
        <v>7.3960999999999999E-2</v>
      </c>
      <c r="D67" s="26">
        <v>277930</v>
      </c>
      <c r="E67" s="26">
        <v>0.55618100000000004</v>
      </c>
      <c r="F67" s="26">
        <v>156228</v>
      </c>
    </row>
    <row r="68" spans="1:6" x14ac:dyDescent="0.3">
      <c r="A68" s="26">
        <v>5</v>
      </c>
      <c r="B68" s="26">
        <v>7</v>
      </c>
      <c r="C68" s="26">
        <v>8.4945999999999994E-2</v>
      </c>
      <c r="D68" s="26">
        <v>317273</v>
      </c>
      <c r="E68" s="26">
        <v>0.56932700000000003</v>
      </c>
      <c r="F68" s="26">
        <v>183169</v>
      </c>
    </row>
    <row r="69" spans="1:6" x14ac:dyDescent="0.3">
      <c r="A69" s="26">
        <v>5</v>
      </c>
      <c r="B69" s="26">
        <v>8</v>
      </c>
      <c r="C69" s="26">
        <v>9.5474000000000003E-2</v>
      </c>
      <c r="D69" s="26">
        <v>358794</v>
      </c>
      <c r="E69" s="26">
        <v>0.58346500000000001</v>
      </c>
      <c r="F69" s="26">
        <v>210212</v>
      </c>
    </row>
    <row r="70" spans="1:6" x14ac:dyDescent="0.3">
      <c r="A70" s="26">
        <v>5</v>
      </c>
      <c r="B70" s="26">
        <v>9</v>
      </c>
      <c r="C70" s="26">
        <v>0.119814</v>
      </c>
      <c r="D70" s="26">
        <v>397667</v>
      </c>
      <c r="E70" s="26">
        <v>0.63181799999999999</v>
      </c>
      <c r="F70" s="26">
        <v>274024</v>
      </c>
    </row>
    <row r="71" spans="1:6" x14ac:dyDescent="0.3">
      <c r="A71" s="26">
        <v>5</v>
      </c>
      <c r="B71" s="26">
        <v>10</v>
      </c>
      <c r="C71" s="26">
        <v>0.15004600000000001</v>
      </c>
      <c r="D71" s="26">
        <v>566672</v>
      </c>
      <c r="E71" s="26">
        <v>0.60472300000000001</v>
      </c>
      <c r="F71" s="26">
        <v>356915</v>
      </c>
    </row>
    <row r="72" spans="1:6" x14ac:dyDescent="0.3">
      <c r="A72" s="26">
        <v>5</v>
      </c>
      <c r="B72" s="26">
        <v>11</v>
      </c>
      <c r="C72" s="26">
        <v>0.144014</v>
      </c>
      <c r="D72" s="26">
        <v>848393</v>
      </c>
      <c r="E72" s="26">
        <v>0.58792100000000003</v>
      </c>
      <c r="F72" s="26">
        <v>432344</v>
      </c>
    </row>
    <row r="73" spans="1:6" x14ac:dyDescent="0.3">
      <c r="A73" s="26">
        <v>5</v>
      </c>
      <c r="B73" s="26">
        <v>12</v>
      </c>
      <c r="C73" s="26">
        <v>0.16930000000000001</v>
      </c>
      <c r="D73" s="26">
        <v>1005740</v>
      </c>
      <c r="E73" s="26">
        <v>0.61615900000000001</v>
      </c>
      <c r="F73" s="26">
        <v>524294</v>
      </c>
    </row>
    <row r="74" spans="1:6" x14ac:dyDescent="0.3">
      <c r="A74" s="26">
        <v>5</v>
      </c>
      <c r="B74" s="26">
        <v>13</v>
      </c>
      <c r="C74" s="26">
        <v>0.172761</v>
      </c>
      <c r="D74" s="26">
        <v>958231</v>
      </c>
      <c r="E74" s="26">
        <v>0.60586799999999996</v>
      </c>
      <c r="F74" s="26">
        <v>530924</v>
      </c>
    </row>
    <row r="75" spans="1:6" x14ac:dyDescent="0.3">
      <c r="A75" s="26">
        <v>5</v>
      </c>
      <c r="B75" s="26">
        <v>14</v>
      </c>
      <c r="C75" s="26">
        <v>0.18667</v>
      </c>
      <c r="D75" s="26">
        <v>872924</v>
      </c>
      <c r="E75" s="26">
        <v>0.59468799999999999</v>
      </c>
      <c r="F75" s="26">
        <v>581447</v>
      </c>
    </row>
    <row r="76" spans="1:6" x14ac:dyDescent="0.3">
      <c r="A76" s="26">
        <v>5</v>
      </c>
      <c r="B76" s="26">
        <v>15</v>
      </c>
      <c r="C76" s="26">
        <v>0.213279</v>
      </c>
      <c r="D76" s="26">
        <v>844622</v>
      </c>
      <c r="E76" s="26">
        <v>0.63554500000000003</v>
      </c>
      <c r="F76" s="26">
        <v>610257</v>
      </c>
    </row>
    <row r="77" spans="1:6" x14ac:dyDescent="0.3">
      <c r="A77" s="26">
        <v>6</v>
      </c>
      <c r="B77" s="26">
        <v>1</v>
      </c>
      <c r="C77" s="26">
        <v>3.7682E-2</v>
      </c>
      <c r="D77" s="26">
        <v>117112</v>
      </c>
      <c r="E77" s="26">
        <v>0.44853900000000002</v>
      </c>
      <c r="F77" s="26">
        <v>68978</v>
      </c>
    </row>
    <row r="78" spans="1:6" x14ac:dyDescent="0.3">
      <c r="A78" s="26">
        <v>6</v>
      </c>
      <c r="B78" s="26">
        <v>2</v>
      </c>
      <c r="C78" s="26">
        <v>3.9784E-2</v>
      </c>
      <c r="D78" s="26">
        <v>119420</v>
      </c>
      <c r="E78" s="26">
        <v>0.47588900000000001</v>
      </c>
      <c r="F78" s="26">
        <v>74904</v>
      </c>
    </row>
    <row r="79" spans="1:6" x14ac:dyDescent="0.3">
      <c r="A79" s="26">
        <v>6</v>
      </c>
      <c r="B79" s="26">
        <v>3</v>
      </c>
      <c r="C79" s="26">
        <v>4.4331000000000002E-2</v>
      </c>
      <c r="D79" s="26">
        <v>116087</v>
      </c>
      <c r="E79" s="26">
        <v>0.50056199999999995</v>
      </c>
      <c r="F79" s="26">
        <v>83829</v>
      </c>
    </row>
    <row r="80" spans="1:6" x14ac:dyDescent="0.3">
      <c r="A80" s="26">
        <v>6</v>
      </c>
      <c r="B80" s="26">
        <v>4</v>
      </c>
      <c r="C80" s="26">
        <v>5.0244999999999998E-2</v>
      </c>
      <c r="D80" s="26">
        <v>122997</v>
      </c>
      <c r="E80" s="26">
        <v>0.50034400000000001</v>
      </c>
      <c r="F80" s="26">
        <v>98148</v>
      </c>
    </row>
    <row r="81" spans="1:6" x14ac:dyDescent="0.3">
      <c r="A81" s="26">
        <v>6</v>
      </c>
      <c r="B81" s="26">
        <v>5</v>
      </c>
      <c r="C81" s="26">
        <v>5.5045999999999998E-2</v>
      </c>
      <c r="D81" s="26">
        <v>194309</v>
      </c>
      <c r="E81" s="26">
        <v>0.52889699999999995</v>
      </c>
      <c r="F81" s="26">
        <v>118449</v>
      </c>
    </row>
    <row r="82" spans="1:6" x14ac:dyDescent="0.3">
      <c r="A82" s="26">
        <v>6</v>
      </c>
      <c r="B82" s="26">
        <v>6</v>
      </c>
      <c r="C82" s="26">
        <v>5.2462000000000002E-2</v>
      </c>
      <c r="D82" s="26">
        <v>307923</v>
      </c>
      <c r="E82" s="26">
        <v>0.495361</v>
      </c>
      <c r="F82" s="26">
        <v>133161</v>
      </c>
    </row>
    <row r="83" spans="1:6" x14ac:dyDescent="0.3">
      <c r="A83" s="26">
        <v>6</v>
      </c>
      <c r="B83" s="26">
        <v>7</v>
      </c>
      <c r="C83" s="26">
        <v>5.6977E-2</v>
      </c>
      <c r="D83" s="26">
        <v>323595</v>
      </c>
      <c r="E83" s="26">
        <v>0.51034199999999996</v>
      </c>
      <c r="F83" s="26">
        <v>145062</v>
      </c>
    </row>
    <row r="84" spans="1:6" x14ac:dyDescent="0.3">
      <c r="A84" s="26">
        <v>6</v>
      </c>
      <c r="B84" s="26">
        <v>8</v>
      </c>
      <c r="C84" s="26">
        <v>6.1490000000000003E-2</v>
      </c>
      <c r="D84" s="26">
        <v>363081</v>
      </c>
      <c r="E84" s="26">
        <v>0.51829599999999998</v>
      </c>
      <c r="F84" s="26">
        <v>170711</v>
      </c>
    </row>
    <row r="85" spans="1:6" x14ac:dyDescent="0.3">
      <c r="A85" s="26">
        <v>6</v>
      </c>
      <c r="B85" s="26">
        <v>9</v>
      </c>
      <c r="C85" s="26">
        <v>6.9027000000000005E-2</v>
      </c>
      <c r="D85" s="26">
        <v>386422</v>
      </c>
      <c r="E85" s="26">
        <v>0.54672299999999996</v>
      </c>
      <c r="F85" s="26">
        <v>199775</v>
      </c>
    </row>
    <row r="86" spans="1:6" x14ac:dyDescent="0.3">
      <c r="A86" s="26">
        <v>6</v>
      </c>
      <c r="B86" s="26">
        <v>10</v>
      </c>
      <c r="C86" s="26">
        <v>9.2748999999999998E-2</v>
      </c>
      <c r="D86" s="26">
        <v>564867</v>
      </c>
      <c r="E86" s="26">
        <v>0.55427599999999999</v>
      </c>
      <c r="F86" s="26">
        <v>276797</v>
      </c>
    </row>
    <row r="87" spans="1:6" x14ac:dyDescent="0.3">
      <c r="A87" s="26">
        <v>6</v>
      </c>
      <c r="B87" s="26">
        <v>11</v>
      </c>
      <c r="C87" s="26">
        <v>0.11264</v>
      </c>
      <c r="D87" s="26">
        <v>874818</v>
      </c>
      <c r="E87" s="26">
        <v>0.51776599999999995</v>
      </c>
      <c r="F87" s="26">
        <v>381478</v>
      </c>
    </row>
    <row r="88" spans="1:6" x14ac:dyDescent="0.3">
      <c r="A88" s="26">
        <v>6</v>
      </c>
      <c r="B88" s="26">
        <v>12</v>
      </c>
      <c r="C88" s="26">
        <v>0.15415400000000001</v>
      </c>
      <c r="D88" s="26">
        <v>1013170</v>
      </c>
      <c r="E88" s="26">
        <v>0.58004900000000004</v>
      </c>
      <c r="F88" s="26">
        <v>506969</v>
      </c>
    </row>
    <row r="89" spans="1:6" x14ac:dyDescent="0.3">
      <c r="A89" s="26">
        <v>6</v>
      </c>
      <c r="B89" s="26">
        <v>13</v>
      </c>
      <c r="C89" s="26">
        <v>0.18646099999999999</v>
      </c>
      <c r="D89" s="26">
        <v>930477</v>
      </c>
      <c r="E89" s="26">
        <v>0.55602399999999996</v>
      </c>
      <c r="F89" s="26">
        <v>633388</v>
      </c>
    </row>
    <row r="90" spans="1:6" x14ac:dyDescent="0.3">
      <c r="A90" s="26">
        <v>6</v>
      </c>
      <c r="B90" s="26">
        <v>14</v>
      </c>
      <c r="C90" s="26">
        <v>0.24684700000000001</v>
      </c>
      <c r="D90" s="26">
        <v>851676</v>
      </c>
      <c r="E90" s="26">
        <v>0.53779100000000002</v>
      </c>
      <c r="F90" s="26">
        <v>804388</v>
      </c>
    </row>
    <row r="91" spans="1:6" x14ac:dyDescent="0.3">
      <c r="A91" s="26">
        <v>6</v>
      </c>
      <c r="B91" s="26">
        <v>15</v>
      </c>
      <c r="C91" s="26">
        <v>0.30401299999999998</v>
      </c>
      <c r="D91" s="26">
        <v>819476</v>
      </c>
      <c r="E91" s="26">
        <v>0.52577499999999999</v>
      </c>
      <c r="F91" s="26">
        <v>1009500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3B69-A0E9-4122-B578-B58F59B83B5D}">
  <sheetPr>
    <tabColor theme="6" tint="0.39997558519241921"/>
  </sheetPr>
  <dimension ref="A2:Z95"/>
  <sheetViews>
    <sheetView tabSelected="1" topLeftCell="D7" zoomScale="110" zoomScaleNormal="110" workbookViewId="0">
      <selection activeCell="M10" sqref="M10"/>
    </sheetView>
  </sheetViews>
  <sheetFormatPr defaultRowHeight="14.4" x14ac:dyDescent="0.3"/>
  <cols>
    <col min="1" max="1" width="6.77734375" bestFit="1" customWidth="1"/>
    <col min="2" max="2" width="5" bestFit="1" customWidth="1"/>
    <col min="3" max="3" width="7.44140625" bestFit="1" customWidth="1"/>
    <col min="4" max="4" width="11" bestFit="1" customWidth="1"/>
    <col min="5" max="5" width="11.109375" bestFit="1" customWidth="1"/>
    <col min="6" max="6" width="15.77734375" bestFit="1" customWidth="1"/>
    <col min="8" max="8" width="14.6640625" bestFit="1" customWidth="1"/>
    <col min="9" max="11" width="12" bestFit="1" customWidth="1"/>
    <col min="12" max="12" width="15" bestFit="1" customWidth="1"/>
    <col min="14" max="14" width="12.5546875" bestFit="1" customWidth="1"/>
    <col min="15" max="15" width="15.5546875" bestFit="1" customWidth="1"/>
    <col min="16" max="16" width="15.88671875" bestFit="1" customWidth="1"/>
    <col min="17" max="17" width="13.5546875" bestFit="1" customWidth="1"/>
    <col min="18" max="18" width="15.88671875" bestFit="1" customWidth="1"/>
    <col min="19" max="19" width="13.5546875" bestFit="1" customWidth="1"/>
    <col min="20" max="20" width="15.88671875" bestFit="1" customWidth="1"/>
    <col min="21" max="21" width="13.5546875" bestFit="1" customWidth="1"/>
    <col min="22" max="22" width="15.88671875" bestFit="1" customWidth="1"/>
    <col min="23" max="23" width="13.5546875" bestFit="1" customWidth="1"/>
    <col min="24" max="24" width="15.88671875" bestFit="1" customWidth="1"/>
    <col min="25" max="25" width="13.5546875" bestFit="1" customWidth="1"/>
    <col min="26" max="26" width="15.88671875" bestFit="1" customWidth="1"/>
    <col min="27" max="27" width="12.21875" bestFit="1" customWidth="1"/>
    <col min="28" max="28" width="21" bestFit="1" customWidth="1"/>
    <col min="29" max="29" width="23.21875" bestFit="1" customWidth="1"/>
    <col min="30" max="30" width="13.44140625" bestFit="1" customWidth="1"/>
    <col min="31" max="31" width="12.6640625" bestFit="1" customWidth="1"/>
    <col min="32" max="32" width="12" bestFit="1" customWidth="1"/>
    <col min="33" max="36" width="12.6640625" bestFit="1" customWidth="1"/>
  </cols>
  <sheetData>
    <row r="2" spans="1:26" ht="20.399999999999999" x14ac:dyDescent="0.35">
      <c r="C2" s="69" t="s">
        <v>99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26" ht="20.399999999999999" x14ac:dyDescent="0.35"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26" ht="15" thickBot="1" x14ac:dyDescent="0.35"/>
    <row r="5" spans="1:26" ht="18" x14ac:dyDescent="0.35">
      <c r="A5" s="20" t="s">
        <v>0</v>
      </c>
      <c r="B5" s="20" t="s">
        <v>1</v>
      </c>
      <c r="C5" s="20" t="s">
        <v>2</v>
      </c>
      <c r="D5" s="20" t="s">
        <v>3</v>
      </c>
      <c r="E5" s="20" t="s">
        <v>4</v>
      </c>
      <c r="F5" s="20" t="s">
        <v>5</v>
      </c>
      <c r="H5" s="66" t="s">
        <v>35</v>
      </c>
      <c r="I5" s="67"/>
      <c r="J5" s="67"/>
      <c r="K5" s="67"/>
      <c r="L5" s="68"/>
    </row>
    <row r="6" spans="1:26" x14ac:dyDescent="0.3">
      <c r="A6">
        <v>1</v>
      </c>
      <c r="B6">
        <v>1</v>
      </c>
      <c r="C6" s="2">
        <v>0.95275699999999997</v>
      </c>
      <c r="D6" s="1">
        <v>106650</v>
      </c>
      <c r="E6" s="4">
        <v>0.53448700000000005</v>
      </c>
      <c r="F6" s="1">
        <v>1140640</v>
      </c>
      <c r="H6" s="11"/>
      <c r="I6" s="10" t="s">
        <v>2</v>
      </c>
      <c r="J6" s="10" t="s">
        <v>3</v>
      </c>
      <c r="K6" s="10" t="s">
        <v>4</v>
      </c>
      <c r="L6" s="12" t="s">
        <v>5</v>
      </c>
      <c r="O6" s="8" t="s">
        <v>32</v>
      </c>
    </row>
    <row r="7" spans="1:26" x14ac:dyDescent="0.3">
      <c r="A7">
        <v>1</v>
      </c>
      <c r="B7">
        <v>2</v>
      </c>
      <c r="C7" s="2">
        <v>0.986757</v>
      </c>
      <c r="D7" s="1">
        <v>110307</v>
      </c>
      <c r="E7" s="4">
        <v>0.53232800000000002</v>
      </c>
      <c r="F7" s="1">
        <v>1215690</v>
      </c>
      <c r="H7" s="13" t="s">
        <v>2</v>
      </c>
      <c r="I7">
        <v>1</v>
      </c>
      <c r="L7" s="14"/>
      <c r="O7">
        <v>1</v>
      </c>
      <c r="Q7">
        <v>2</v>
      </c>
      <c r="S7">
        <v>3</v>
      </c>
      <c r="U7">
        <v>4</v>
      </c>
      <c r="W7">
        <v>5</v>
      </c>
      <c r="Y7">
        <v>6</v>
      </c>
    </row>
    <row r="8" spans="1:26" x14ac:dyDescent="0.3">
      <c r="A8">
        <v>1</v>
      </c>
      <c r="B8">
        <v>3</v>
      </c>
      <c r="C8" s="2">
        <v>1.09198</v>
      </c>
      <c r="D8" s="1">
        <v>110574</v>
      </c>
      <c r="E8" s="4">
        <v>0.547736</v>
      </c>
      <c r="F8" s="1">
        <v>1309570</v>
      </c>
      <c r="H8" s="13" t="s">
        <v>3</v>
      </c>
      <c r="I8">
        <v>0.22761247976066334</v>
      </c>
      <c r="J8">
        <v>1</v>
      </c>
      <c r="L8" s="14"/>
      <c r="N8" s="8" t="s">
        <v>176</v>
      </c>
      <c r="O8" t="s">
        <v>175</v>
      </c>
      <c r="P8" t="s">
        <v>36</v>
      </c>
      <c r="Q8" t="s">
        <v>175</v>
      </c>
      <c r="R8" t="s">
        <v>36</v>
      </c>
      <c r="S8" t="s">
        <v>175</v>
      </c>
      <c r="T8" t="s">
        <v>36</v>
      </c>
      <c r="U8" t="s">
        <v>175</v>
      </c>
      <c r="V8" t="s">
        <v>36</v>
      </c>
      <c r="W8" t="s">
        <v>175</v>
      </c>
      <c r="X8" t="s">
        <v>36</v>
      </c>
      <c r="Y8" t="s">
        <v>175</v>
      </c>
      <c r="Z8" t="s">
        <v>36</v>
      </c>
    </row>
    <row r="9" spans="1:26" x14ac:dyDescent="0.3">
      <c r="A9">
        <v>1</v>
      </c>
      <c r="B9">
        <v>4</v>
      </c>
      <c r="C9" s="2">
        <v>1.17578</v>
      </c>
      <c r="D9" s="1">
        <v>121974</v>
      </c>
      <c r="E9" s="4">
        <v>0.54084600000000005</v>
      </c>
      <c r="F9" s="1">
        <v>1511530</v>
      </c>
      <c r="H9" s="13" t="s">
        <v>4</v>
      </c>
      <c r="I9">
        <v>0.42481001489346049</v>
      </c>
      <c r="J9">
        <v>0.48670012139561775</v>
      </c>
      <c r="K9">
        <v>1</v>
      </c>
      <c r="L9" s="14"/>
      <c r="N9" s="9">
        <v>1</v>
      </c>
      <c r="O9" s="108">
        <v>0.95275699999999997</v>
      </c>
      <c r="P9" s="108">
        <v>1140640</v>
      </c>
      <c r="Q9" s="108">
        <v>0.52063499999999996</v>
      </c>
      <c r="R9" s="108">
        <v>569292</v>
      </c>
      <c r="S9" s="108">
        <v>0.26242399999999999</v>
      </c>
      <c r="T9" s="108">
        <v>286298</v>
      </c>
      <c r="U9" s="108">
        <v>8.6392999999999998E-2</v>
      </c>
      <c r="V9" s="108">
        <v>145167</v>
      </c>
      <c r="W9" s="108">
        <v>5.1027999999999997E-2</v>
      </c>
      <c r="X9" s="108">
        <v>91361</v>
      </c>
      <c r="Y9" s="108">
        <v>3.7682E-2</v>
      </c>
      <c r="Z9" s="108">
        <v>68978</v>
      </c>
    </row>
    <row r="10" spans="1:26" x14ac:dyDescent="0.3">
      <c r="A10">
        <v>1</v>
      </c>
      <c r="B10">
        <v>5</v>
      </c>
      <c r="C10" s="2">
        <v>1.1601699999999999</v>
      </c>
      <c r="D10" s="1">
        <v>196606</v>
      </c>
      <c r="E10" s="4">
        <v>0.591167</v>
      </c>
      <c r="F10" s="1">
        <v>1676730</v>
      </c>
      <c r="H10" s="15" t="s">
        <v>5</v>
      </c>
      <c r="I10" s="29">
        <v>0.92632688104344596</v>
      </c>
      <c r="J10" s="16">
        <v>0.47904373608180967</v>
      </c>
      <c r="K10" s="16">
        <v>0.41433772259655216</v>
      </c>
      <c r="L10" s="17">
        <v>1</v>
      </c>
      <c r="N10" s="9">
        <v>2</v>
      </c>
      <c r="O10" s="108">
        <v>0.986757</v>
      </c>
      <c r="P10" s="108">
        <v>1215690</v>
      </c>
      <c r="Q10" s="108">
        <v>0.53462699999999996</v>
      </c>
      <c r="R10" s="108">
        <v>640614</v>
      </c>
      <c r="S10" s="108">
        <v>0.26643299999999998</v>
      </c>
      <c r="T10" s="108">
        <v>309290</v>
      </c>
      <c r="U10" s="108">
        <v>9.6740000000000007E-2</v>
      </c>
      <c r="V10" s="108">
        <v>170192</v>
      </c>
      <c r="W10" s="108">
        <v>5.2645999999999998E-2</v>
      </c>
      <c r="X10" s="108">
        <v>95428</v>
      </c>
      <c r="Y10" s="108">
        <v>3.9784E-2</v>
      </c>
      <c r="Z10" s="108">
        <v>74904</v>
      </c>
    </row>
    <row r="11" spans="1:26" x14ac:dyDescent="0.3">
      <c r="A11">
        <v>1</v>
      </c>
      <c r="B11">
        <v>6</v>
      </c>
      <c r="C11" s="2">
        <v>1.1737599999999999</v>
      </c>
      <c r="D11" s="1">
        <v>265609</v>
      </c>
      <c r="E11" s="4">
        <v>0.57541699999999996</v>
      </c>
      <c r="F11" s="1">
        <v>1823740</v>
      </c>
      <c r="N11" s="9">
        <v>3</v>
      </c>
      <c r="O11" s="108">
        <v>1.09198</v>
      </c>
      <c r="P11" s="108">
        <v>1309570</v>
      </c>
      <c r="Q11" s="108">
        <v>0.655192</v>
      </c>
      <c r="R11" s="108">
        <v>777655</v>
      </c>
      <c r="S11" s="108">
        <v>0.30604300000000001</v>
      </c>
      <c r="T11" s="108">
        <v>342056</v>
      </c>
      <c r="U11" s="108">
        <v>0.14149999999999999</v>
      </c>
      <c r="V11" s="108">
        <v>247506</v>
      </c>
      <c r="W11" s="108">
        <v>5.6348000000000002E-2</v>
      </c>
      <c r="X11" s="108">
        <v>98187</v>
      </c>
      <c r="Y11" s="108">
        <v>4.4331000000000002E-2</v>
      </c>
      <c r="Z11" s="108">
        <v>83829</v>
      </c>
    </row>
    <row r="12" spans="1:26" x14ac:dyDescent="0.3">
      <c r="A12">
        <v>1</v>
      </c>
      <c r="B12">
        <v>7</v>
      </c>
      <c r="C12" s="2">
        <v>1.29051</v>
      </c>
      <c r="D12" s="1">
        <v>263451</v>
      </c>
      <c r="E12" s="4">
        <v>0.594495</v>
      </c>
      <c r="F12" s="1">
        <v>2022890</v>
      </c>
      <c r="N12" s="9">
        <v>4</v>
      </c>
      <c r="O12" s="108">
        <v>1.17578</v>
      </c>
      <c r="P12" s="108">
        <v>1511530</v>
      </c>
      <c r="Q12" s="108">
        <v>0.79157500000000003</v>
      </c>
      <c r="R12" s="108">
        <v>999294</v>
      </c>
      <c r="S12" s="108">
        <v>0.32558599999999999</v>
      </c>
      <c r="T12" s="108">
        <v>374595</v>
      </c>
      <c r="U12" s="108">
        <v>0.169715</v>
      </c>
      <c r="V12" s="108">
        <v>309391</v>
      </c>
      <c r="W12" s="108">
        <v>6.6952999999999999E-2</v>
      </c>
      <c r="X12" s="108">
        <v>115967</v>
      </c>
      <c r="Y12" s="108">
        <v>5.0244999999999998E-2</v>
      </c>
      <c r="Z12" s="108">
        <v>98148</v>
      </c>
    </row>
    <row r="13" spans="1:26" x14ac:dyDescent="0.3">
      <c r="A13">
        <v>1</v>
      </c>
      <c r="B13">
        <v>8</v>
      </c>
      <c r="C13" s="2">
        <v>1.3906700000000001</v>
      </c>
      <c r="D13" s="1">
        <v>316411</v>
      </c>
      <c r="E13" s="4">
        <v>0.59740899999999997</v>
      </c>
      <c r="F13" s="1">
        <v>2314760</v>
      </c>
      <c r="N13" s="9">
        <v>5</v>
      </c>
      <c r="O13" s="108">
        <v>1.1601699999999999</v>
      </c>
      <c r="P13" s="108">
        <v>1676730</v>
      </c>
      <c r="Q13" s="108">
        <v>0.84294500000000006</v>
      </c>
      <c r="R13" s="108">
        <v>1203970</v>
      </c>
      <c r="S13" s="108">
        <v>0.34570600000000001</v>
      </c>
      <c r="T13" s="108">
        <v>450037</v>
      </c>
      <c r="U13" s="108">
        <v>0.17380499999999999</v>
      </c>
      <c r="V13" s="108">
        <v>354338</v>
      </c>
      <c r="W13" s="108">
        <v>7.0307999999999995E-2</v>
      </c>
      <c r="X13" s="108">
        <v>138382</v>
      </c>
      <c r="Y13" s="108">
        <v>5.5045999999999998E-2</v>
      </c>
      <c r="Z13" s="108">
        <v>118449</v>
      </c>
    </row>
    <row r="14" spans="1:26" x14ac:dyDescent="0.3">
      <c r="A14">
        <v>1</v>
      </c>
      <c r="B14">
        <v>9</v>
      </c>
      <c r="C14" s="2">
        <v>1.61273</v>
      </c>
      <c r="D14" s="1">
        <v>384110</v>
      </c>
      <c r="E14" s="4">
        <v>0.63852200000000003</v>
      </c>
      <c r="F14" s="1">
        <v>2639160</v>
      </c>
      <c r="N14" s="9">
        <v>6</v>
      </c>
      <c r="O14" s="108">
        <v>1.1737599999999999</v>
      </c>
      <c r="P14" s="108">
        <v>1823740</v>
      </c>
      <c r="Q14" s="108">
        <v>0.85289199999999998</v>
      </c>
      <c r="R14" s="108">
        <v>1358100</v>
      </c>
      <c r="S14" s="108">
        <v>0.36751699999999998</v>
      </c>
      <c r="T14" s="108">
        <v>510412</v>
      </c>
      <c r="U14" s="108">
        <v>0.164272</v>
      </c>
      <c r="V14" s="108">
        <v>373941</v>
      </c>
      <c r="W14" s="108">
        <v>7.3960999999999999E-2</v>
      </c>
      <c r="X14" s="108">
        <v>156228</v>
      </c>
      <c r="Y14" s="108">
        <v>5.2462000000000002E-2</v>
      </c>
      <c r="Z14" s="108">
        <v>133161</v>
      </c>
    </row>
    <row r="15" spans="1:26" x14ac:dyDescent="0.3">
      <c r="A15">
        <v>1</v>
      </c>
      <c r="B15">
        <v>10</v>
      </c>
      <c r="C15" s="2">
        <v>1.82544</v>
      </c>
      <c r="D15" s="1">
        <v>569251</v>
      </c>
      <c r="E15" s="4">
        <v>0.67628699999999997</v>
      </c>
      <c r="F15" s="1">
        <v>3247620</v>
      </c>
      <c r="N15" s="9">
        <v>7</v>
      </c>
      <c r="O15" s="108">
        <v>1.29051</v>
      </c>
      <c r="P15" s="108">
        <v>2022890</v>
      </c>
      <c r="Q15" s="108">
        <v>0.92284299999999997</v>
      </c>
      <c r="R15" s="108">
        <v>1501350</v>
      </c>
      <c r="S15" s="108">
        <v>0.409937</v>
      </c>
      <c r="T15" s="108">
        <v>575347</v>
      </c>
      <c r="U15" s="108">
        <v>0.170906</v>
      </c>
      <c r="V15" s="108">
        <v>420915</v>
      </c>
      <c r="W15" s="108">
        <v>8.4945999999999994E-2</v>
      </c>
      <c r="X15" s="108">
        <v>183169</v>
      </c>
      <c r="Y15" s="108">
        <v>5.6977E-2</v>
      </c>
      <c r="Z15" s="108">
        <v>145062</v>
      </c>
    </row>
    <row r="16" spans="1:26" x14ac:dyDescent="0.3">
      <c r="A16">
        <v>1</v>
      </c>
      <c r="B16">
        <v>11</v>
      </c>
      <c r="C16" s="2">
        <v>1.5460400000000001</v>
      </c>
      <c r="D16" s="1">
        <v>871636</v>
      </c>
      <c r="E16" s="4">
        <v>0.60573500000000002</v>
      </c>
      <c r="F16" s="1">
        <v>3787750</v>
      </c>
      <c r="N16" s="9">
        <v>8</v>
      </c>
      <c r="O16" s="108">
        <v>1.3906700000000001</v>
      </c>
      <c r="P16" s="108">
        <v>2314760</v>
      </c>
      <c r="Q16" s="108">
        <v>1</v>
      </c>
      <c r="R16" s="108">
        <v>1709270</v>
      </c>
      <c r="S16" s="108">
        <v>0.448023</v>
      </c>
      <c r="T16" s="108">
        <v>669331</v>
      </c>
      <c r="U16" s="108">
        <v>0.17784</v>
      </c>
      <c r="V16" s="108">
        <v>474017</v>
      </c>
      <c r="W16" s="108">
        <v>9.5474000000000003E-2</v>
      </c>
      <c r="X16" s="108">
        <v>210212</v>
      </c>
      <c r="Y16" s="108">
        <v>6.1490000000000003E-2</v>
      </c>
      <c r="Z16" s="108">
        <v>170711</v>
      </c>
    </row>
    <row r="17" spans="1:26" x14ac:dyDescent="0.3">
      <c r="A17">
        <v>1</v>
      </c>
      <c r="B17">
        <v>12</v>
      </c>
      <c r="C17" s="2">
        <v>1.5279</v>
      </c>
      <c r="D17" s="1">
        <v>997239</v>
      </c>
      <c r="E17" s="4">
        <v>0.61436000000000002</v>
      </c>
      <c r="F17" s="1">
        <v>3867750</v>
      </c>
      <c r="N17" s="9">
        <v>9</v>
      </c>
      <c r="O17" s="108">
        <v>1.61273</v>
      </c>
      <c r="P17" s="108">
        <v>2639160</v>
      </c>
      <c r="Q17" s="108">
        <v>1.19845</v>
      </c>
      <c r="R17" s="108">
        <v>2025400</v>
      </c>
      <c r="S17" s="108">
        <v>0.53959500000000005</v>
      </c>
      <c r="T17" s="108">
        <v>783799</v>
      </c>
      <c r="U17" s="108">
        <v>0.192248</v>
      </c>
      <c r="V17" s="108">
        <v>532590</v>
      </c>
      <c r="W17" s="108">
        <v>0.119814</v>
      </c>
      <c r="X17" s="108">
        <v>274024</v>
      </c>
      <c r="Y17" s="108">
        <v>6.9027000000000005E-2</v>
      </c>
      <c r="Z17" s="108">
        <v>199775</v>
      </c>
    </row>
    <row r="18" spans="1:26" x14ac:dyDescent="0.3">
      <c r="A18">
        <v>1</v>
      </c>
      <c r="B18">
        <v>13</v>
      </c>
      <c r="C18" s="2">
        <v>1.6601999999999999</v>
      </c>
      <c r="D18" s="1">
        <v>938002</v>
      </c>
      <c r="E18" s="4">
        <v>0.63336599999999998</v>
      </c>
      <c r="F18" s="1">
        <v>3996020</v>
      </c>
      <c r="N18" s="9">
        <v>10</v>
      </c>
      <c r="O18" s="108">
        <v>1.82544</v>
      </c>
      <c r="P18" s="108">
        <v>3247620</v>
      </c>
      <c r="Q18" s="108">
        <v>1.34067</v>
      </c>
      <c r="R18" s="108">
        <v>2548370</v>
      </c>
      <c r="S18" s="108">
        <v>0.53938200000000003</v>
      </c>
      <c r="T18" s="108">
        <v>913883</v>
      </c>
      <c r="U18" s="108">
        <v>0.24246899999999999</v>
      </c>
      <c r="V18" s="108">
        <v>676771</v>
      </c>
      <c r="W18" s="108">
        <v>0.15004600000000001</v>
      </c>
      <c r="X18" s="108">
        <v>356915</v>
      </c>
      <c r="Y18" s="108">
        <v>9.2748999999999998E-2</v>
      </c>
      <c r="Z18" s="108">
        <v>276797</v>
      </c>
    </row>
    <row r="19" spans="1:26" x14ac:dyDescent="0.3">
      <c r="A19">
        <v>1</v>
      </c>
      <c r="B19">
        <v>14</v>
      </c>
      <c r="C19" s="2">
        <v>1.8223100000000001</v>
      </c>
      <c r="D19" s="1">
        <v>859572</v>
      </c>
      <c r="E19" s="4">
        <v>0.65011699999999994</v>
      </c>
      <c r="F19" s="1">
        <v>4282880</v>
      </c>
      <c r="N19" s="9">
        <v>11</v>
      </c>
      <c r="O19" s="108">
        <v>1.5460400000000001</v>
      </c>
      <c r="P19" s="108">
        <v>3787750</v>
      </c>
      <c r="Q19" s="108">
        <v>1.3262400000000001</v>
      </c>
      <c r="R19" s="108">
        <v>3137740</v>
      </c>
      <c r="S19" s="108">
        <v>0.46796700000000002</v>
      </c>
      <c r="T19" s="108">
        <v>1041520</v>
      </c>
      <c r="U19" s="108">
        <v>0.25650499999999998</v>
      </c>
      <c r="V19" s="108">
        <v>880438</v>
      </c>
      <c r="W19" s="108">
        <v>0.144014</v>
      </c>
      <c r="X19" s="108">
        <v>432344</v>
      </c>
      <c r="Y19" s="108">
        <v>0.11264</v>
      </c>
      <c r="Z19" s="108">
        <v>381478</v>
      </c>
    </row>
    <row r="20" spans="1:26" x14ac:dyDescent="0.3">
      <c r="A20">
        <v>1</v>
      </c>
      <c r="B20">
        <v>15</v>
      </c>
      <c r="C20" s="2">
        <v>1.9364600000000001</v>
      </c>
      <c r="D20" s="1">
        <v>823411</v>
      </c>
      <c r="E20" s="4">
        <v>0.62560300000000002</v>
      </c>
      <c r="F20" s="1">
        <v>4748320</v>
      </c>
      <c r="N20" s="9">
        <v>12</v>
      </c>
      <c r="O20" s="108">
        <v>1.5279</v>
      </c>
      <c r="P20" s="108">
        <v>3867750</v>
      </c>
      <c r="Q20" s="108">
        <v>1.2485200000000001</v>
      </c>
      <c r="R20" s="108">
        <v>3557700</v>
      </c>
      <c r="S20" s="108">
        <v>0.450544</v>
      </c>
      <c r="T20" s="108">
        <v>1125800</v>
      </c>
      <c r="U20" s="108">
        <v>0.24965699999999999</v>
      </c>
      <c r="V20" s="108">
        <v>1052020</v>
      </c>
      <c r="W20" s="108">
        <v>0.16930000000000001</v>
      </c>
      <c r="X20" s="108">
        <v>524294</v>
      </c>
      <c r="Y20" s="108">
        <v>0.15415400000000001</v>
      </c>
      <c r="Z20" s="108">
        <v>506969</v>
      </c>
    </row>
    <row r="21" spans="1:26" x14ac:dyDescent="0.3">
      <c r="A21">
        <v>2</v>
      </c>
      <c r="B21">
        <v>1</v>
      </c>
      <c r="C21" s="2">
        <v>0.52063499999999996</v>
      </c>
      <c r="D21" s="1">
        <v>103795</v>
      </c>
      <c r="E21" s="4">
        <v>0.49085099999999998</v>
      </c>
      <c r="F21" s="1">
        <v>569292</v>
      </c>
      <c r="N21" s="9">
        <v>13</v>
      </c>
      <c r="O21" s="108">
        <v>1.6601999999999999</v>
      </c>
      <c r="P21" s="108">
        <v>3996020</v>
      </c>
      <c r="Q21" s="108">
        <v>1.2543200000000001</v>
      </c>
      <c r="R21" s="108">
        <v>3717740</v>
      </c>
      <c r="S21" s="108">
        <v>0.46879300000000002</v>
      </c>
      <c r="T21" s="108">
        <v>1096070</v>
      </c>
      <c r="U21" s="108">
        <v>0.27392300000000003</v>
      </c>
      <c r="V21" s="108">
        <v>1193680</v>
      </c>
      <c r="W21" s="108">
        <v>0.172761</v>
      </c>
      <c r="X21" s="108">
        <v>530924</v>
      </c>
      <c r="Y21" s="108">
        <v>0.18646099999999999</v>
      </c>
      <c r="Z21" s="108">
        <v>633388</v>
      </c>
    </row>
    <row r="22" spans="1:26" x14ac:dyDescent="0.3">
      <c r="A22">
        <v>2</v>
      </c>
      <c r="B22">
        <v>2</v>
      </c>
      <c r="C22" s="2">
        <v>0.53462699999999996</v>
      </c>
      <c r="D22" s="1">
        <v>111477</v>
      </c>
      <c r="E22" s="4">
        <v>0.47344900000000001</v>
      </c>
      <c r="F22" s="1">
        <v>640614</v>
      </c>
      <c r="N22" s="9">
        <v>14</v>
      </c>
      <c r="O22" s="108">
        <v>1.8223100000000001</v>
      </c>
      <c r="P22" s="108">
        <v>4282880</v>
      </c>
      <c r="Q22" s="108">
        <v>1.3717699999999999</v>
      </c>
      <c r="R22" s="108">
        <v>3962370</v>
      </c>
      <c r="S22" s="108">
        <v>0.49439699999999998</v>
      </c>
      <c r="T22" s="108">
        <v>1198930</v>
      </c>
      <c r="U22" s="108">
        <v>0.37113099999999999</v>
      </c>
      <c r="V22" s="108">
        <v>1303390</v>
      </c>
      <c r="W22" s="108">
        <v>0.18667</v>
      </c>
      <c r="X22" s="108">
        <v>581447</v>
      </c>
      <c r="Y22" s="108">
        <v>0.24684700000000001</v>
      </c>
      <c r="Z22" s="108">
        <v>804388</v>
      </c>
    </row>
    <row r="23" spans="1:26" x14ac:dyDescent="0.3">
      <c r="A23">
        <v>2</v>
      </c>
      <c r="B23">
        <v>3</v>
      </c>
      <c r="C23" s="2">
        <v>0.655192</v>
      </c>
      <c r="D23" s="1">
        <v>118664</v>
      </c>
      <c r="E23" s="4">
        <v>0.50301300000000004</v>
      </c>
      <c r="F23" s="1">
        <v>777655</v>
      </c>
      <c r="N23" s="9">
        <v>15</v>
      </c>
      <c r="O23" s="108">
        <v>1.9364600000000001</v>
      </c>
      <c r="P23" s="108">
        <v>4748320</v>
      </c>
      <c r="Q23" s="108">
        <v>1.38974</v>
      </c>
      <c r="R23" s="108">
        <v>4209390</v>
      </c>
      <c r="S23" s="108">
        <v>0.49331700000000001</v>
      </c>
      <c r="T23" s="108">
        <v>1170470</v>
      </c>
      <c r="U23" s="108">
        <v>0.42141099999999998</v>
      </c>
      <c r="V23" s="108">
        <v>1436970</v>
      </c>
      <c r="W23" s="108">
        <v>0.213279</v>
      </c>
      <c r="X23" s="108">
        <v>610257</v>
      </c>
      <c r="Y23" s="108">
        <v>0.30401299999999998</v>
      </c>
      <c r="Z23" s="108">
        <v>1009500</v>
      </c>
    </row>
    <row r="24" spans="1:26" x14ac:dyDescent="0.3">
      <c r="A24">
        <v>2</v>
      </c>
      <c r="B24">
        <v>4</v>
      </c>
      <c r="C24" s="2">
        <v>0.79157500000000003</v>
      </c>
      <c r="D24" s="1">
        <v>114797</v>
      </c>
      <c r="E24" s="4">
        <v>0.51250099999999998</v>
      </c>
      <c r="F24" s="1">
        <v>999294</v>
      </c>
    </row>
    <row r="25" spans="1:26" x14ac:dyDescent="0.3">
      <c r="A25">
        <v>2</v>
      </c>
      <c r="B25">
        <v>5</v>
      </c>
      <c r="C25" s="2">
        <v>0.84294500000000006</v>
      </c>
      <c r="D25" s="1">
        <v>215322</v>
      </c>
      <c r="E25" s="4">
        <v>0.56678200000000001</v>
      </c>
      <c r="F25" s="1">
        <v>1203970</v>
      </c>
    </row>
    <row r="26" spans="1:26" x14ac:dyDescent="0.3">
      <c r="A26">
        <v>2</v>
      </c>
      <c r="B26">
        <v>6</v>
      </c>
      <c r="C26" s="2">
        <v>0.85289199999999998</v>
      </c>
      <c r="D26" s="1">
        <v>281704</v>
      </c>
      <c r="E26" s="4">
        <v>0.55813299999999999</v>
      </c>
      <c r="F26" s="1">
        <v>1358100</v>
      </c>
    </row>
    <row r="27" spans="1:26" x14ac:dyDescent="0.3">
      <c r="A27">
        <v>2</v>
      </c>
      <c r="B27">
        <v>7</v>
      </c>
      <c r="C27" s="2">
        <v>0.92284299999999997</v>
      </c>
      <c r="D27" s="1">
        <v>304818</v>
      </c>
      <c r="E27" s="4">
        <v>0.55879900000000005</v>
      </c>
      <c r="F27" s="1">
        <v>1501350</v>
      </c>
    </row>
    <row r="28" spans="1:26" x14ac:dyDescent="0.3">
      <c r="A28">
        <v>2</v>
      </c>
      <c r="B28">
        <v>8</v>
      </c>
      <c r="C28" s="2">
        <v>1</v>
      </c>
      <c r="D28" s="1">
        <v>348609</v>
      </c>
      <c r="E28" s="4">
        <v>0.57206999999999997</v>
      </c>
      <c r="F28" s="1">
        <v>1709270</v>
      </c>
    </row>
    <row r="29" spans="1:26" x14ac:dyDescent="0.3">
      <c r="A29">
        <v>2</v>
      </c>
      <c r="B29">
        <v>9</v>
      </c>
      <c r="C29" s="2">
        <v>1.19845</v>
      </c>
      <c r="D29" s="1">
        <v>374579</v>
      </c>
      <c r="E29" s="4">
        <v>0.62476299999999996</v>
      </c>
      <c r="F29" s="1">
        <v>2025400</v>
      </c>
    </row>
    <row r="30" spans="1:26" x14ac:dyDescent="0.3">
      <c r="A30">
        <v>2</v>
      </c>
      <c r="B30">
        <v>10</v>
      </c>
      <c r="C30" s="2">
        <v>1.34067</v>
      </c>
      <c r="D30" s="1">
        <v>544109</v>
      </c>
      <c r="E30" s="4">
        <v>0.62870599999999999</v>
      </c>
      <c r="F30" s="1">
        <v>2548370</v>
      </c>
    </row>
    <row r="31" spans="1:26" x14ac:dyDescent="0.3">
      <c r="A31">
        <v>2</v>
      </c>
      <c r="B31">
        <v>11</v>
      </c>
      <c r="C31" s="2">
        <v>1.3262400000000001</v>
      </c>
      <c r="D31" s="1">
        <v>853356</v>
      </c>
      <c r="E31" s="4">
        <v>0.58914999999999995</v>
      </c>
      <c r="F31" s="1">
        <v>3137740</v>
      </c>
    </row>
    <row r="32" spans="1:26" x14ac:dyDescent="0.3">
      <c r="A32">
        <v>2</v>
      </c>
      <c r="B32">
        <v>12</v>
      </c>
      <c r="C32" s="2">
        <v>1.2485200000000001</v>
      </c>
      <c r="D32" s="1">
        <v>1003200</v>
      </c>
      <c r="E32" s="4">
        <v>0.53261199999999997</v>
      </c>
      <c r="F32" s="1">
        <v>3557700</v>
      </c>
    </row>
    <row r="33" spans="1:6" x14ac:dyDescent="0.3">
      <c r="A33">
        <v>2</v>
      </c>
      <c r="B33">
        <v>13</v>
      </c>
      <c r="C33" s="2">
        <v>1.2543200000000001</v>
      </c>
      <c r="D33" s="1">
        <v>941977</v>
      </c>
      <c r="E33" s="4">
        <v>0.52665200000000001</v>
      </c>
      <c r="F33" s="1">
        <v>3717740</v>
      </c>
    </row>
    <row r="34" spans="1:6" x14ac:dyDescent="0.3">
      <c r="A34">
        <v>2</v>
      </c>
      <c r="B34">
        <v>14</v>
      </c>
      <c r="C34" s="2">
        <v>1.3717699999999999</v>
      </c>
      <c r="D34" s="1">
        <v>856533</v>
      </c>
      <c r="E34" s="4">
        <v>0.54016299999999995</v>
      </c>
      <c r="F34" s="1">
        <v>3962370</v>
      </c>
    </row>
    <row r="35" spans="1:6" x14ac:dyDescent="0.3">
      <c r="A35">
        <v>2</v>
      </c>
      <c r="B35">
        <v>15</v>
      </c>
      <c r="C35" s="2">
        <v>1.38974</v>
      </c>
      <c r="D35" s="1">
        <v>821361</v>
      </c>
      <c r="E35" s="4">
        <v>0.528775</v>
      </c>
      <c r="F35" s="1">
        <v>4209390</v>
      </c>
    </row>
    <row r="36" spans="1:6" x14ac:dyDescent="0.3">
      <c r="A36">
        <v>3</v>
      </c>
      <c r="B36">
        <v>1</v>
      </c>
      <c r="C36" s="2">
        <v>0.26242399999999999</v>
      </c>
      <c r="D36" s="1">
        <v>118788</v>
      </c>
      <c r="E36" s="4">
        <v>0.52433399999999997</v>
      </c>
      <c r="F36" s="1">
        <v>286298</v>
      </c>
    </row>
    <row r="37" spans="1:6" x14ac:dyDescent="0.3">
      <c r="A37">
        <v>3</v>
      </c>
      <c r="B37">
        <v>2</v>
      </c>
      <c r="C37" s="2">
        <v>0.26643299999999998</v>
      </c>
      <c r="D37" s="1">
        <v>123798</v>
      </c>
      <c r="E37" s="4">
        <v>0.53718500000000002</v>
      </c>
      <c r="F37" s="1">
        <v>309290</v>
      </c>
    </row>
    <row r="38" spans="1:6" x14ac:dyDescent="0.3">
      <c r="A38">
        <v>3</v>
      </c>
      <c r="B38">
        <v>3</v>
      </c>
      <c r="C38" s="2">
        <v>0.30604300000000001</v>
      </c>
      <c r="D38" s="1">
        <v>122882</v>
      </c>
      <c r="E38" s="4">
        <v>0.58211900000000005</v>
      </c>
      <c r="F38" s="1">
        <v>342056</v>
      </c>
    </row>
    <row r="39" spans="1:6" x14ac:dyDescent="0.3">
      <c r="A39">
        <v>3</v>
      </c>
      <c r="B39">
        <v>4</v>
      </c>
      <c r="C39" s="2">
        <v>0.32558599999999999</v>
      </c>
      <c r="D39" s="1">
        <v>131274</v>
      </c>
      <c r="E39" s="4">
        <v>0.57948900000000003</v>
      </c>
      <c r="F39" s="1">
        <v>374595</v>
      </c>
    </row>
    <row r="40" spans="1:6" x14ac:dyDescent="0.3">
      <c r="A40">
        <v>3</v>
      </c>
      <c r="B40">
        <v>5</v>
      </c>
      <c r="C40" s="2">
        <v>0.34570600000000001</v>
      </c>
      <c r="D40" s="1">
        <v>222037</v>
      </c>
      <c r="E40" s="4">
        <v>0.60659200000000002</v>
      </c>
      <c r="F40" s="1">
        <v>450037</v>
      </c>
    </row>
    <row r="41" spans="1:6" x14ac:dyDescent="0.3">
      <c r="A41">
        <v>3</v>
      </c>
      <c r="B41">
        <v>6</v>
      </c>
      <c r="C41" s="2">
        <v>0.36751699999999998</v>
      </c>
      <c r="D41" s="1">
        <v>278721</v>
      </c>
      <c r="E41" s="4">
        <v>0.60726999999999998</v>
      </c>
      <c r="F41" s="1">
        <v>510412</v>
      </c>
    </row>
    <row r="42" spans="1:6" x14ac:dyDescent="0.3">
      <c r="A42">
        <v>3</v>
      </c>
      <c r="B42">
        <v>7</v>
      </c>
      <c r="C42" s="2">
        <v>0.409937</v>
      </c>
      <c r="D42" s="1">
        <v>306564</v>
      </c>
      <c r="E42" s="4">
        <v>0.58242499999999997</v>
      </c>
      <c r="F42" s="1">
        <v>575347</v>
      </c>
    </row>
    <row r="43" spans="1:6" x14ac:dyDescent="0.3">
      <c r="A43">
        <v>3</v>
      </c>
      <c r="B43">
        <v>8</v>
      </c>
      <c r="C43" s="2">
        <v>0.448023</v>
      </c>
      <c r="D43" s="1">
        <v>356073</v>
      </c>
      <c r="E43" s="4">
        <v>0.57397200000000004</v>
      </c>
      <c r="F43" s="1">
        <v>669331</v>
      </c>
    </row>
    <row r="44" spans="1:6" x14ac:dyDescent="0.3">
      <c r="A44">
        <v>3</v>
      </c>
      <c r="B44">
        <v>9</v>
      </c>
      <c r="C44" s="2">
        <v>0.53959500000000005</v>
      </c>
      <c r="D44" s="1">
        <v>378311</v>
      </c>
      <c r="E44" s="4">
        <v>0.65425599999999995</v>
      </c>
      <c r="F44" s="1">
        <v>783799</v>
      </c>
    </row>
    <row r="45" spans="1:6" x14ac:dyDescent="0.3">
      <c r="A45">
        <v>3</v>
      </c>
      <c r="B45">
        <v>10</v>
      </c>
      <c r="C45" s="2">
        <v>0.53938200000000003</v>
      </c>
      <c r="D45" s="1">
        <v>555267</v>
      </c>
      <c r="E45" s="4">
        <v>0.63105500000000003</v>
      </c>
      <c r="F45" s="1">
        <v>913883</v>
      </c>
    </row>
    <row r="46" spans="1:6" x14ac:dyDescent="0.3">
      <c r="A46">
        <v>3</v>
      </c>
      <c r="B46">
        <v>11</v>
      </c>
      <c r="C46" s="2">
        <v>0.46796700000000002</v>
      </c>
      <c r="D46" s="1">
        <v>850322</v>
      </c>
      <c r="E46" s="4">
        <v>0.56923999999999997</v>
      </c>
      <c r="F46" s="1">
        <v>1041520</v>
      </c>
    </row>
    <row r="47" spans="1:6" x14ac:dyDescent="0.3">
      <c r="A47">
        <v>3</v>
      </c>
      <c r="B47">
        <v>12</v>
      </c>
      <c r="C47" s="2">
        <v>0.450544</v>
      </c>
      <c r="D47" s="1">
        <v>1015610</v>
      </c>
      <c r="E47" s="4">
        <v>0.58968200000000004</v>
      </c>
      <c r="F47" s="1">
        <v>1125800</v>
      </c>
    </row>
    <row r="48" spans="1:6" x14ac:dyDescent="0.3">
      <c r="A48">
        <v>3</v>
      </c>
      <c r="B48">
        <v>13</v>
      </c>
      <c r="C48" s="2">
        <v>0.46879300000000002</v>
      </c>
      <c r="D48" s="1">
        <v>954508</v>
      </c>
      <c r="E48" s="4">
        <v>0.58795299999999995</v>
      </c>
      <c r="F48" s="1">
        <v>1096070</v>
      </c>
    </row>
    <row r="49" spans="1:6" x14ac:dyDescent="0.3">
      <c r="A49">
        <v>3</v>
      </c>
      <c r="B49">
        <v>14</v>
      </c>
      <c r="C49" s="2">
        <v>0.49439699999999998</v>
      </c>
      <c r="D49" s="1">
        <v>886999</v>
      </c>
      <c r="E49" s="4">
        <v>0.565388</v>
      </c>
      <c r="F49" s="1">
        <v>1198930</v>
      </c>
    </row>
    <row r="50" spans="1:6" x14ac:dyDescent="0.3">
      <c r="A50">
        <v>3</v>
      </c>
      <c r="B50">
        <v>15</v>
      </c>
      <c r="C50" s="2">
        <v>0.49331700000000001</v>
      </c>
      <c r="D50" s="1">
        <v>844079</v>
      </c>
      <c r="E50" s="4">
        <v>0.57707799999999998</v>
      </c>
      <c r="F50" s="1">
        <v>1170470</v>
      </c>
    </row>
    <row r="51" spans="1:6" x14ac:dyDescent="0.3">
      <c r="A51">
        <v>4</v>
      </c>
      <c r="B51">
        <v>1</v>
      </c>
      <c r="C51" s="2">
        <v>8.6392999999999998E-2</v>
      </c>
      <c r="D51" s="1">
        <v>114987</v>
      </c>
      <c r="E51" s="4">
        <v>0.43206600000000001</v>
      </c>
      <c r="F51" s="1">
        <v>145167</v>
      </c>
    </row>
    <row r="52" spans="1:6" x14ac:dyDescent="0.3">
      <c r="A52">
        <v>4</v>
      </c>
      <c r="B52">
        <v>2</v>
      </c>
      <c r="C52" s="2">
        <v>9.6740000000000007E-2</v>
      </c>
      <c r="D52" s="1">
        <v>120501</v>
      </c>
      <c r="E52" s="4">
        <v>0.43966899999999998</v>
      </c>
      <c r="F52" s="1">
        <v>170192</v>
      </c>
    </row>
    <row r="53" spans="1:6" x14ac:dyDescent="0.3">
      <c r="A53">
        <v>4</v>
      </c>
      <c r="B53">
        <v>3</v>
      </c>
      <c r="C53" s="2">
        <v>0.14149999999999999</v>
      </c>
      <c r="D53" s="1">
        <v>121908</v>
      </c>
      <c r="E53" s="4">
        <v>0.48893199999999998</v>
      </c>
      <c r="F53" s="1">
        <v>247506</v>
      </c>
    </row>
    <row r="54" spans="1:6" x14ac:dyDescent="0.3">
      <c r="A54">
        <v>4</v>
      </c>
      <c r="B54">
        <v>4</v>
      </c>
      <c r="C54" s="2">
        <v>0.169715</v>
      </c>
      <c r="D54" s="1">
        <v>127220</v>
      </c>
      <c r="E54" s="4">
        <v>0.48418099999999997</v>
      </c>
      <c r="F54" s="1">
        <v>309391</v>
      </c>
    </row>
    <row r="55" spans="1:6" x14ac:dyDescent="0.3">
      <c r="A55">
        <v>4</v>
      </c>
      <c r="B55">
        <v>5</v>
      </c>
      <c r="C55" s="2">
        <v>0.17380499999999999</v>
      </c>
      <c r="D55" s="1">
        <v>209405</v>
      </c>
      <c r="E55" s="4">
        <v>0.52992499999999998</v>
      </c>
      <c r="F55" s="1">
        <v>354338</v>
      </c>
    </row>
    <row r="56" spans="1:6" x14ac:dyDescent="0.3">
      <c r="A56">
        <v>4</v>
      </c>
      <c r="B56">
        <v>6</v>
      </c>
      <c r="C56" s="2">
        <v>0.164272</v>
      </c>
      <c r="D56" s="1">
        <v>263148</v>
      </c>
      <c r="E56" s="4">
        <v>0.53272299999999995</v>
      </c>
      <c r="F56" s="1">
        <v>373941</v>
      </c>
    </row>
    <row r="57" spans="1:6" x14ac:dyDescent="0.3">
      <c r="A57">
        <v>4</v>
      </c>
      <c r="B57">
        <v>7</v>
      </c>
      <c r="C57" s="2">
        <v>0.170906</v>
      </c>
      <c r="D57" s="1">
        <v>316724</v>
      </c>
      <c r="E57" s="4">
        <v>0.54906699999999997</v>
      </c>
      <c r="F57" s="1">
        <v>420915</v>
      </c>
    </row>
    <row r="58" spans="1:6" x14ac:dyDescent="0.3">
      <c r="A58">
        <v>4</v>
      </c>
      <c r="B58">
        <v>8</v>
      </c>
      <c r="C58" s="2">
        <v>0.17784</v>
      </c>
      <c r="D58" s="1">
        <v>363598</v>
      </c>
      <c r="E58" s="4">
        <v>0.55713999999999997</v>
      </c>
      <c r="F58" s="1">
        <v>474017</v>
      </c>
    </row>
    <row r="59" spans="1:6" x14ac:dyDescent="0.3">
      <c r="A59">
        <v>4</v>
      </c>
      <c r="B59">
        <v>9</v>
      </c>
      <c r="C59" s="2">
        <v>0.192248</v>
      </c>
      <c r="D59" s="1">
        <v>389436</v>
      </c>
      <c r="E59" s="4">
        <v>0.61137699999999995</v>
      </c>
      <c r="F59" s="1">
        <v>532590</v>
      </c>
    </row>
    <row r="60" spans="1:6" x14ac:dyDescent="0.3">
      <c r="A60">
        <v>4</v>
      </c>
      <c r="B60">
        <v>10</v>
      </c>
      <c r="C60" s="2">
        <v>0.24246899999999999</v>
      </c>
      <c r="D60" s="1">
        <v>547376</v>
      </c>
      <c r="E60" s="4">
        <v>0.64531899999999998</v>
      </c>
      <c r="F60" s="1">
        <v>676771</v>
      </c>
    </row>
    <row r="61" spans="1:6" x14ac:dyDescent="0.3">
      <c r="A61">
        <v>4</v>
      </c>
      <c r="B61">
        <v>11</v>
      </c>
      <c r="C61" s="2">
        <v>0.25650499999999998</v>
      </c>
      <c r="D61" s="1">
        <v>850418</v>
      </c>
      <c r="E61" s="4">
        <v>0.611734</v>
      </c>
      <c r="F61" s="1">
        <v>880438</v>
      </c>
    </row>
    <row r="62" spans="1:6" x14ac:dyDescent="0.3">
      <c r="A62">
        <v>4</v>
      </c>
      <c r="B62">
        <v>12</v>
      </c>
      <c r="C62" s="2">
        <v>0.24965699999999999</v>
      </c>
      <c r="D62" s="1">
        <v>1011170</v>
      </c>
      <c r="E62" s="4">
        <v>0.58088399999999996</v>
      </c>
      <c r="F62" s="1">
        <v>1052020</v>
      </c>
    </row>
    <row r="63" spans="1:6" x14ac:dyDescent="0.3">
      <c r="A63">
        <v>4</v>
      </c>
      <c r="B63">
        <v>13</v>
      </c>
      <c r="C63" s="2">
        <v>0.27392300000000003</v>
      </c>
      <c r="D63" s="1">
        <v>951934</v>
      </c>
      <c r="E63" s="4">
        <v>0.57204699999999997</v>
      </c>
      <c r="F63" s="1">
        <v>1193680</v>
      </c>
    </row>
    <row r="64" spans="1:6" x14ac:dyDescent="0.3">
      <c r="A64">
        <v>4</v>
      </c>
      <c r="B64">
        <v>14</v>
      </c>
      <c r="C64" s="2">
        <v>0.37113099999999999</v>
      </c>
      <c r="D64" s="1">
        <v>881323</v>
      </c>
      <c r="E64" s="4">
        <v>0.59457000000000004</v>
      </c>
      <c r="F64" s="1">
        <v>1303390</v>
      </c>
    </row>
    <row r="65" spans="1:6" x14ac:dyDescent="0.3">
      <c r="A65">
        <v>4</v>
      </c>
      <c r="B65">
        <v>15</v>
      </c>
      <c r="C65" s="2">
        <v>0.42141099999999998</v>
      </c>
      <c r="D65" s="1">
        <v>831374</v>
      </c>
      <c r="E65" s="4">
        <v>0.58552499999999996</v>
      </c>
      <c r="F65" s="1">
        <v>1436970</v>
      </c>
    </row>
    <row r="66" spans="1:6" x14ac:dyDescent="0.3">
      <c r="A66">
        <v>5</v>
      </c>
      <c r="B66">
        <v>1</v>
      </c>
      <c r="C66" s="2">
        <v>5.1027999999999997E-2</v>
      </c>
      <c r="D66" s="1">
        <v>118222</v>
      </c>
      <c r="E66" s="4">
        <v>0.44287500000000002</v>
      </c>
      <c r="F66" s="1">
        <v>91361</v>
      </c>
    </row>
    <row r="67" spans="1:6" x14ac:dyDescent="0.3">
      <c r="A67">
        <v>5</v>
      </c>
      <c r="B67">
        <v>2</v>
      </c>
      <c r="C67" s="2">
        <v>5.2645999999999998E-2</v>
      </c>
      <c r="D67" s="1">
        <v>116223</v>
      </c>
      <c r="E67" s="4">
        <v>0.46247300000000002</v>
      </c>
      <c r="F67" s="1">
        <v>95428</v>
      </c>
    </row>
    <row r="68" spans="1:6" x14ac:dyDescent="0.3">
      <c r="A68">
        <v>5</v>
      </c>
      <c r="B68">
        <v>3</v>
      </c>
      <c r="C68" s="2">
        <v>5.6348000000000002E-2</v>
      </c>
      <c r="D68" s="1">
        <v>115853</v>
      </c>
      <c r="E68" s="4">
        <v>0.51911799999999997</v>
      </c>
      <c r="F68" s="1">
        <v>98187</v>
      </c>
    </row>
    <row r="69" spans="1:6" x14ac:dyDescent="0.3">
      <c r="A69">
        <v>5</v>
      </c>
      <c r="B69">
        <v>4</v>
      </c>
      <c r="C69" s="2">
        <v>6.6952999999999999E-2</v>
      </c>
      <c r="D69" s="1">
        <v>129372</v>
      </c>
      <c r="E69" s="4">
        <v>0.529331</v>
      </c>
      <c r="F69" s="1">
        <v>115967</v>
      </c>
    </row>
    <row r="70" spans="1:6" x14ac:dyDescent="0.3">
      <c r="A70">
        <v>5</v>
      </c>
      <c r="B70">
        <v>5</v>
      </c>
      <c r="C70" s="2">
        <v>7.0307999999999995E-2</v>
      </c>
      <c r="D70" s="1">
        <v>243266</v>
      </c>
      <c r="E70" s="4">
        <v>0.55779699999999999</v>
      </c>
      <c r="F70" s="1">
        <v>138382</v>
      </c>
    </row>
    <row r="71" spans="1:6" x14ac:dyDescent="0.3">
      <c r="A71">
        <v>5</v>
      </c>
      <c r="B71">
        <v>6</v>
      </c>
      <c r="C71" s="2">
        <v>7.3960999999999999E-2</v>
      </c>
      <c r="D71" s="1">
        <v>277930</v>
      </c>
      <c r="E71" s="4">
        <v>0.55618100000000004</v>
      </c>
      <c r="F71" s="1">
        <v>156228</v>
      </c>
    </row>
    <row r="72" spans="1:6" x14ac:dyDescent="0.3">
      <c r="A72">
        <v>5</v>
      </c>
      <c r="B72">
        <v>7</v>
      </c>
      <c r="C72" s="2">
        <v>8.4945999999999994E-2</v>
      </c>
      <c r="D72" s="1">
        <v>317273</v>
      </c>
      <c r="E72" s="4">
        <v>0.56932700000000003</v>
      </c>
      <c r="F72" s="1">
        <v>183169</v>
      </c>
    </row>
    <row r="73" spans="1:6" x14ac:dyDescent="0.3">
      <c r="A73">
        <v>5</v>
      </c>
      <c r="B73">
        <v>8</v>
      </c>
      <c r="C73" s="2">
        <v>9.5474000000000003E-2</v>
      </c>
      <c r="D73" s="1">
        <v>358794</v>
      </c>
      <c r="E73" s="4">
        <v>0.58346500000000001</v>
      </c>
      <c r="F73" s="1">
        <v>210212</v>
      </c>
    </row>
    <row r="74" spans="1:6" x14ac:dyDescent="0.3">
      <c r="A74">
        <v>5</v>
      </c>
      <c r="B74">
        <v>9</v>
      </c>
      <c r="C74" s="2">
        <v>0.119814</v>
      </c>
      <c r="D74" s="1">
        <v>397667</v>
      </c>
      <c r="E74" s="4">
        <v>0.63181799999999999</v>
      </c>
      <c r="F74" s="1">
        <v>274024</v>
      </c>
    </row>
    <row r="75" spans="1:6" x14ac:dyDescent="0.3">
      <c r="A75">
        <v>5</v>
      </c>
      <c r="B75">
        <v>10</v>
      </c>
      <c r="C75" s="2">
        <v>0.15004600000000001</v>
      </c>
      <c r="D75" s="1">
        <v>566672</v>
      </c>
      <c r="E75" s="4">
        <v>0.60472300000000001</v>
      </c>
      <c r="F75" s="1">
        <v>356915</v>
      </c>
    </row>
    <row r="76" spans="1:6" x14ac:dyDescent="0.3">
      <c r="A76">
        <v>5</v>
      </c>
      <c r="B76">
        <v>11</v>
      </c>
      <c r="C76" s="2">
        <v>0.144014</v>
      </c>
      <c r="D76" s="1">
        <v>848393</v>
      </c>
      <c r="E76" s="4">
        <v>0.58792100000000003</v>
      </c>
      <c r="F76" s="1">
        <v>432344</v>
      </c>
    </row>
    <row r="77" spans="1:6" x14ac:dyDescent="0.3">
      <c r="A77">
        <v>5</v>
      </c>
      <c r="B77">
        <v>12</v>
      </c>
      <c r="C77" s="2">
        <v>0.16930000000000001</v>
      </c>
      <c r="D77" s="1">
        <v>1005740</v>
      </c>
      <c r="E77" s="4">
        <v>0.61615900000000001</v>
      </c>
      <c r="F77" s="1">
        <v>524294</v>
      </c>
    </row>
    <row r="78" spans="1:6" x14ac:dyDescent="0.3">
      <c r="A78">
        <v>5</v>
      </c>
      <c r="B78">
        <v>13</v>
      </c>
      <c r="C78" s="2">
        <v>0.172761</v>
      </c>
      <c r="D78" s="1">
        <v>958231</v>
      </c>
      <c r="E78" s="4">
        <v>0.60586799999999996</v>
      </c>
      <c r="F78" s="1">
        <v>530924</v>
      </c>
    </row>
    <row r="79" spans="1:6" x14ac:dyDescent="0.3">
      <c r="A79">
        <v>5</v>
      </c>
      <c r="B79">
        <v>14</v>
      </c>
      <c r="C79" s="2">
        <v>0.18667</v>
      </c>
      <c r="D79" s="1">
        <v>872924</v>
      </c>
      <c r="E79" s="4">
        <v>0.59468799999999999</v>
      </c>
      <c r="F79" s="1">
        <v>581447</v>
      </c>
    </row>
    <row r="80" spans="1:6" x14ac:dyDescent="0.3">
      <c r="A80">
        <v>5</v>
      </c>
      <c r="B80">
        <v>15</v>
      </c>
      <c r="C80" s="2">
        <v>0.213279</v>
      </c>
      <c r="D80" s="1">
        <v>844622</v>
      </c>
      <c r="E80" s="4">
        <v>0.63554500000000003</v>
      </c>
      <c r="F80" s="1">
        <v>610257</v>
      </c>
    </row>
    <row r="81" spans="1:6" x14ac:dyDescent="0.3">
      <c r="A81">
        <v>6</v>
      </c>
      <c r="B81">
        <v>1</v>
      </c>
      <c r="C81" s="2">
        <v>3.7682E-2</v>
      </c>
      <c r="D81" s="1">
        <v>117112</v>
      </c>
      <c r="E81" s="4">
        <v>0.44853900000000002</v>
      </c>
      <c r="F81" s="1">
        <v>68978</v>
      </c>
    </row>
    <row r="82" spans="1:6" x14ac:dyDescent="0.3">
      <c r="A82">
        <v>6</v>
      </c>
      <c r="B82">
        <v>2</v>
      </c>
      <c r="C82" s="2">
        <v>3.9784E-2</v>
      </c>
      <c r="D82" s="1">
        <v>119420</v>
      </c>
      <c r="E82" s="4">
        <v>0.47588900000000001</v>
      </c>
      <c r="F82" s="1">
        <v>74904</v>
      </c>
    </row>
    <row r="83" spans="1:6" x14ac:dyDescent="0.3">
      <c r="A83">
        <v>6</v>
      </c>
      <c r="B83">
        <v>3</v>
      </c>
      <c r="C83" s="2">
        <v>4.4331000000000002E-2</v>
      </c>
      <c r="D83" s="1">
        <v>116087</v>
      </c>
      <c r="E83" s="4">
        <v>0.50056199999999995</v>
      </c>
      <c r="F83" s="1">
        <v>83829</v>
      </c>
    </row>
    <row r="84" spans="1:6" x14ac:dyDescent="0.3">
      <c r="A84">
        <v>6</v>
      </c>
      <c r="B84">
        <v>4</v>
      </c>
      <c r="C84" s="2">
        <v>5.0244999999999998E-2</v>
      </c>
      <c r="D84" s="1">
        <v>122997</v>
      </c>
      <c r="E84" s="4">
        <v>0.50034400000000001</v>
      </c>
      <c r="F84" s="1">
        <v>98148</v>
      </c>
    </row>
    <row r="85" spans="1:6" x14ac:dyDescent="0.3">
      <c r="A85">
        <v>6</v>
      </c>
      <c r="B85">
        <v>5</v>
      </c>
      <c r="C85" s="2">
        <v>5.5045999999999998E-2</v>
      </c>
      <c r="D85" s="1">
        <v>194309</v>
      </c>
      <c r="E85" s="4">
        <v>0.52889699999999995</v>
      </c>
      <c r="F85" s="1">
        <v>118449</v>
      </c>
    </row>
    <row r="86" spans="1:6" x14ac:dyDescent="0.3">
      <c r="A86">
        <v>6</v>
      </c>
      <c r="B86">
        <v>6</v>
      </c>
      <c r="C86" s="2">
        <v>5.2462000000000002E-2</v>
      </c>
      <c r="D86" s="1">
        <v>307923</v>
      </c>
      <c r="E86" s="4">
        <v>0.495361</v>
      </c>
      <c r="F86" s="1">
        <v>133161</v>
      </c>
    </row>
    <row r="87" spans="1:6" x14ac:dyDescent="0.3">
      <c r="A87">
        <v>6</v>
      </c>
      <c r="B87">
        <v>7</v>
      </c>
      <c r="C87" s="2">
        <v>5.6977E-2</v>
      </c>
      <c r="D87" s="1">
        <v>323595</v>
      </c>
      <c r="E87" s="4">
        <v>0.51034199999999996</v>
      </c>
      <c r="F87" s="1">
        <v>145062</v>
      </c>
    </row>
    <row r="88" spans="1:6" x14ac:dyDescent="0.3">
      <c r="A88">
        <v>6</v>
      </c>
      <c r="B88">
        <v>8</v>
      </c>
      <c r="C88" s="2">
        <v>6.1490000000000003E-2</v>
      </c>
      <c r="D88" s="1">
        <v>363081</v>
      </c>
      <c r="E88" s="4">
        <v>0.51829599999999998</v>
      </c>
      <c r="F88" s="1">
        <v>170711</v>
      </c>
    </row>
    <row r="89" spans="1:6" x14ac:dyDescent="0.3">
      <c r="A89">
        <v>6</v>
      </c>
      <c r="B89">
        <v>9</v>
      </c>
      <c r="C89" s="2">
        <v>6.9027000000000005E-2</v>
      </c>
      <c r="D89" s="1">
        <v>386422</v>
      </c>
      <c r="E89" s="4">
        <v>0.54672299999999996</v>
      </c>
      <c r="F89" s="1">
        <v>199775</v>
      </c>
    </row>
    <row r="90" spans="1:6" x14ac:dyDescent="0.3">
      <c r="A90">
        <v>6</v>
      </c>
      <c r="B90">
        <v>10</v>
      </c>
      <c r="C90" s="2">
        <v>9.2748999999999998E-2</v>
      </c>
      <c r="D90" s="1">
        <v>564867</v>
      </c>
      <c r="E90" s="4">
        <v>0.55427599999999999</v>
      </c>
      <c r="F90" s="1">
        <v>276797</v>
      </c>
    </row>
    <row r="91" spans="1:6" x14ac:dyDescent="0.3">
      <c r="A91">
        <v>6</v>
      </c>
      <c r="B91">
        <v>11</v>
      </c>
      <c r="C91" s="2">
        <v>0.11264</v>
      </c>
      <c r="D91" s="1">
        <v>874818</v>
      </c>
      <c r="E91" s="4">
        <v>0.51776599999999995</v>
      </c>
      <c r="F91" s="1">
        <v>381478</v>
      </c>
    </row>
    <row r="92" spans="1:6" x14ac:dyDescent="0.3">
      <c r="A92">
        <v>6</v>
      </c>
      <c r="B92">
        <v>12</v>
      </c>
      <c r="C92" s="2">
        <v>0.15415400000000001</v>
      </c>
      <c r="D92" s="1">
        <v>1013170</v>
      </c>
      <c r="E92" s="4">
        <v>0.58004900000000004</v>
      </c>
      <c r="F92" s="1">
        <v>506969</v>
      </c>
    </row>
    <row r="93" spans="1:6" x14ac:dyDescent="0.3">
      <c r="A93">
        <v>6</v>
      </c>
      <c r="B93">
        <v>13</v>
      </c>
      <c r="C93" s="2">
        <v>0.18646099999999999</v>
      </c>
      <c r="D93" s="1">
        <v>930477</v>
      </c>
      <c r="E93" s="4">
        <v>0.55602399999999996</v>
      </c>
      <c r="F93" s="1">
        <v>633388</v>
      </c>
    </row>
    <row r="94" spans="1:6" x14ac:dyDescent="0.3">
      <c r="A94">
        <v>6</v>
      </c>
      <c r="B94">
        <v>14</v>
      </c>
      <c r="C94" s="2">
        <v>0.24684700000000001</v>
      </c>
      <c r="D94" s="1">
        <v>851676</v>
      </c>
      <c r="E94" s="4">
        <v>0.53779100000000002</v>
      </c>
      <c r="F94" s="1">
        <v>804388</v>
      </c>
    </row>
    <row r="95" spans="1:6" x14ac:dyDescent="0.3">
      <c r="A95">
        <v>6</v>
      </c>
      <c r="B95">
        <v>15</v>
      </c>
      <c r="C95" s="2">
        <v>0.30401299999999998</v>
      </c>
      <c r="D95" s="1">
        <v>819476</v>
      </c>
      <c r="E95" s="4">
        <v>0.52577499999999999</v>
      </c>
      <c r="F95" s="1">
        <v>1009500</v>
      </c>
    </row>
  </sheetData>
  <mergeCells count="2">
    <mergeCell ref="H5:L5"/>
    <mergeCell ref="C2:P2"/>
  </mergeCells>
  <pageMargins left="0.7" right="0.7" top="0.75" bottom="0.75" header="0.3" footer="0.3"/>
  <pageSetup orientation="portrait" horizontalDpi="360" verticalDpi="36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289F-1FBB-4502-942C-B789176BFD86}">
  <sheetPr>
    <tabColor theme="7" tint="0.39997558519241921"/>
  </sheetPr>
  <dimension ref="A1:S75"/>
  <sheetViews>
    <sheetView topLeftCell="H16" workbookViewId="0">
      <selection activeCell="M26" sqref="M26"/>
    </sheetView>
  </sheetViews>
  <sheetFormatPr defaultRowHeight="14.4" x14ac:dyDescent="0.3"/>
  <cols>
    <col min="1" max="1" width="6.33203125" bestFit="1" customWidth="1"/>
    <col min="4" max="4" width="9.88671875" bestFit="1" customWidth="1"/>
    <col min="5" max="5" width="10.77734375" bestFit="1" customWidth="1"/>
    <col min="6" max="6" width="15.33203125" bestFit="1" customWidth="1"/>
    <col min="8" max="8" width="17.44140625" bestFit="1" customWidth="1"/>
    <col min="9" max="9" width="16.77734375" customWidth="1"/>
    <col min="10" max="10" width="13.44140625" bestFit="1" customWidth="1"/>
    <col min="11" max="11" width="12.6640625" bestFit="1" customWidth="1"/>
    <col min="12" max="12" width="12" bestFit="1" customWidth="1"/>
    <col min="13" max="14" width="12.6640625" bestFit="1" customWidth="1"/>
    <col min="15" max="15" width="20.44140625" bestFit="1" customWidth="1"/>
    <col min="16" max="16" width="17.6640625" customWidth="1"/>
    <col min="17" max="17" width="47.77734375" bestFit="1" customWidth="1"/>
  </cols>
  <sheetData>
    <row r="1" spans="1:19" ht="17.399999999999999" x14ac:dyDescent="0.3">
      <c r="A1" s="27" t="s">
        <v>100</v>
      </c>
    </row>
    <row r="2" spans="1:19" ht="17.399999999999999" x14ac:dyDescent="0.3">
      <c r="A2" s="27"/>
    </row>
    <row r="3" spans="1:19" x14ac:dyDescent="0.3">
      <c r="A3" s="39" t="s">
        <v>98</v>
      </c>
    </row>
    <row r="4" spans="1:19" ht="17.399999999999999" x14ac:dyDescent="0.3">
      <c r="A4" s="27"/>
      <c r="O4" s="36" t="s">
        <v>101</v>
      </c>
      <c r="P4" s="36" t="s">
        <v>102</v>
      </c>
      <c r="Q4" s="36" t="s">
        <v>103</v>
      </c>
    </row>
    <row r="5" spans="1:19" x14ac:dyDescent="0.3">
      <c r="O5" s="37" t="s">
        <v>104</v>
      </c>
      <c r="P5" s="40" t="s">
        <v>105</v>
      </c>
      <c r="Q5" s="38" t="s">
        <v>106</v>
      </c>
    </row>
    <row r="6" spans="1:19" x14ac:dyDescent="0.3">
      <c r="O6" s="37" t="s">
        <v>91</v>
      </c>
      <c r="P6" s="40">
        <v>0.93430000000000002</v>
      </c>
      <c r="Q6" s="38" t="s">
        <v>107</v>
      </c>
    </row>
    <row r="7" spans="1:19" x14ac:dyDescent="0.3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H7" t="s">
        <v>6</v>
      </c>
      <c r="O7" s="37" t="s">
        <v>11</v>
      </c>
      <c r="P7" s="41">
        <v>90197.78</v>
      </c>
      <c r="Q7" s="38" t="s">
        <v>108</v>
      </c>
    </row>
    <row r="8" spans="1:19" ht="15" thickBot="1" x14ac:dyDescent="0.35">
      <c r="A8">
        <v>4</v>
      </c>
      <c r="B8">
        <v>1</v>
      </c>
      <c r="C8" s="2">
        <v>8.6392999999999998E-2</v>
      </c>
      <c r="D8" s="1">
        <v>114987</v>
      </c>
      <c r="E8" s="4">
        <v>0.43206600000000001</v>
      </c>
      <c r="F8" s="1">
        <v>145167</v>
      </c>
      <c r="O8" s="37" t="s">
        <v>94</v>
      </c>
      <c r="P8" s="40">
        <v>626.80999999999995</v>
      </c>
      <c r="Q8" s="38" t="s">
        <v>109</v>
      </c>
    </row>
    <row r="9" spans="1:19" x14ac:dyDescent="0.3">
      <c r="A9">
        <v>4</v>
      </c>
      <c r="B9">
        <v>2</v>
      </c>
      <c r="C9" s="2">
        <v>9.6740000000000007E-2</v>
      </c>
      <c r="D9" s="1">
        <v>120501</v>
      </c>
      <c r="E9" s="4">
        <v>0.43966899999999998</v>
      </c>
      <c r="F9" s="1">
        <v>170192</v>
      </c>
      <c r="H9" s="7" t="s">
        <v>7</v>
      </c>
      <c r="I9" s="7"/>
      <c r="O9" s="37" t="s">
        <v>12</v>
      </c>
      <c r="P9" s="40">
        <v>45</v>
      </c>
      <c r="Q9" s="38" t="s">
        <v>110</v>
      </c>
    </row>
    <row r="10" spans="1:19" x14ac:dyDescent="0.3">
      <c r="A10">
        <v>4</v>
      </c>
      <c r="B10">
        <v>3</v>
      </c>
      <c r="C10" s="2">
        <v>0.14149999999999999</v>
      </c>
      <c r="D10" s="1">
        <v>121908</v>
      </c>
      <c r="E10" s="4">
        <v>0.48893199999999998</v>
      </c>
      <c r="F10" s="1">
        <v>247506</v>
      </c>
      <c r="H10" t="s">
        <v>8</v>
      </c>
      <c r="I10">
        <v>0.96736896151158691</v>
      </c>
      <c r="O10" s="37" t="s">
        <v>17</v>
      </c>
      <c r="P10" s="42">
        <v>-121540.66</v>
      </c>
      <c r="Q10" s="38" t="s">
        <v>111</v>
      </c>
    </row>
    <row r="11" spans="1:19" x14ac:dyDescent="0.3">
      <c r="A11">
        <v>4</v>
      </c>
      <c r="B11">
        <v>4</v>
      </c>
      <c r="C11" s="2">
        <v>0.169715</v>
      </c>
      <c r="D11" s="1">
        <v>127220</v>
      </c>
      <c r="E11" s="4">
        <v>0.48418099999999997</v>
      </c>
      <c r="F11" s="1">
        <v>309391</v>
      </c>
      <c r="H11" t="s">
        <v>9</v>
      </c>
      <c r="I11">
        <v>0.93580270769600604</v>
      </c>
      <c r="O11" s="37" t="s">
        <v>112</v>
      </c>
      <c r="P11" s="42">
        <v>3737684.19</v>
      </c>
      <c r="Q11" s="38" t="s">
        <v>113</v>
      </c>
    </row>
    <row r="12" spans="1:19" ht="15" thickBot="1" x14ac:dyDescent="0.35">
      <c r="A12">
        <v>4</v>
      </c>
      <c r="B12">
        <v>5</v>
      </c>
      <c r="C12" s="2">
        <v>0.17380499999999999</v>
      </c>
      <c r="D12" s="1">
        <v>209405</v>
      </c>
      <c r="E12" s="4">
        <v>0.52992499999999998</v>
      </c>
      <c r="F12" s="1">
        <v>354338</v>
      </c>
      <c r="H12" t="s">
        <v>10</v>
      </c>
      <c r="I12">
        <v>0.93430974740986672</v>
      </c>
    </row>
    <row r="13" spans="1:19" ht="15" thickBot="1" x14ac:dyDescent="0.35">
      <c r="A13">
        <v>4</v>
      </c>
      <c r="B13">
        <v>6</v>
      </c>
      <c r="C13" s="2">
        <v>0.164272</v>
      </c>
      <c r="D13" s="1">
        <v>263148</v>
      </c>
      <c r="E13" s="4">
        <v>0.53272299999999995</v>
      </c>
      <c r="F13" s="1">
        <v>373941</v>
      </c>
      <c r="H13" t="s">
        <v>11</v>
      </c>
      <c r="I13">
        <v>90197.782663832273</v>
      </c>
      <c r="O13" s="35" t="s">
        <v>114</v>
      </c>
    </row>
    <row r="14" spans="1:19" ht="16.8" customHeight="1" thickBot="1" x14ac:dyDescent="0.35">
      <c r="A14">
        <v>4</v>
      </c>
      <c r="B14">
        <v>7</v>
      </c>
      <c r="C14" s="2">
        <v>0.170906</v>
      </c>
      <c r="D14" s="1">
        <v>316724</v>
      </c>
      <c r="E14" s="4">
        <v>0.54906699999999997</v>
      </c>
      <c r="F14" s="1">
        <v>420915</v>
      </c>
      <c r="H14" s="5" t="s">
        <v>12</v>
      </c>
      <c r="I14" s="5">
        <v>45</v>
      </c>
      <c r="O14" s="70" t="s">
        <v>115</v>
      </c>
      <c r="P14" s="71"/>
      <c r="Q14" s="72"/>
    </row>
    <row r="15" spans="1:19" ht="15" thickBot="1" x14ac:dyDescent="0.35">
      <c r="A15">
        <v>4</v>
      </c>
      <c r="B15">
        <v>8</v>
      </c>
      <c r="C15" s="2">
        <v>0.17784</v>
      </c>
      <c r="D15" s="1">
        <v>363598</v>
      </c>
      <c r="E15" s="4">
        <v>0.55713999999999997</v>
      </c>
      <c r="F15" s="1">
        <v>474017</v>
      </c>
      <c r="O15" s="73"/>
      <c r="P15" s="74"/>
      <c r="Q15" s="75"/>
    </row>
    <row r="16" spans="1:19" ht="15" customHeight="1" thickBot="1" x14ac:dyDescent="0.35">
      <c r="A16">
        <v>4</v>
      </c>
      <c r="B16">
        <v>9</v>
      </c>
      <c r="C16" s="2">
        <v>0.192248</v>
      </c>
      <c r="D16" s="1">
        <v>389436</v>
      </c>
      <c r="E16" s="4">
        <v>0.61137699999999995</v>
      </c>
      <c r="F16" s="1">
        <v>532590</v>
      </c>
      <c r="H16" t="s">
        <v>13</v>
      </c>
      <c r="O16" s="34"/>
      <c r="P16" s="34"/>
      <c r="Q16" s="34"/>
      <c r="R16" s="33"/>
      <c r="S16" s="33"/>
    </row>
    <row r="17" spans="1:19" x14ac:dyDescent="0.3">
      <c r="A17">
        <v>4</v>
      </c>
      <c r="B17">
        <v>10</v>
      </c>
      <c r="C17" s="2">
        <v>0.24246899999999999</v>
      </c>
      <c r="D17" s="1">
        <v>547376</v>
      </c>
      <c r="E17" s="4">
        <v>0.64531899999999998</v>
      </c>
      <c r="F17" s="1">
        <v>676771</v>
      </c>
      <c r="H17" s="6"/>
      <c r="I17" s="6" t="s">
        <v>18</v>
      </c>
      <c r="J17" s="6" t="s">
        <v>19</v>
      </c>
      <c r="K17" s="6" t="s">
        <v>20</v>
      </c>
      <c r="L17" s="6" t="s">
        <v>21</v>
      </c>
      <c r="M17" s="6" t="s">
        <v>22</v>
      </c>
      <c r="O17" s="76" t="s">
        <v>116</v>
      </c>
      <c r="P17" s="77"/>
      <c r="Q17" s="78"/>
      <c r="R17" s="33"/>
      <c r="S17" s="33"/>
    </row>
    <row r="18" spans="1:19" ht="15" thickBot="1" x14ac:dyDescent="0.35">
      <c r="A18">
        <v>4</v>
      </c>
      <c r="B18">
        <v>11</v>
      </c>
      <c r="C18" s="2">
        <v>0.25650499999999998</v>
      </c>
      <c r="D18" s="1">
        <v>850418</v>
      </c>
      <c r="E18" s="4">
        <v>0.611734</v>
      </c>
      <c r="F18" s="1">
        <v>880438</v>
      </c>
      <c r="H18" t="s">
        <v>14</v>
      </c>
      <c r="I18">
        <v>1</v>
      </c>
      <c r="J18">
        <v>5099501982173.5059</v>
      </c>
      <c r="K18">
        <v>5099501982173.5059</v>
      </c>
      <c r="L18">
        <v>626.81018134506098</v>
      </c>
      <c r="M18">
        <v>2.8710353284581339E-27</v>
      </c>
      <c r="O18" s="79"/>
      <c r="P18" s="80"/>
      <c r="Q18" s="81"/>
      <c r="R18" s="33"/>
      <c r="S18" s="33"/>
    </row>
    <row r="19" spans="1:19" x14ac:dyDescent="0.3">
      <c r="A19">
        <v>4</v>
      </c>
      <c r="B19">
        <v>12</v>
      </c>
      <c r="C19" s="2">
        <v>0.24965699999999999</v>
      </c>
      <c r="D19" s="1">
        <v>1011170</v>
      </c>
      <c r="E19" s="4">
        <v>0.58088399999999996</v>
      </c>
      <c r="F19" s="1">
        <v>1052020</v>
      </c>
      <c r="H19" t="s">
        <v>15</v>
      </c>
      <c r="I19">
        <v>43</v>
      </c>
      <c r="J19">
        <v>349832519891.2926</v>
      </c>
      <c r="K19">
        <v>8135639997.471921</v>
      </c>
    </row>
    <row r="20" spans="1:19" ht="15" thickBot="1" x14ac:dyDescent="0.35">
      <c r="A20">
        <v>4</v>
      </c>
      <c r="B20">
        <v>13</v>
      </c>
      <c r="C20" s="2">
        <v>0.27392300000000003</v>
      </c>
      <c r="D20" s="1">
        <v>951934</v>
      </c>
      <c r="E20" s="4">
        <v>0.57204699999999997</v>
      </c>
      <c r="F20" s="1">
        <v>1193680</v>
      </c>
      <c r="H20" s="5" t="s">
        <v>16</v>
      </c>
      <c r="I20" s="5">
        <v>44</v>
      </c>
      <c r="J20" s="5">
        <v>5449334502064.7988</v>
      </c>
      <c r="K20" s="5"/>
      <c r="L20" s="5"/>
      <c r="M20" s="5"/>
    </row>
    <row r="21" spans="1:19" ht="15" thickBot="1" x14ac:dyDescent="0.35">
      <c r="A21">
        <v>4</v>
      </c>
      <c r="B21">
        <v>14</v>
      </c>
      <c r="C21" s="2">
        <v>0.37113099999999999</v>
      </c>
      <c r="D21" s="1">
        <v>881323</v>
      </c>
      <c r="E21" s="4">
        <v>0.59457000000000004</v>
      </c>
      <c r="F21" s="1">
        <v>1303390</v>
      </c>
    </row>
    <row r="22" spans="1:19" x14ac:dyDescent="0.3">
      <c r="A22">
        <v>4</v>
      </c>
      <c r="B22">
        <v>15</v>
      </c>
      <c r="C22" s="2">
        <v>0.42141099999999998</v>
      </c>
      <c r="D22" s="1">
        <v>831374</v>
      </c>
      <c r="E22" s="4">
        <v>0.58552499999999996</v>
      </c>
      <c r="F22" s="1">
        <v>1436970</v>
      </c>
      <c r="H22" s="6"/>
      <c r="I22" s="6" t="s">
        <v>23</v>
      </c>
      <c r="J22" s="6" t="s">
        <v>11</v>
      </c>
      <c r="K22" s="6" t="s">
        <v>24</v>
      </c>
      <c r="L22" s="6" t="s">
        <v>25</v>
      </c>
      <c r="M22" s="6" t="s">
        <v>26</v>
      </c>
      <c r="N22" s="6" t="s">
        <v>27</v>
      </c>
      <c r="O22" s="6" t="s">
        <v>33</v>
      </c>
      <c r="P22" s="6" t="s">
        <v>34</v>
      </c>
    </row>
    <row r="23" spans="1:19" x14ac:dyDescent="0.3">
      <c r="A23">
        <v>5</v>
      </c>
      <c r="B23">
        <v>1</v>
      </c>
      <c r="C23" s="2">
        <v>5.1027999999999997E-2</v>
      </c>
      <c r="D23" s="1">
        <v>118222</v>
      </c>
      <c r="E23" s="4">
        <v>0.44287500000000002</v>
      </c>
      <c r="F23" s="1">
        <v>91361</v>
      </c>
      <c r="H23" t="s">
        <v>17</v>
      </c>
      <c r="I23">
        <v>-121540.65531396802</v>
      </c>
      <c r="J23">
        <v>25300.224062710739</v>
      </c>
      <c r="K23">
        <v>-4.8039359261289407</v>
      </c>
      <c r="L23">
        <v>1.9187099018004338E-5</v>
      </c>
      <c r="M23">
        <v>-172563.41981995286</v>
      </c>
      <c r="N23">
        <v>-70517.890807983174</v>
      </c>
      <c r="O23">
        <v>-172563.41981995286</v>
      </c>
      <c r="P23">
        <v>-70517.890807983174</v>
      </c>
    </row>
    <row r="24" spans="1:19" ht="15" thickBot="1" x14ac:dyDescent="0.35">
      <c r="A24">
        <v>5</v>
      </c>
      <c r="B24">
        <v>2</v>
      </c>
      <c r="C24" s="2">
        <v>5.2645999999999998E-2</v>
      </c>
      <c r="D24" s="1">
        <v>116223</v>
      </c>
      <c r="E24" s="4">
        <v>0.46247300000000002</v>
      </c>
      <c r="F24" s="1">
        <v>95428</v>
      </c>
      <c r="H24" s="5" t="s">
        <v>2</v>
      </c>
      <c r="I24" s="5">
        <v>3737684.1922554388</v>
      </c>
      <c r="J24" s="5">
        <v>149291.32850289048</v>
      </c>
      <c r="K24" s="5">
        <v>25.036177450742372</v>
      </c>
      <c r="L24" s="5">
        <v>2.871035328458154E-27</v>
      </c>
      <c r="M24" s="5">
        <v>3436609.5346513009</v>
      </c>
      <c r="N24" s="5">
        <v>4038758.8498595767</v>
      </c>
      <c r="O24" s="5">
        <v>3436609.5346513009</v>
      </c>
      <c r="P24" s="5">
        <v>4038758.8498595767</v>
      </c>
    </row>
    <row r="25" spans="1:19" x14ac:dyDescent="0.3">
      <c r="A25">
        <v>5</v>
      </c>
      <c r="B25">
        <v>3</v>
      </c>
      <c r="C25" s="2">
        <v>5.6348000000000002E-2</v>
      </c>
      <c r="D25" s="1">
        <v>115853</v>
      </c>
      <c r="E25" s="4">
        <v>0.51911799999999997</v>
      </c>
      <c r="F25" s="1">
        <v>98187</v>
      </c>
    </row>
    <row r="26" spans="1:19" x14ac:dyDescent="0.3">
      <c r="A26">
        <v>5</v>
      </c>
      <c r="B26">
        <v>4</v>
      </c>
      <c r="C26" s="2">
        <v>6.6952999999999999E-2</v>
      </c>
      <c r="D26" s="1">
        <v>129372</v>
      </c>
      <c r="E26" s="4">
        <v>0.529331</v>
      </c>
      <c r="F26" s="1">
        <v>115967</v>
      </c>
    </row>
    <row r="27" spans="1:19" x14ac:dyDescent="0.3">
      <c r="A27">
        <v>5</v>
      </c>
      <c r="B27">
        <v>5</v>
      </c>
      <c r="C27" s="2">
        <v>7.0307999999999995E-2</v>
      </c>
      <c r="D27" s="1">
        <v>243266</v>
      </c>
      <c r="E27" s="4">
        <v>0.55779699999999999</v>
      </c>
      <c r="F27" s="1">
        <v>138382</v>
      </c>
    </row>
    <row r="28" spans="1:19" x14ac:dyDescent="0.3">
      <c r="A28">
        <v>5</v>
      </c>
      <c r="B28">
        <v>6</v>
      </c>
      <c r="C28" s="2">
        <v>7.3960999999999999E-2</v>
      </c>
      <c r="D28" s="1">
        <v>277930</v>
      </c>
      <c r="E28" s="4">
        <v>0.55618100000000004</v>
      </c>
      <c r="F28" s="1">
        <v>156228</v>
      </c>
      <c r="H28" t="s">
        <v>28</v>
      </c>
    </row>
    <row r="29" spans="1:19" ht="15" thickBot="1" x14ac:dyDescent="0.35">
      <c r="A29">
        <v>5</v>
      </c>
      <c r="B29">
        <v>7</v>
      </c>
      <c r="C29" s="2">
        <v>8.4945999999999994E-2</v>
      </c>
      <c r="D29" s="1">
        <v>317273</v>
      </c>
      <c r="E29" s="4">
        <v>0.56932700000000003</v>
      </c>
      <c r="F29" s="1">
        <v>183169</v>
      </c>
    </row>
    <row r="30" spans="1:19" x14ac:dyDescent="0.3">
      <c r="A30">
        <v>5</v>
      </c>
      <c r="B30">
        <v>8</v>
      </c>
      <c r="C30" s="2">
        <v>9.5474000000000003E-2</v>
      </c>
      <c r="D30" s="1">
        <v>358794</v>
      </c>
      <c r="E30" s="4">
        <v>0.58346500000000001</v>
      </c>
      <c r="F30" s="1">
        <v>210212</v>
      </c>
      <c r="H30" s="6" t="s">
        <v>29</v>
      </c>
      <c r="I30" s="6" t="s">
        <v>30</v>
      </c>
      <c r="J30" s="6" t="s">
        <v>31</v>
      </c>
    </row>
    <row r="31" spans="1:19" x14ac:dyDescent="0.3">
      <c r="A31">
        <v>5</v>
      </c>
      <c r="B31">
        <v>9</v>
      </c>
      <c r="C31" s="2">
        <v>0.119814</v>
      </c>
      <c r="D31" s="1">
        <v>397667</v>
      </c>
      <c r="E31" s="4">
        <v>0.63181799999999999</v>
      </c>
      <c r="F31" s="1">
        <v>274024</v>
      </c>
      <c r="H31">
        <v>1</v>
      </c>
      <c r="I31">
        <v>201369.09510755609</v>
      </c>
      <c r="J31">
        <v>-56202.095107556088</v>
      </c>
    </row>
    <row r="32" spans="1:19" x14ac:dyDescent="0.3">
      <c r="A32">
        <v>5</v>
      </c>
      <c r="B32">
        <v>10</v>
      </c>
      <c r="C32" s="2">
        <v>0.15004600000000001</v>
      </c>
      <c r="D32" s="1">
        <v>566672</v>
      </c>
      <c r="E32" s="4">
        <v>0.60472300000000001</v>
      </c>
      <c r="F32" s="1">
        <v>356915</v>
      </c>
      <c r="H32">
        <v>2</v>
      </c>
      <c r="I32">
        <v>240042.91344482318</v>
      </c>
      <c r="J32">
        <v>-69850.913444823178</v>
      </c>
    </row>
    <row r="33" spans="1:10" x14ac:dyDescent="0.3">
      <c r="A33">
        <v>5</v>
      </c>
      <c r="B33">
        <v>11</v>
      </c>
      <c r="C33" s="2">
        <v>0.144014</v>
      </c>
      <c r="D33" s="1">
        <v>848393</v>
      </c>
      <c r="E33" s="4">
        <v>0.58792100000000003</v>
      </c>
      <c r="F33" s="1">
        <v>432344</v>
      </c>
      <c r="H33">
        <v>3</v>
      </c>
      <c r="I33">
        <v>407341.65789017658</v>
      </c>
      <c r="J33">
        <v>-159835.65789017658</v>
      </c>
    </row>
    <row r="34" spans="1:10" x14ac:dyDescent="0.3">
      <c r="A34">
        <v>5</v>
      </c>
      <c r="B34">
        <v>12</v>
      </c>
      <c r="C34" s="2">
        <v>0.16930000000000001</v>
      </c>
      <c r="D34" s="1">
        <v>1005740</v>
      </c>
      <c r="E34" s="4">
        <v>0.61615900000000001</v>
      </c>
      <c r="F34" s="1">
        <v>524294</v>
      </c>
      <c r="H34">
        <v>4</v>
      </c>
      <c r="I34">
        <v>512800.41737466381</v>
      </c>
      <c r="J34">
        <v>-203409.41737466381</v>
      </c>
    </row>
    <row r="35" spans="1:10" x14ac:dyDescent="0.3">
      <c r="A35">
        <v>5</v>
      </c>
      <c r="B35">
        <v>13</v>
      </c>
      <c r="C35" s="2">
        <v>0.172761</v>
      </c>
      <c r="D35" s="1">
        <v>958231</v>
      </c>
      <c r="E35" s="4">
        <v>0.60586799999999996</v>
      </c>
      <c r="F35" s="1">
        <v>530924</v>
      </c>
      <c r="H35">
        <v>5</v>
      </c>
      <c r="I35">
        <v>528087.54572098842</v>
      </c>
      <c r="J35">
        <v>-173749.54572098842</v>
      </c>
    </row>
    <row r="36" spans="1:10" x14ac:dyDescent="0.3">
      <c r="A36">
        <v>5</v>
      </c>
      <c r="B36">
        <v>14</v>
      </c>
      <c r="C36" s="2">
        <v>0.18667</v>
      </c>
      <c r="D36" s="1">
        <v>872924</v>
      </c>
      <c r="E36" s="4">
        <v>0.59468799999999999</v>
      </c>
      <c r="F36" s="1">
        <v>581447</v>
      </c>
      <c r="H36">
        <v>6</v>
      </c>
      <c r="I36">
        <v>492456.20231621742</v>
      </c>
      <c r="J36">
        <v>-118515.20231621742</v>
      </c>
    </row>
    <row r="37" spans="1:10" x14ac:dyDescent="0.3">
      <c r="A37">
        <v>5</v>
      </c>
      <c r="B37">
        <v>15</v>
      </c>
      <c r="C37" s="2">
        <v>0.213279</v>
      </c>
      <c r="D37" s="1">
        <v>844622</v>
      </c>
      <c r="E37" s="4">
        <v>0.63554500000000003</v>
      </c>
      <c r="F37" s="1">
        <v>610257</v>
      </c>
      <c r="H37">
        <v>7</v>
      </c>
      <c r="I37">
        <v>517251.99924763996</v>
      </c>
      <c r="J37">
        <v>-96336.999247639964</v>
      </c>
    </row>
    <row r="38" spans="1:10" x14ac:dyDescent="0.3">
      <c r="A38">
        <v>6</v>
      </c>
      <c r="B38">
        <v>1</v>
      </c>
      <c r="C38" s="2">
        <v>3.7682E-2</v>
      </c>
      <c r="D38" s="1">
        <v>117112</v>
      </c>
      <c r="E38" s="4">
        <v>0.44853900000000002</v>
      </c>
      <c r="F38" s="1">
        <v>68978</v>
      </c>
      <c r="H38">
        <v>8</v>
      </c>
      <c r="I38">
        <v>543169.10143673932</v>
      </c>
      <c r="J38">
        <v>-69152.101436739322</v>
      </c>
    </row>
    <row r="39" spans="1:10" x14ac:dyDescent="0.3">
      <c r="A39">
        <v>6</v>
      </c>
      <c r="B39">
        <v>2</v>
      </c>
      <c r="C39" s="2">
        <v>3.9784E-2</v>
      </c>
      <c r="D39" s="1">
        <v>119420</v>
      </c>
      <c r="E39" s="4">
        <v>0.47588900000000001</v>
      </c>
      <c r="F39" s="1">
        <v>74904</v>
      </c>
      <c r="H39">
        <v>9</v>
      </c>
      <c r="I39">
        <v>597021.65527875558</v>
      </c>
      <c r="J39">
        <v>-64431.655278755585</v>
      </c>
    </row>
    <row r="40" spans="1:10" x14ac:dyDescent="0.3">
      <c r="A40">
        <v>6</v>
      </c>
      <c r="B40">
        <v>3</v>
      </c>
      <c r="C40" s="2">
        <v>4.4331000000000002E-2</v>
      </c>
      <c r="D40" s="1">
        <v>116087</v>
      </c>
      <c r="E40" s="4">
        <v>0.50056199999999995</v>
      </c>
      <c r="F40" s="1">
        <v>83829</v>
      </c>
      <c r="H40">
        <v>10</v>
      </c>
      <c r="I40">
        <v>784731.89309801604</v>
      </c>
      <c r="J40">
        <v>-107960.89309801604</v>
      </c>
    </row>
    <row r="41" spans="1:10" x14ac:dyDescent="0.3">
      <c r="A41">
        <v>6</v>
      </c>
      <c r="B41">
        <v>4</v>
      </c>
      <c r="C41" s="2">
        <v>5.0244999999999998E-2</v>
      </c>
      <c r="D41" s="1">
        <v>122997</v>
      </c>
      <c r="E41" s="4">
        <v>0.50034400000000001</v>
      </c>
      <c r="F41" s="1">
        <v>98148</v>
      </c>
      <c r="H41">
        <v>11</v>
      </c>
      <c r="I41">
        <v>837194.02842051326</v>
      </c>
      <c r="J41">
        <v>43243.971579486737</v>
      </c>
    </row>
    <row r="42" spans="1:10" x14ac:dyDescent="0.3">
      <c r="A42">
        <v>6</v>
      </c>
      <c r="B42">
        <v>5</v>
      </c>
      <c r="C42" s="2">
        <v>5.5045999999999998E-2</v>
      </c>
      <c r="D42" s="1">
        <v>194309</v>
      </c>
      <c r="E42" s="4">
        <v>0.52889699999999995</v>
      </c>
      <c r="F42" s="1">
        <v>118449</v>
      </c>
      <c r="H42">
        <v>12</v>
      </c>
      <c r="I42">
        <v>811598.36707194801</v>
      </c>
      <c r="J42">
        <v>240421.63292805199</v>
      </c>
    </row>
    <row r="43" spans="1:10" x14ac:dyDescent="0.3">
      <c r="A43">
        <v>6</v>
      </c>
      <c r="B43">
        <v>6</v>
      </c>
      <c r="C43" s="2">
        <v>5.2462000000000002E-2</v>
      </c>
      <c r="D43" s="1">
        <v>307923</v>
      </c>
      <c r="E43" s="4">
        <v>0.495361</v>
      </c>
      <c r="F43" s="1">
        <v>133161</v>
      </c>
      <c r="H43">
        <v>13</v>
      </c>
      <c r="I43">
        <v>902297.01168121863</v>
      </c>
      <c r="J43">
        <v>291382.98831878137</v>
      </c>
    </row>
    <row r="44" spans="1:10" x14ac:dyDescent="0.3">
      <c r="A44">
        <v>6</v>
      </c>
      <c r="B44">
        <v>7</v>
      </c>
      <c r="C44" s="2">
        <v>5.6977E-2</v>
      </c>
      <c r="D44" s="1">
        <v>323595</v>
      </c>
      <c r="E44" s="4">
        <v>0.51034199999999996</v>
      </c>
      <c r="F44" s="1">
        <v>145062</v>
      </c>
      <c r="H44">
        <v>14</v>
      </c>
      <c r="I44">
        <v>1265629.8166419852</v>
      </c>
      <c r="J44">
        <v>37760.183358014794</v>
      </c>
    </row>
    <row r="45" spans="1:10" x14ac:dyDescent="0.3">
      <c r="A45">
        <v>6</v>
      </c>
      <c r="B45">
        <v>8</v>
      </c>
      <c r="C45" s="2">
        <v>6.1490000000000003E-2</v>
      </c>
      <c r="D45" s="1">
        <v>363081</v>
      </c>
      <c r="E45" s="4">
        <v>0.51829599999999998</v>
      </c>
      <c r="F45" s="1">
        <v>170711</v>
      </c>
      <c r="H45">
        <v>15</v>
      </c>
      <c r="I45">
        <v>1453560.5778285887</v>
      </c>
      <c r="J45">
        <v>-16590.577828588663</v>
      </c>
    </row>
    <row r="46" spans="1:10" x14ac:dyDescent="0.3">
      <c r="A46">
        <v>6</v>
      </c>
      <c r="B46">
        <v>9</v>
      </c>
      <c r="C46" s="2">
        <v>6.9027000000000005E-2</v>
      </c>
      <c r="D46" s="1">
        <v>386422</v>
      </c>
      <c r="E46" s="4">
        <v>0.54672299999999996</v>
      </c>
      <c r="F46" s="1">
        <v>199775</v>
      </c>
      <c r="H46">
        <v>16</v>
      </c>
      <c r="I46">
        <v>69185.893648442492</v>
      </c>
      <c r="J46">
        <v>22175.106351557508</v>
      </c>
    </row>
    <row r="47" spans="1:10" x14ac:dyDescent="0.3">
      <c r="A47">
        <v>6</v>
      </c>
      <c r="B47">
        <v>10</v>
      </c>
      <c r="C47" s="2">
        <v>9.2748999999999998E-2</v>
      </c>
      <c r="D47" s="1">
        <v>564867</v>
      </c>
      <c r="E47" s="4">
        <v>0.55427599999999999</v>
      </c>
      <c r="F47" s="1">
        <v>276797</v>
      </c>
      <c r="H47">
        <v>17</v>
      </c>
      <c r="I47">
        <v>75233.466671511793</v>
      </c>
      <c r="J47">
        <v>20194.533328488207</v>
      </c>
    </row>
    <row r="48" spans="1:10" x14ac:dyDescent="0.3">
      <c r="A48">
        <v>6</v>
      </c>
      <c r="B48">
        <v>11</v>
      </c>
      <c r="C48" s="2">
        <v>0.11264</v>
      </c>
      <c r="D48" s="1">
        <v>874818</v>
      </c>
      <c r="E48" s="4">
        <v>0.51776599999999995</v>
      </c>
      <c r="F48" s="1">
        <v>381478</v>
      </c>
      <c r="H48">
        <v>18</v>
      </c>
      <c r="I48">
        <v>89070.373551241442</v>
      </c>
      <c r="J48">
        <v>9116.6264487585577</v>
      </c>
    </row>
    <row r="49" spans="1:10" x14ac:dyDescent="0.3">
      <c r="A49">
        <v>6</v>
      </c>
      <c r="B49">
        <v>12</v>
      </c>
      <c r="C49" s="2">
        <v>0.15415400000000001</v>
      </c>
      <c r="D49" s="1">
        <v>1013170</v>
      </c>
      <c r="E49" s="4">
        <v>0.58004900000000004</v>
      </c>
      <c r="F49" s="1">
        <v>506969</v>
      </c>
      <c r="H49">
        <v>19</v>
      </c>
      <c r="I49">
        <v>128708.51441011037</v>
      </c>
      <c r="J49">
        <v>-12741.514410110365</v>
      </c>
    </row>
    <row r="50" spans="1:10" x14ac:dyDescent="0.3">
      <c r="A50">
        <v>6</v>
      </c>
      <c r="B50">
        <v>13</v>
      </c>
      <c r="C50" s="2">
        <v>0.18646099999999999</v>
      </c>
      <c r="D50" s="1">
        <v>930477</v>
      </c>
      <c r="E50" s="4">
        <v>0.55602399999999996</v>
      </c>
      <c r="F50" s="1">
        <v>633388</v>
      </c>
      <c r="H50">
        <v>20</v>
      </c>
      <c r="I50">
        <v>141248.44487512734</v>
      </c>
      <c r="J50">
        <v>-2866.4448751273449</v>
      </c>
    </row>
    <row r="51" spans="1:10" x14ac:dyDescent="0.3">
      <c r="A51">
        <v>6</v>
      </c>
      <c r="B51">
        <v>14</v>
      </c>
      <c r="C51" s="2">
        <v>0.24684700000000001</v>
      </c>
      <c r="D51" s="1">
        <v>851676</v>
      </c>
      <c r="E51" s="4">
        <v>0.53779100000000002</v>
      </c>
      <c r="F51" s="1">
        <v>804388</v>
      </c>
      <c r="H51">
        <v>21</v>
      </c>
      <c r="I51">
        <v>154902.20522943651</v>
      </c>
      <c r="J51">
        <v>1325.794770563487</v>
      </c>
    </row>
    <row r="52" spans="1:10" x14ac:dyDescent="0.3">
      <c r="A52">
        <v>6</v>
      </c>
      <c r="B52">
        <v>15</v>
      </c>
      <c r="C52" s="2">
        <v>0.30401299999999998</v>
      </c>
      <c r="D52" s="1">
        <v>819476</v>
      </c>
      <c r="E52" s="4">
        <v>0.52577499999999999</v>
      </c>
      <c r="F52" s="1">
        <v>1009500</v>
      </c>
      <c r="H52">
        <v>22</v>
      </c>
      <c r="I52">
        <v>195960.66608136246</v>
      </c>
      <c r="J52">
        <v>-12791.666081362462</v>
      </c>
    </row>
    <row r="53" spans="1:10" x14ac:dyDescent="0.3">
      <c r="H53">
        <v>23</v>
      </c>
      <c r="I53">
        <v>235311.00525742775</v>
      </c>
      <c r="J53">
        <v>-25099.005257427751</v>
      </c>
    </row>
    <row r="54" spans="1:10" x14ac:dyDescent="0.3">
      <c r="H54">
        <v>24</v>
      </c>
      <c r="I54">
        <v>326286.23849692516</v>
      </c>
      <c r="J54">
        <v>-52262.238496925158</v>
      </c>
    </row>
    <row r="55" spans="1:10" x14ac:dyDescent="0.3">
      <c r="H55">
        <v>25</v>
      </c>
      <c r="I55">
        <v>439283.90699719155</v>
      </c>
      <c r="J55">
        <v>-82368.906997191545</v>
      </c>
    </row>
    <row r="56" spans="1:10" x14ac:dyDescent="0.3">
      <c r="H56">
        <v>26</v>
      </c>
      <c r="I56">
        <v>416738.19594950677</v>
      </c>
      <c r="J56">
        <v>15605.804050493229</v>
      </c>
    </row>
    <row r="57" spans="1:10" x14ac:dyDescent="0.3">
      <c r="H57">
        <v>27</v>
      </c>
      <c r="I57">
        <v>511249.27843487781</v>
      </c>
      <c r="J57">
        <v>13044.721565122192</v>
      </c>
    </row>
    <row r="58" spans="1:10" x14ac:dyDescent="0.3">
      <c r="H58">
        <v>28</v>
      </c>
      <c r="I58">
        <v>524185.40342427389</v>
      </c>
      <c r="J58">
        <v>6738.5965757261147</v>
      </c>
    </row>
    <row r="59" spans="1:10" x14ac:dyDescent="0.3">
      <c r="H59">
        <v>29</v>
      </c>
      <c r="I59">
        <v>576172.85285435477</v>
      </c>
      <c r="J59">
        <v>5274.1471456452273</v>
      </c>
    </row>
    <row r="60" spans="1:10" x14ac:dyDescent="0.3">
      <c r="H60">
        <v>30</v>
      </c>
      <c r="I60">
        <v>675628.89152607974</v>
      </c>
      <c r="J60">
        <v>-65371.891526079737</v>
      </c>
    </row>
    <row r="61" spans="1:10" x14ac:dyDescent="0.3">
      <c r="H61">
        <v>31</v>
      </c>
      <c r="I61">
        <v>19302.760418601421</v>
      </c>
      <c r="J61">
        <v>49675.239581398579</v>
      </c>
    </row>
    <row r="62" spans="1:10" x14ac:dyDescent="0.3">
      <c r="H62">
        <v>32</v>
      </c>
      <c r="I62">
        <v>27159.372590722371</v>
      </c>
      <c r="J62">
        <v>47744.627409277629</v>
      </c>
    </row>
    <row r="63" spans="1:10" x14ac:dyDescent="0.3">
      <c r="H63">
        <v>33</v>
      </c>
      <c r="I63">
        <v>44154.622612907842</v>
      </c>
      <c r="J63">
        <v>39674.377387092158</v>
      </c>
    </row>
    <row r="64" spans="1:10" x14ac:dyDescent="0.3">
      <c r="H64">
        <v>34</v>
      </c>
      <c r="I64">
        <v>66259.28692590649</v>
      </c>
      <c r="J64">
        <v>31888.71307409351</v>
      </c>
    </row>
    <row r="65" spans="8:10" x14ac:dyDescent="0.3">
      <c r="H65">
        <v>35</v>
      </c>
      <c r="I65">
        <v>84203.908732924843</v>
      </c>
      <c r="J65">
        <v>34245.091267075157</v>
      </c>
    </row>
    <row r="66" spans="8:10" x14ac:dyDescent="0.3">
      <c r="H66">
        <v>36</v>
      </c>
      <c r="I66">
        <v>74545.732780136808</v>
      </c>
      <c r="J66">
        <v>58615.267219863192</v>
      </c>
    </row>
    <row r="67" spans="8:10" x14ac:dyDescent="0.3">
      <c r="H67">
        <v>37</v>
      </c>
      <c r="I67">
        <v>91421.376908170118</v>
      </c>
      <c r="J67">
        <v>53640.623091829882</v>
      </c>
    </row>
    <row r="68" spans="8:10" x14ac:dyDescent="0.3">
      <c r="H68">
        <v>38</v>
      </c>
      <c r="I68">
        <v>108289.54566781892</v>
      </c>
      <c r="J68">
        <v>62421.454332181078</v>
      </c>
    </row>
    <row r="69" spans="8:10" x14ac:dyDescent="0.3">
      <c r="H69">
        <v>39</v>
      </c>
      <c r="I69">
        <v>136460.47142484816</v>
      </c>
      <c r="J69">
        <v>63314.528575151839</v>
      </c>
    </row>
    <row r="70" spans="8:10" x14ac:dyDescent="0.3">
      <c r="H70">
        <v>40</v>
      </c>
      <c r="I70">
        <v>225125.81583353167</v>
      </c>
      <c r="J70">
        <v>51671.184166468331</v>
      </c>
    </row>
    <row r="71" spans="8:10" x14ac:dyDescent="0.3">
      <c r="H71">
        <v>41</v>
      </c>
      <c r="I71">
        <v>299472.0921016846</v>
      </c>
      <c r="J71">
        <v>82005.907898315403</v>
      </c>
    </row>
    <row r="72" spans="8:10" x14ac:dyDescent="0.3">
      <c r="H72">
        <v>42</v>
      </c>
      <c r="I72">
        <v>454638.31365897699</v>
      </c>
      <c r="J72">
        <v>52330.686341023014</v>
      </c>
    </row>
    <row r="73" spans="8:10" x14ac:dyDescent="0.3">
      <c r="H73">
        <v>43</v>
      </c>
      <c r="I73">
        <v>575391.67685817322</v>
      </c>
      <c r="J73">
        <v>57996.323141826782</v>
      </c>
    </row>
    <row r="74" spans="8:10" x14ac:dyDescent="0.3">
      <c r="H74">
        <v>44</v>
      </c>
      <c r="I74">
        <v>801095.47449171031</v>
      </c>
      <c r="J74">
        <v>3292.5255082896911</v>
      </c>
    </row>
    <row r="75" spans="8:10" ht="15" thickBot="1" x14ac:dyDescent="0.35">
      <c r="H75" s="5">
        <v>45</v>
      </c>
      <c r="I75" s="5">
        <v>1014763.9290261846</v>
      </c>
      <c r="J75" s="5">
        <v>-5263.9290261846036</v>
      </c>
    </row>
  </sheetData>
  <mergeCells count="2">
    <mergeCell ref="O14:Q15"/>
    <mergeCell ref="O17:Q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E2A7-37C3-4188-AA3C-B3518F0C7C76}">
  <sheetPr>
    <tabColor theme="8" tint="0.39997558519241921"/>
  </sheetPr>
  <dimension ref="A1:M75"/>
  <sheetViews>
    <sheetView topLeftCell="C1" workbookViewId="0">
      <selection activeCell="C28" sqref="C28"/>
    </sheetView>
  </sheetViews>
  <sheetFormatPr defaultRowHeight="14.4" x14ac:dyDescent="0.3"/>
  <cols>
    <col min="1" max="1" width="19.44140625" bestFit="1" customWidth="1"/>
    <col min="2" max="2" width="23.21875" bestFit="1" customWidth="1"/>
    <col min="3" max="3" width="13.44140625" bestFit="1" customWidth="1"/>
    <col min="4" max="4" width="12.6640625" bestFit="1" customWidth="1"/>
    <col min="5" max="5" width="18.88671875" bestFit="1" customWidth="1"/>
    <col min="6" max="6" width="16.77734375" customWidth="1"/>
    <col min="7" max="7" width="40.6640625" bestFit="1" customWidth="1"/>
    <col min="8" max="8" width="12.6640625" bestFit="1" customWidth="1"/>
    <col min="9" max="9" width="18.88671875" bestFit="1" customWidth="1"/>
    <col min="10" max="10" width="14" customWidth="1"/>
    <col min="11" max="11" width="9.88671875" customWidth="1"/>
    <col min="12" max="12" width="12.109375" customWidth="1"/>
    <col min="13" max="13" width="33.77734375" customWidth="1"/>
    <col min="14" max="14" width="8.44140625" bestFit="1" customWidth="1"/>
    <col min="15" max="15" width="15.77734375" bestFit="1" customWidth="1"/>
  </cols>
  <sheetData>
    <row r="1" spans="1:13" ht="17.399999999999999" x14ac:dyDescent="0.3">
      <c r="A1" s="82" t="s">
        <v>117</v>
      </c>
      <c r="B1" s="82"/>
      <c r="C1" s="82"/>
      <c r="D1" s="82"/>
      <c r="E1" s="82"/>
    </row>
    <row r="3" spans="1:13" x14ac:dyDescent="0.3">
      <c r="I3" s="32" t="s">
        <v>123</v>
      </c>
    </row>
    <row r="4" spans="1:13" x14ac:dyDescent="0.3">
      <c r="E4" s="25" t="s">
        <v>101</v>
      </c>
      <c r="F4" s="25" t="s">
        <v>102</v>
      </c>
      <c r="G4" s="25" t="s">
        <v>103</v>
      </c>
      <c r="I4" s="48" t="s">
        <v>124</v>
      </c>
      <c r="J4" s="48" t="s">
        <v>125</v>
      </c>
      <c r="K4" s="48" t="s">
        <v>126</v>
      </c>
      <c r="L4" s="48" t="s">
        <v>127</v>
      </c>
      <c r="M4" s="48" t="s">
        <v>128</v>
      </c>
    </row>
    <row r="5" spans="1:13" x14ac:dyDescent="0.3">
      <c r="A5" s="18" t="s">
        <v>37</v>
      </c>
      <c r="B5" s="18" t="s">
        <v>38</v>
      </c>
      <c r="E5" s="30" t="s">
        <v>104</v>
      </c>
      <c r="F5" s="31" t="s">
        <v>119</v>
      </c>
      <c r="G5" s="31" t="s">
        <v>120</v>
      </c>
      <c r="I5" s="30" t="s">
        <v>17</v>
      </c>
      <c r="J5" s="46">
        <v>134549.37</v>
      </c>
      <c r="K5" s="31">
        <v>1.03</v>
      </c>
      <c r="L5" s="31">
        <v>0.311</v>
      </c>
      <c r="M5" s="53" t="s">
        <v>129</v>
      </c>
    </row>
    <row r="6" spans="1:13" ht="15" thickBot="1" x14ac:dyDescent="0.35">
      <c r="E6" s="30" t="s">
        <v>91</v>
      </c>
      <c r="F6" s="44">
        <v>0.95830000000000004</v>
      </c>
      <c r="G6" s="31" t="s">
        <v>121</v>
      </c>
      <c r="I6" s="30" t="s">
        <v>2</v>
      </c>
      <c r="J6" s="46">
        <v>3250141.87</v>
      </c>
      <c r="K6" s="31">
        <v>19.399999999999999</v>
      </c>
      <c r="L6" s="47">
        <v>2.8799999999999998E-22</v>
      </c>
      <c r="M6" s="54" t="s">
        <v>130</v>
      </c>
    </row>
    <row r="7" spans="1:13" x14ac:dyDescent="0.3">
      <c r="A7" s="7" t="s">
        <v>7</v>
      </c>
      <c r="B7" s="7"/>
      <c r="E7" s="30" t="s">
        <v>11</v>
      </c>
      <c r="F7" s="45">
        <v>71871.72</v>
      </c>
      <c r="G7" s="31" t="s">
        <v>122</v>
      </c>
      <c r="I7" s="30" t="s">
        <v>3</v>
      </c>
      <c r="J7" s="31">
        <v>0.26800000000000002</v>
      </c>
      <c r="K7" s="31">
        <v>5.16</v>
      </c>
      <c r="L7" s="47">
        <v>6.7399999999999998E-6</v>
      </c>
      <c r="M7" s="54" t="s">
        <v>131</v>
      </c>
    </row>
    <row r="8" spans="1:13" x14ac:dyDescent="0.3">
      <c r="A8" t="s">
        <v>8</v>
      </c>
      <c r="B8">
        <v>0.98037502980138092</v>
      </c>
      <c r="E8" s="30" t="s">
        <v>94</v>
      </c>
      <c r="F8" s="44">
        <v>337.98</v>
      </c>
      <c r="G8" s="31" t="s">
        <v>109</v>
      </c>
      <c r="I8" s="30" t="s">
        <v>4</v>
      </c>
      <c r="J8" s="46">
        <v>-575903.66</v>
      </c>
      <c r="K8" s="31">
        <v>-2.17</v>
      </c>
      <c r="L8" s="31">
        <v>3.5999999999999997E-2</v>
      </c>
      <c r="M8" s="54" t="s">
        <v>132</v>
      </c>
    </row>
    <row r="9" spans="1:13" x14ac:dyDescent="0.3">
      <c r="A9" t="s">
        <v>9</v>
      </c>
      <c r="B9">
        <v>0.96113519905805855</v>
      </c>
      <c r="E9" s="30" t="s">
        <v>12</v>
      </c>
      <c r="F9" s="44">
        <v>45</v>
      </c>
      <c r="G9" s="31" t="s">
        <v>110</v>
      </c>
    </row>
    <row r="10" spans="1:13" ht="15" thickBot="1" x14ac:dyDescent="0.35">
      <c r="A10" t="s">
        <v>10</v>
      </c>
      <c r="B10">
        <v>0.95829143313547738</v>
      </c>
    </row>
    <row r="11" spans="1:13" ht="15" thickBot="1" x14ac:dyDescent="0.35">
      <c r="A11" t="s">
        <v>11</v>
      </c>
      <c r="B11">
        <v>71871.71849370985</v>
      </c>
      <c r="I11" s="49" t="s">
        <v>133</v>
      </c>
    </row>
    <row r="12" spans="1:13" ht="15" thickBot="1" x14ac:dyDescent="0.35">
      <c r="A12" s="5" t="s">
        <v>12</v>
      </c>
      <c r="B12" s="5">
        <v>45</v>
      </c>
      <c r="H12" t="s">
        <v>135</v>
      </c>
      <c r="I12" s="84" t="s">
        <v>134</v>
      </c>
      <c r="J12" s="85"/>
      <c r="K12" s="85"/>
      <c r="L12" s="85"/>
      <c r="M12" s="86"/>
    </row>
    <row r="13" spans="1:13" ht="15" thickBot="1" x14ac:dyDescent="0.35">
      <c r="I13" s="87"/>
      <c r="J13" s="88"/>
      <c r="K13" s="88"/>
      <c r="L13" s="88"/>
      <c r="M13" s="89"/>
    </row>
    <row r="14" spans="1:13" ht="15" thickBot="1" x14ac:dyDescent="0.35">
      <c r="A14" t="s">
        <v>13</v>
      </c>
    </row>
    <row r="15" spans="1:13" x14ac:dyDescent="0.3">
      <c r="A15" s="6"/>
      <c r="B15" s="6" t="s">
        <v>18</v>
      </c>
      <c r="C15" s="6" t="s">
        <v>19</v>
      </c>
      <c r="D15" s="6" t="s">
        <v>20</v>
      </c>
      <c r="E15" s="6" t="s">
        <v>21</v>
      </c>
      <c r="F15" s="6" t="s">
        <v>22</v>
      </c>
      <c r="I15" s="90" t="s">
        <v>118</v>
      </c>
      <c r="J15" s="91"/>
      <c r="K15" s="91"/>
      <c r="L15" s="91"/>
      <c r="M15" s="92"/>
    </row>
    <row r="16" spans="1:13" ht="15" thickBot="1" x14ac:dyDescent="0.35">
      <c r="A16" t="s">
        <v>14</v>
      </c>
      <c r="B16">
        <v>3</v>
      </c>
      <c r="C16">
        <v>5237547201375.9971</v>
      </c>
      <c r="D16">
        <v>1745849067125.3323</v>
      </c>
      <c r="E16">
        <v>337.97971606105517</v>
      </c>
      <c r="F16">
        <v>6.2209514457418859E-29</v>
      </c>
      <c r="I16" s="93"/>
      <c r="J16" s="94"/>
      <c r="K16" s="94"/>
      <c r="L16" s="94"/>
      <c r="M16" s="95"/>
    </row>
    <row r="17" spans="1:10" x14ac:dyDescent="0.3">
      <c r="A17" t="s">
        <v>15</v>
      </c>
      <c r="B17">
        <v>41</v>
      </c>
      <c r="C17">
        <v>211787300688.80203</v>
      </c>
      <c r="D17">
        <v>5165543919.2390738</v>
      </c>
    </row>
    <row r="18" spans="1:10" ht="15" customHeight="1" thickBot="1" x14ac:dyDescent="0.35">
      <c r="A18" s="5" t="s">
        <v>16</v>
      </c>
      <c r="B18" s="5">
        <v>44</v>
      </c>
      <c r="C18" s="5">
        <v>5449334502064.7988</v>
      </c>
      <c r="D18" s="5"/>
      <c r="E18" s="5"/>
      <c r="F18" s="5"/>
    </row>
    <row r="19" spans="1:10" ht="15" customHeight="1" thickBot="1" x14ac:dyDescent="0.35"/>
    <row r="20" spans="1:10" x14ac:dyDescent="0.3">
      <c r="A20" s="6"/>
      <c r="B20" s="6" t="s">
        <v>23</v>
      </c>
      <c r="C20" s="6" t="s">
        <v>11</v>
      </c>
      <c r="D20" s="6" t="s">
        <v>24</v>
      </c>
      <c r="E20" s="6" t="s">
        <v>25</v>
      </c>
      <c r="F20" s="6" t="s">
        <v>26</v>
      </c>
      <c r="G20" s="6" t="s">
        <v>27</v>
      </c>
      <c r="H20" s="6" t="s">
        <v>33</v>
      </c>
      <c r="I20" s="6" t="s">
        <v>34</v>
      </c>
    </row>
    <row r="21" spans="1:10" x14ac:dyDescent="0.3">
      <c r="A21" t="s">
        <v>17</v>
      </c>
      <c r="B21">
        <v>134549.37183160428</v>
      </c>
      <c r="C21">
        <v>131121.89916069648</v>
      </c>
      <c r="D21">
        <v>1.0261395898995274</v>
      </c>
      <c r="E21">
        <v>0.31084203391131043</v>
      </c>
      <c r="F21">
        <v>-130256.67564550502</v>
      </c>
      <c r="G21">
        <v>399355.41930871358</v>
      </c>
      <c r="H21">
        <v>-130256.67564550502</v>
      </c>
      <c r="I21">
        <v>399355.41930871358</v>
      </c>
    </row>
    <row r="22" spans="1:10" x14ac:dyDescent="0.3">
      <c r="A22" t="s">
        <v>2</v>
      </c>
      <c r="B22">
        <v>3250141.8654939542</v>
      </c>
      <c r="C22">
        <v>167569.89919067058</v>
      </c>
      <c r="D22">
        <v>19.395738024499003</v>
      </c>
      <c r="E22">
        <v>2.8800107678555039E-22</v>
      </c>
      <c r="F22">
        <v>2911727.5886656637</v>
      </c>
      <c r="G22">
        <v>3588556.1423222446</v>
      </c>
      <c r="H22">
        <v>2911727.5886656637</v>
      </c>
      <c r="I22">
        <v>3588556.1423222446</v>
      </c>
    </row>
    <row r="23" spans="1:10" x14ac:dyDescent="0.3">
      <c r="A23" t="s">
        <v>3</v>
      </c>
      <c r="B23">
        <v>0.26852652218362111</v>
      </c>
      <c r="C23">
        <v>5.2060131926513452E-2</v>
      </c>
      <c r="D23">
        <v>5.1580069478630062</v>
      </c>
      <c r="E23">
        <v>6.7373305815146747E-6</v>
      </c>
      <c r="F23">
        <v>0.16338895283144403</v>
      </c>
      <c r="G23">
        <v>0.37366409153579816</v>
      </c>
      <c r="H23">
        <v>0.16338895283144403</v>
      </c>
      <c r="I23">
        <v>0.37366409153579816</v>
      </c>
    </row>
    <row r="24" spans="1:10" ht="15" thickBot="1" x14ac:dyDescent="0.35">
      <c r="A24" s="5" t="s">
        <v>4</v>
      </c>
      <c r="B24" s="5">
        <v>-575903.63346421067</v>
      </c>
      <c r="C24" s="5">
        <v>265995.55121954065</v>
      </c>
      <c r="D24" s="5">
        <v>-2.1650874641466689</v>
      </c>
      <c r="E24" s="5">
        <v>3.625336220142112E-2</v>
      </c>
      <c r="F24" s="5">
        <v>-1113092.5471072108</v>
      </c>
      <c r="G24" s="5">
        <v>-38714.719821210601</v>
      </c>
      <c r="H24" s="5">
        <v>-1113092.5471072108</v>
      </c>
      <c r="I24" s="5">
        <v>-38714.719821210601</v>
      </c>
    </row>
    <row r="26" spans="1:10" x14ac:dyDescent="0.3">
      <c r="J26" s="50"/>
    </row>
    <row r="28" spans="1:10" x14ac:dyDescent="0.3">
      <c r="A28" t="s">
        <v>28</v>
      </c>
    </row>
    <row r="29" spans="1:10" ht="15" thickBot="1" x14ac:dyDescent="0.35"/>
    <row r="30" spans="1:10" x14ac:dyDescent="0.3">
      <c r="A30" s="6" t="s">
        <v>29</v>
      </c>
      <c r="B30" s="6" t="s">
        <v>30</v>
      </c>
      <c r="C30" s="6" t="s">
        <v>31</v>
      </c>
      <c r="E30" s="43"/>
      <c r="F30" s="43"/>
      <c r="G30" s="43"/>
    </row>
    <row r="31" spans="1:10" x14ac:dyDescent="0.3">
      <c r="A31">
        <v>1</v>
      </c>
      <c r="B31">
        <v>197387.55792720386</v>
      </c>
      <c r="C31">
        <v>-52220.557927203859</v>
      </c>
      <c r="E31" s="30"/>
      <c r="F31" s="31"/>
      <c r="G31" s="31"/>
    </row>
    <row r="32" spans="1:10" x14ac:dyDescent="0.3">
      <c r="A32">
        <v>2</v>
      </c>
      <c r="B32">
        <v>228118.83572756191</v>
      </c>
      <c r="C32">
        <v>-57926.835727561906</v>
      </c>
      <c r="E32" s="30"/>
      <c r="F32" s="31"/>
      <c r="G32" s="31"/>
    </row>
    <row r="33" spans="1:9" x14ac:dyDescent="0.3">
      <c r="A33">
        <v>3</v>
      </c>
      <c r="B33">
        <v>345602.26174843614</v>
      </c>
      <c r="C33">
        <v>-98096.26174843614</v>
      </c>
      <c r="E33" s="30"/>
      <c r="F33" s="31"/>
      <c r="G33" s="31"/>
    </row>
    <row r="34" spans="1:9" x14ac:dyDescent="0.3">
      <c r="A34">
        <v>4</v>
      </c>
      <c r="B34">
        <v>441467.54553177598</v>
      </c>
      <c r="C34">
        <v>-132076.54553177598</v>
      </c>
      <c r="E34" s="30"/>
      <c r="F34" s="31"/>
      <c r="G34" s="31"/>
    </row>
    <row r="35" spans="1:9" x14ac:dyDescent="0.3">
      <c r="A35">
        <v>5</v>
      </c>
      <c r="B35">
        <v>450485.34217812028</v>
      </c>
      <c r="C35">
        <v>-96147.342178120278</v>
      </c>
      <c r="E35" s="30"/>
      <c r="F35" s="31"/>
      <c r="G35" s="31"/>
    </row>
    <row r="36" spans="1:9" x14ac:dyDescent="0.3">
      <c r="A36">
        <v>6</v>
      </c>
      <c r="B36">
        <v>432321.78228964802</v>
      </c>
      <c r="C36">
        <v>-58380.782289648021</v>
      </c>
    </row>
    <row r="37" spans="1:9" x14ac:dyDescent="0.3">
      <c r="A37">
        <v>7</v>
      </c>
      <c r="B37">
        <v>458857.23139250546</v>
      </c>
      <c r="C37">
        <v>-37942.231392505462</v>
      </c>
      <c r="E37" s="32"/>
    </row>
    <row r="38" spans="1:9" x14ac:dyDescent="0.3">
      <c r="A38">
        <v>8</v>
      </c>
      <c r="B38">
        <v>489331.35725571902</v>
      </c>
      <c r="C38">
        <v>-15314.35725571902</v>
      </c>
      <c r="E38" s="43"/>
      <c r="F38" s="43"/>
      <c r="G38" s="43"/>
      <c r="H38" s="43"/>
      <c r="I38" s="43"/>
    </row>
    <row r="39" spans="1:9" x14ac:dyDescent="0.3">
      <c r="A39">
        <v>9</v>
      </c>
      <c r="B39">
        <v>511862.30416573799</v>
      </c>
      <c r="C39">
        <v>20727.695834262006</v>
      </c>
      <c r="E39" s="30"/>
      <c r="F39" s="31"/>
      <c r="G39" s="31"/>
      <c r="H39" s="31"/>
      <c r="I39" s="51"/>
    </row>
    <row r="40" spans="1:9" x14ac:dyDescent="0.3">
      <c r="A40">
        <v>10</v>
      </c>
      <c r="B40">
        <v>697951.43657934887</v>
      </c>
      <c r="C40">
        <v>-21180.436579348869</v>
      </c>
      <c r="E40" s="30"/>
      <c r="F40" s="31"/>
      <c r="G40" s="31"/>
      <c r="H40" s="31"/>
      <c r="I40" s="52"/>
    </row>
    <row r="41" spans="1:9" x14ac:dyDescent="0.3">
      <c r="A41">
        <v>11</v>
      </c>
      <c r="B41">
        <v>844286.9656688862</v>
      </c>
      <c r="C41">
        <v>36151.034331113799</v>
      </c>
      <c r="E41" s="30"/>
      <c r="F41" s="31"/>
      <c r="G41" s="31"/>
      <c r="H41" s="31"/>
      <c r="I41" s="52"/>
    </row>
    <row r="42" spans="1:9" x14ac:dyDescent="0.3">
      <c r="A42">
        <v>12</v>
      </c>
      <c r="B42">
        <v>882962.79676041589</v>
      </c>
      <c r="C42">
        <v>169057.20323958411</v>
      </c>
      <c r="E42" s="30"/>
      <c r="F42" s="31"/>
      <c r="G42" s="31"/>
      <c r="H42" s="31"/>
      <c r="I42" s="52"/>
    </row>
    <row r="43" spans="1:9" x14ac:dyDescent="0.3">
      <c r="A43">
        <v>13</v>
      </c>
      <c r="B43">
        <v>951013.56260934682</v>
      </c>
      <c r="C43">
        <v>242666.43739065318</v>
      </c>
    </row>
    <row r="44" spans="1:9" x14ac:dyDescent="0.3">
      <c r="A44">
        <v>14</v>
      </c>
      <c r="B44">
        <v>1235021.3492758609</v>
      </c>
      <c r="C44">
        <v>68368.650724139065</v>
      </c>
      <c r="E44" s="32"/>
    </row>
    <row r="45" spans="1:9" ht="14.4" customHeight="1" x14ac:dyDescent="0.3">
      <c r="A45">
        <v>15</v>
      </c>
      <c r="B45">
        <v>1390234.8993810308</v>
      </c>
      <c r="C45">
        <v>46735.100618969183</v>
      </c>
      <c r="E45" s="83"/>
      <c r="F45" s="83"/>
      <c r="G45" s="83"/>
      <c r="H45" s="83"/>
      <c r="I45" s="83"/>
    </row>
    <row r="46" spans="1:9" x14ac:dyDescent="0.3">
      <c r="A46">
        <v>16</v>
      </c>
      <c r="B46">
        <v>77090.031779159501</v>
      </c>
      <c r="C46">
        <v>14270.968220840499</v>
      </c>
      <c r="E46" s="83"/>
      <c r="F46" s="83"/>
      <c r="G46" s="83"/>
      <c r="H46" s="83"/>
      <c r="I46" s="83"/>
    </row>
    <row r="47" spans="1:9" x14ac:dyDescent="0.3">
      <c r="A47">
        <v>17</v>
      </c>
      <c r="B47">
        <v>70525.417391052062</v>
      </c>
      <c r="C47">
        <v>24902.582608947938</v>
      </c>
    </row>
    <row r="48" spans="1:9" x14ac:dyDescent="0.3">
      <c r="A48">
        <v>18</v>
      </c>
      <c r="B48">
        <v>49836.026446322561</v>
      </c>
      <c r="C48">
        <v>48350.973553677439</v>
      </c>
    </row>
    <row r="49" spans="1:3" x14ac:dyDescent="0.3">
      <c r="A49">
        <v>19</v>
      </c>
      <c r="B49">
        <v>82052.287174716301</v>
      </c>
      <c r="C49">
        <v>33914.712825283699</v>
      </c>
    </row>
    <row r="50" spans="1:3" x14ac:dyDescent="0.3">
      <c r="A50">
        <v>20</v>
      </c>
      <c r="B50">
        <v>107146.40002083767</v>
      </c>
      <c r="C50">
        <v>31235.599979162333</v>
      </c>
    </row>
    <row r="51" spans="1:3" x14ac:dyDescent="0.3">
      <c r="A51">
        <v>21</v>
      </c>
      <c r="B51">
        <v>129258.03189213824</v>
      </c>
      <c r="C51">
        <v>26969.968107861758</v>
      </c>
    </row>
    <row r="52" spans="1:3" x14ac:dyDescent="0.3">
      <c r="A52">
        <v>22</v>
      </c>
      <c r="B52">
        <v>167954.65008133906</v>
      </c>
      <c r="C52">
        <v>15214.349918660941</v>
      </c>
    </row>
    <row r="53" spans="1:3" x14ac:dyDescent="0.3">
      <c r="A53">
        <v>23</v>
      </c>
      <c r="B53">
        <v>205179.50779892853</v>
      </c>
      <c r="C53">
        <v>5032.4922010714654</v>
      </c>
    </row>
    <row r="54" spans="1:3" x14ac:dyDescent="0.3">
      <c r="A54">
        <v>24</v>
      </c>
      <c r="B54">
        <v>266879.72391300031</v>
      </c>
      <c r="C54">
        <v>7144.2760869996855</v>
      </c>
    </row>
    <row r="55" spans="1:3" x14ac:dyDescent="0.3">
      <c r="A55">
        <v>25</v>
      </c>
      <c r="B55">
        <v>426124.44662096928</v>
      </c>
      <c r="C55">
        <v>-69209.446620969276</v>
      </c>
    </row>
    <row r="56" spans="1:3" x14ac:dyDescent="0.3">
      <c r="A56">
        <v>26</v>
      </c>
      <c r="B56">
        <v>491845.48409386718</v>
      </c>
      <c r="C56">
        <v>-59501.484093867184</v>
      </c>
    </row>
    <row r="57" spans="1:3" x14ac:dyDescent="0.3">
      <c r="A57">
        <v>27</v>
      </c>
      <c r="B57">
        <v>600018.04718901124</v>
      </c>
      <c r="C57">
        <v>-75724.047189011239</v>
      </c>
    </row>
    <row r="58" spans="1:3" x14ac:dyDescent="0.3">
      <c r="A58">
        <v>28</v>
      </c>
      <c r="B58">
        <v>604435.98593504424</v>
      </c>
      <c r="C58">
        <v>-73511.985935044242</v>
      </c>
    </row>
    <row r="59" spans="1:3" x14ac:dyDescent="0.3">
      <c r="A59">
        <v>29</v>
      </c>
      <c r="B59">
        <v>633173.61973641149</v>
      </c>
      <c r="C59">
        <v>-51726.619736411492</v>
      </c>
    </row>
    <row r="60" spans="1:3" x14ac:dyDescent="0.3">
      <c r="A60">
        <v>30</v>
      </c>
      <c r="B60">
        <v>688527.11225205194</v>
      </c>
      <c r="C60">
        <v>-78270.112252051942</v>
      </c>
    </row>
    <row r="61" spans="1:3" x14ac:dyDescent="0.3">
      <c r="A61">
        <v>31</v>
      </c>
      <c r="B61">
        <v>30153.655822712084</v>
      </c>
      <c r="C61">
        <v>38824.344177287916</v>
      </c>
    </row>
    <row r="62" spans="1:3" x14ac:dyDescent="0.3">
      <c r="A62">
        <v>32</v>
      </c>
      <c r="B62">
        <v>21854.248861934</v>
      </c>
      <c r="C62">
        <v>53049.751138066</v>
      </c>
    </row>
    <row r="63" spans="1:3" x14ac:dyDescent="0.3">
      <c r="A63">
        <v>33</v>
      </c>
      <c r="B63">
        <v>21528.374677434622</v>
      </c>
      <c r="C63">
        <v>62300.625322565378</v>
      </c>
    </row>
    <row r="64" spans="1:3" x14ac:dyDescent="0.3">
      <c r="A64">
        <v>34</v>
      </c>
      <c r="B64">
        <v>42730.778930349799</v>
      </c>
      <c r="C64">
        <v>55417.221069650201</v>
      </c>
    </row>
    <row r="65" spans="1:3" x14ac:dyDescent="0.3">
      <c r="A65">
        <v>35</v>
      </c>
      <c r="B65">
        <v>61040.096930241096</v>
      </c>
      <c r="C65">
        <v>57408.903069758904</v>
      </c>
    </row>
    <row r="66" spans="1:3" x14ac:dyDescent="0.3">
      <c r="A66">
        <v>36</v>
      </c>
      <c r="B66">
        <v>102463.6068930304</v>
      </c>
      <c r="C66">
        <v>30697.393106969597</v>
      </c>
    </row>
    <row r="67" spans="1:3" x14ac:dyDescent="0.3">
      <c r="A67">
        <v>37</v>
      </c>
      <c r="B67">
        <v>112718.73273847002</v>
      </c>
      <c r="C67">
        <v>32343.267261529982</v>
      </c>
    </row>
    <row r="68" spans="1:3" x14ac:dyDescent="0.3">
      <c r="A68">
        <v>38</v>
      </c>
      <c r="B68">
        <v>133408.92373181233</v>
      </c>
      <c r="C68">
        <v>37302.076268187666</v>
      </c>
    </row>
    <row r="69" spans="1:3" x14ac:dyDescent="0.3">
      <c r="A69">
        <v>39</v>
      </c>
      <c r="B69">
        <v>147801.70793784107</v>
      </c>
      <c r="C69">
        <v>51973.292062158929</v>
      </c>
    </row>
    <row r="70" spans="1:3" x14ac:dyDescent="0.3">
      <c r="A70">
        <v>40</v>
      </c>
      <c r="B70">
        <v>268468.98837858974</v>
      </c>
      <c r="C70">
        <v>8328.01162141026</v>
      </c>
    </row>
    <row r="71" spans="1:3" x14ac:dyDescent="0.3">
      <c r="A71">
        <v>41</v>
      </c>
      <c r="B71">
        <v>437373.8659602438</v>
      </c>
      <c r="C71">
        <v>-55895.865960243798</v>
      </c>
    </row>
    <row r="72" spans="1:3" x14ac:dyDescent="0.3">
      <c r="A72">
        <v>42</v>
      </c>
      <c r="B72">
        <v>573582.43075845682</v>
      </c>
      <c r="C72">
        <v>-66613.430758456816</v>
      </c>
    </row>
    <row r="73" spans="1:3" x14ac:dyDescent="0.3">
      <c r="A73">
        <v>43</v>
      </c>
      <c r="B73">
        <v>670215.58510201739</v>
      </c>
      <c r="C73">
        <v>-36827.585102017387</v>
      </c>
    </row>
    <row r="74" spans="1:3" x14ac:dyDescent="0.3">
      <c r="A74">
        <v>44</v>
      </c>
      <c r="B74">
        <v>855818.94426609669</v>
      </c>
      <c r="C74">
        <v>-51430.944266096689</v>
      </c>
    </row>
    <row r="75" spans="1:3" ht="15" thickBot="1" x14ac:dyDescent="0.35">
      <c r="A75" s="5">
        <v>45</v>
      </c>
      <c r="B75" s="5">
        <v>1039890.0581943173</v>
      </c>
      <c r="C75" s="5">
        <v>-30390.058194317273</v>
      </c>
    </row>
  </sheetData>
  <mergeCells count="4">
    <mergeCell ref="A1:E1"/>
    <mergeCell ref="E45:I46"/>
    <mergeCell ref="I12:M13"/>
    <mergeCell ref="I15:M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5282-98DB-451D-A7EF-DCE7F60C3300}">
  <sheetPr>
    <tabColor rgb="FF7030A0"/>
  </sheetPr>
  <dimension ref="A1:D14"/>
  <sheetViews>
    <sheetView workbookViewId="0">
      <selection activeCell="C23" sqref="C23"/>
    </sheetView>
  </sheetViews>
  <sheetFormatPr defaultRowHeight="14.4" x14ac:dyDescent="0.3"/>
  <cols>
    <col min="1" max="1" width="25" bestFit="1" customWidth="1"/>
    <col min="2" max="2" width="21.88671875" customWidth="1"/>
    <col min="3" max="3" width="23.44140625" customWidth="1"/>
    <col min="4" max="4" width="19.21875" customWidth="1"/>
  </cols>
  <sheetData>
    <row r="1" spans="1:4" ht="17.399999999999999" x14ac:dyDescent="0.3">
      <c r="A1" s="82" t="s">
        <v>136</v>
      </c>
      <c r="B1" s="96"/>
      <c r="C1" s="96"/>
      <c r="D1" s="96"/>
    </row>
    <row r="3" spans="1:4" x14ac:dyDescent="0.3">
      <c r="A3" s="25" t="s">
        <v>137</v>
      </c>
      <c r="B3" s="25" t="s">
        <v>64</v>
      </c>
      <c r="C3" s="25" t="s">
        <v>38</v>
      </c>
      <c r="D3" s="25" t="s">
        <v>138</v>
      </c>
    </row>
    <row r="4" spans="1:4" x14ac:dyDescent="0.3">
      <c r="A4" s="30" t="s">
        <v>104</v>
      </c>
      <c r="B4" s="55">
        <v>0.93579999999999997</v>
      </c>
      <c r="C4" s="55">
        <v>0.96109999999999995</v>
      </c>
      <c r="D4" s="31" t="s">
        <v>139</v>
      </c>
    </row>
    <row r="5" spans="1:4" x14ac:dyDescent="0.3">
      <c r="A5" s="30" t="s">
        <v>91</v>
      </c>
      <c r="B5" s="55">
        <v>0.93430000000000002</v>
      </c>
      <c r="C5" s="55">
        <v>0.95830000000000004</v>
      </c>
      <c r="D5" s="31" t="s">
        <v>140</v>
      </c>
    </row>
    <row r="6" spans="1:4" x14ac:dyDescent="0.3">
      <c r="A6" s="30" t="s">
        <v>11</v>
      </c>
      <c r="B6" s="45">
        <v>90197.78</v>
      </c>
      <c r="C6" s="45">
        <v>71871.72</v>
      </c>
      <c r="D6" s="31" t="s">
        <v>141</v>
      </c>
    </row>
    <row r="7" spans="1:4" x14ac:dyDescent="0.3">
      <c r="A7" s="30" t="s">
        <v>142</v>
      </c>
      <c r="B7" s="44" t="s">
        <v>143</v>
      </c>
      <c r="C7" s="44" t="s">
        <v>144</v>
      </c>
      <c r="D7" s="31" t="s">
        <v>145</v>
      </c>
    </row>
    <row r="8" spans="1:4" x14ac:dyDescent="0.3">
      <c r="A8" s="30" t="s">
        <v>146</v>
      </c>
      <c r="B8" s="44" t="s">
        <v>147</v>
      </c>
      <c r="C8" s="44" t="s">
        <v>148</v>
      </c>
      <c r="D8" s="31" t="s">
        <v>145</v>
      </c>
    </row>
    <row r="9" spans="1:4" x14ac:dyDescent="0.3">
      <c r="A9" s="30" t="s">
        <v>149</v>
      </c>
      <c r="B9" s="44" t="s">
        <v>150</v>
      </c>
      <c r="C9" s="44" t="s">
        <v>151</v>
      </c>
      <c r="D9" s="31" t="s">
        <v>145</v>
      </c>
    </row>
    <row r="10" spans="1:4" x14ac:dyDescent="0.3">
      <c r="A10" s="30" t="s">
        <v>152</v>
      </c>
      <c r="B10" s="44" t="s">
        <v>153</v>
      </c>
      <c r="C10" s="44" t="s">
        <v>154</v>
      </c>
      <c r="D10" s="31" t="s">
        <v>155</v>
      </c>
    </row>
    <row r="11" spans="1:4" ht="15" thickBot="1" x14ac:dyDescent="0.35"/>
    <row r="12" spans="1:4" ht="15" thickBot="1" x14ac:dyDescent="0.35">
      <c r="A12" s="35" t="s">
        <v>156</v>
      </c>
    </row>
    <row r="13" spans="1:4" x14ac:dyDescent="0.3">
      <c r="A13" s="84" t="s">
        <v>157</v>
      </c>
      <c r="B13" s="97"/>
      <c r="C13" s="97"/>
      <c r="D13" s="98"/>
    </row>
    <row r="14" spans="1:4" ht="15" thickBot="1" x14ac:dyDescent="0.35">
      <c r="A14" s="99"/>
      <c r="B14" s="100"/>
      <c r="C14" s="100"/>
      <c r="D14" s="101"/>
    </row>
  </sheetData>
  <mergeCells count="2">
    <mergeCell ref="A1:D1"/>
    <mergeCell ref="A13:D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7769-B6B5-4C7F-A0DB-9E95A668A68D}">
  <sheetPr>
    <tabColor theme="9" tint="-0.249977111117893"/>
  </sheetPr>
  <dimension ref="B2:C29"/>
  <sheetViews>
    <sheetView topLeftCell="A13" workbookViewId="0">
      <selection activeCell="C21" sqref="C21"/>
    </sheetView>
  </sheetViews>
  <sheetFormatPr defaultRowHeight="14.4" x14ac:dyDescent="0.3"/>
  <cols>
    <col min="1" max="1" width="3.88671875" customWidth="1"/>
    <col min="2" max="6" width="54.6640625" customWidth="1"/>
  </cols>
  <sheetData>
    <row r="2" spans="2:3" ht="21" x14ac:dyDescent="0.4">
      <c r="B2" s="106" t="s">
        <v>158</v>
      </c>
      <c r="C2" s="96"/>
    </row>
    <row r="4" spans="2:3" ht="18" x14ac:dyDescent="0.35">
      <c r="B4" s="104" t="s">
        <v>159</v>
      </c>
      <c r="C4" s="105"/>
    </row>
    <row r="5" spans="2:3" ht="18" x14ac:dyDescent="0.35">
      <c r="B5" s="56"/>
      <c r="C5" s="57"/>
    </row>
    <row r="6" spans="2:3" x14ac:dyDescent="0.3">
      <c r="B6" s="107" t="s">
        <v>160</v>
      </c>
      <c r="C6" s="96"/>
    </row>
    <row r="7" spans="2:3" x14ac:dyDescent="0.3">
      <c r="B7" s="96"/>
      <c r="C7" s="96"/>
    </row>
    <row r="8" spans="2:3" x14ac:dyDescent="0.3">
      <c r="B8" s="96"/>
      <c r="C8" s="96"/>
    </row>
    <row r="10" spans="2:3" ht="18" x14ac:dyDescent="0.35">
      <c r="B10" s="104" t="s">
        <v>161</v>
      </c>
      <c r="C10" s="105"/>
    </row>
    <row r="11" spans="2:3" ht="18" x14ac:dyDescent="0.35">
      <c r="B11" s="56"/>
      <c r="C11" s="57"/>
    </row>
    <row r="12" spans="2:3" x14ac:dyDescent="0.3">
      <c r="B12" s="103" t="s">
        <v>162</v>
      </c>
      <c r="C12" s="96"/>
    </row>
    <row r="13" spans="2:3" x14ac:dyDescent="0.3">
      <c r="B13" s="103" t="s">
        <v>163</v>
      </c>
      <c r="C13" s="96"/>
    </row>
    <row r="14" spans="2:3" x14ac:dyDescent="0.3">
      <c r="B14" s="103" t="s">
        <v>164</v>
      </c>
      <c r="C14" s="96"/>
    </row>
    <row r="15" spans="2:3" x14ac:dyDescent="0.3">
      <c r="B15" s="103" t="s">
        <v>165</v>
      </c>
      <c r="C15" s="96"/>
    </row>
    <row r="17" spans="2:3" ht="18" x14ac:dyDescent="0.35">
      <c r="B17" s="104" t="s">
        <v>166</v>
      </c>
      <c r="C17" s="105"/>
    </row>
    <row r="18" spans="2:3" ht="18" x14ac:dyDescent="0.35">
      <c r="B18" s="56"/>
      <c r="C18" s="57"/>
    </row>
    <row r="19" spans="2:3" x14ac:dyDescent="0.3">
      <c r="B19" s="58" t="s">
        <v>167</v>
      </c>
    </row>
    <row r="20" spans="2:3" ht="35.4" customHeight="1" x14ac:dyDescent="0.3">
      <c r="B20" s="102" t="s">
        <v>168</v>
      </c>
      <c r="C20" s="96"/>
    </row>
    <row r="21" spans="2:3" x14ac:dyDescent="0.3">
      <c r="B21" s="59"/>
    </row>
    <row r="22" spans="2:3" x14ac:dyDescent="0.3">
      <c r="B22" s="58" t="s">
        <v>169</v>
      </c>
    </row>
    <row r="23" spans="2:3" ht="36.6" customHeight="1" x14ac:dyDescent="0.3">
      <c r="B23" s="102" t="s">
        <v>170</v>
      </c>
      <c r="C23" s="96"/>
    </row>
    <row r="24" spans="2:3" x14ac:dyDescent="0.3">
      <c r="B24" s="59"/>
    </row>
    <row r="25" spans="2:3" x14ac:dyDescent="0.3">
      <c r="B25" s="58" t="s">
        <v>171</v>
      </c>
    </row>
    <row r="26" spans="2:3" ht="37.799999999999997" customHeight="1" x14ac:dyDescent="0.3">
      <c r="B26" s="102" t="s">
        <v>172</v>
      </c>
      <c r="C26" s="96"/>
    </row>
    <row r="27" spans="2:3" x14ac:dyDescent="0.3">
      <c r="B27" s="59"/>
    </row>
    <row r="28" spans="2:3" x14ac:dyDescent="0.3">
      <c r="B28" s="58" t="s">
        <v>173</v>
      </c>
    </row>
    <row r="29" spans="2:3" ht="21.6" customHeight="1" x14ac:dyDescent="0.3">
      <c r="B29" s="102" t="s">
        <v>174</v>
      </c>
      <c r="C29" s="96"/>
    </row>
  </sheetData>
  <mergeCells count="13">
    <mergeCell ref="B13:C13"/>
    <mergeCell ref="B2:C2"/>
    <mergeCell ref="B4:C4"/>
    <mergeCell ref="B6:C8"/>
    <mergeCell ref="B10:C10"/>
    <mergeCell ref="B12:C12"/>
    <mergeCell ref="B29:C29"/>
    <mergeCell ref="B14:C14"/>
    <mergeCell ref="B15:C15"/>
    <mergeCell ref="B17:C17"/>
    <mergeCell ref="B20:C20"/>
    <mergeCell ref="B23:C23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Raw Data</vt:lpstr>
      <vt:lpstr>Analysis Data</vt:lpstr>
      <vt:lpstr>Single Regression</vt:lpstr>
      <vt:lpstr>Multiple Regression</vt:lpstr>
      <vt:lpstr>Model Comparison</vt:lpstr>
      <vt:lpstr>Conclusions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Admin</cp:lastModifiedBy>
  <dcterms:created xsi:type="dcterms:W3CDTF">2022-11-14T17:32:42Z</dcterms:created>
  <dcterms:modified xsi:type="dcterms:W3CDTF">2026-04-13T02:44:21Z</dcterms:modified>
</cp:coreProperties>
</file>